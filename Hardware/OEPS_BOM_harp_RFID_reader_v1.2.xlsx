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components list" sheetId="2" r:id="rId6"/>
  </sheets>
  <definedNames/>
  <calcPr/>
</workbook>
</file>

<file path=xl/sharedStrings.xml><?xml version="1.0" encoding="utf-8"?>
<sst xmlns="http://schemas.openxmlformats.org/spreadsheetml/2006/main" count="68" uniqueCount="67">
  <si>
    <t>Quantity to produce➡️</t>
  </si>
  <si>
    <t>Production➡️</t>
  </si>
  <si>
    <t>Internal</t>
  </si>
  <si>
    <t>OEPS PN</t>
  </si>
  <si>
    <t>Schematic Name⬇️</t>
  </si>
  <si>
    <t>Qtty.⬇️</t>
  </si>
  <si>
    <t>Description</t>
  </si>
  <si>
    <t>Type</t>
  </si>
  <si>
    <t>Manufacturer PN⬇️</t>
  </si>
  <si>
    <t>Supplier</t>
  </si>
  <si>
    <t>Supplier PN</t>
  </si>
  <si>
    <t>Notes⬇️</t>
  </si>
  <si>
    <t>Losses</t>
  </si>
  <si>
    <t>Needed</t>
  </si>
  <si>
    <t>To order</t>
  </si>
  <si>
    <t>Stock RM</t>
  </si>
  <si>
    <t>Packages</t>
  </si>
  <si>
    <t>External</t>
  </si>
  <si>
    <t>PCB COMPONENTS</t>
  </si>
  <si>
    <t>C3, C4</t>
  </si>
  <si>
    <t>04025A470JAT2A</t>
  </si>
  <si>
    <t>C1</t>
  </si>
  <si>
    <t>885012205084</t>
  </si>
  <si>
    <t>C2, C6, C8, C9, C10, C12, C13, C14, C15, C16, C21</t>
  </si>
  <si>
    <t>CGA2B3X7R1H104K050BB</t>
  </si>
  <si>
    <t>C5, C7, C11, C17</t>
  </si>
  <si>
    <t>EMK107BBJ106MA-T</t>
  </si>
  <si>
    <t>C18, C19, C20</t>
  </si>
  <si>
    <t>TLJA107M010R1400</t>
  </si>
  <si>
    <t>R7</t>
  </si>
  <si>
    <t>RCS040239R0FKED</t>
  </si>
  <si>
    <t>R2, R3, R4, R6, R8</t>
  </si>
  <si>
    <t>CRCW04021K00FKED</t>
  </si>
  <si>
    <t>R5</t>
  </si>
  <si>
    <t>CRCW040210K0FKED</t>
  </si>
  <si>
    <t>R1</t>
  </si>
  <si>
    <t>CRCW04021M00FKED</t>
  </si>
  <si>
    <t>L1</t>
  </si>
  <si>
    <t>MI0805K400R-10</t>
  </si>
  <si>
    <t>Q1</t>
  </si>
  <si>
    <t>BC817-40W-7</t>
  </si>
  <si>
    <t>Q2</t>
  </si>
  <si>
    <t>NTF2955T1G</t>
  </si>
  <si>
    <t>TAG_B, TAG_T, STATE, OUT0</t>
  </si>
  <si>
    <t>5975004407F</t>
  </si>
  <si>
    <t>SP1</t>
  </si>
  <si>
    <t>SMT-0540-S-R</t>
  </si>
  <si>
    <t>IC1</t>
  </si>
  <si>
    <t>FT232RL-REEL</t>
  </si>
  <si>
    <t>IC2</t>
  </si>
  <si>
    <t>LP5907MFX-3.3/NOPB</t>
  </si>
  <si>
    <t>IC3</t>
  </si>
  <si>
    <t>ATXMEGA32A4U-A</t>
  </si>
  <si>
    <t>IC4</t>
  </si>
  <si>
    <t>M74VHC1GT126DT1G</t>
  </si>
  <si>
    <t>OSC1</t>
  </si>
  <si>
    <t>O 32,0-JT32C-A-K-3,3-LF</t>
  </si>
  <si>
    <t>USB</t>
  </si>
  <si>
    <t>UX60-MB-5S8</t>
  </si>
  <si>
    <t>U1 5POS</t>
  </si>
  <si>
    <t>NPPN051BFLD-RC‎</t>
  </si>
  <si>
    <t>U1 7POS</t>
  </si>
  <si>
    <t>‎NPPN071BFLC-RC‎</t>
  </si>
  <si>
    <t>OUT</t>
  </si>
  <si>
    <t>282834-2</t>
  </si>
  <si>
    <t>E1418287</t>
  </si>
  <si>
    <t>ID-12LA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</si>
</sst>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rgb="FFF3F3F3"/>
      <name val="Arial"/>
      <scheme val="minor"/>
    </font>
    <font>
      <sz val="11.0"/>
      <color theme="1"/>
      <name val="Calibri"/>
    </font>
    <font>
      <color theme="1"/>
      <name val="Arial"/>
    </font>
    <font>
      <color rgb="FF6D9EEB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666666"/>
        <bgColor rgb="FF666666"/>
      </patternFill>
    </fill>
  </fills>
  <borders count="3">
    <border/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right" readingOrder="0" vertical="center"/>
    </xf>
    <xf borderId="0" fillId="0" fontId="2" numFmtId="0" xfId="0" applyAlignment="1" applyFont="1">
      <alignment horizontal="left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/>
    </xf>
    <xf borderId="1" fillId="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3" fontId="4" numFmtId="0" xfId="0" applyAlignment="1" applyFill="1" applyFont="1">
      <alignment readingOrder="0" shrinkToFit="0" vertical="center" wrapText="1"/>
    </xf>
    <xf borderId="0" fillId="0" fontId="2" numFmtId="49" xfId="0" applyAlignment="1" applyFont="1" applyNumberFormat="1">
      <alignment horizontal="left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5" numFmtId="49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2" numFmtId="49" xfId="0" applyAlignment="1" applyFont="1" applyNumberFormat="1">
      <alignment horizontal="left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2">
    <dxf>
      <font>
        <color rgb="FFB7E1CD"/>
      </font>
      <fill>
        <patternFill patternType="solid">
          <fgColor rgb="FFB7E1CD"/>
          <bgColor rgb="FFB7E1CD"/>
        </patternFill>
      </fill>
      <border/>
    </dxf>
    <dxf>
      <font>
        <color rgb="FFF4C7C3"/>
      </font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cb.smafra.ht" TargetMode="External"/><Relationship Id="rId2" Type="http://schemas.openxmlformats.org/officeDocument/2006/relationships/hyperlink" Target="https://drive.google.com/open?id=1Sz0oFLUyvNfDZSYuJwn1zTPsjktcliA-&amp;usp=drive_fs" TargetMode="External"/><Relationship Id="rId3" Type="http://schemas.openxmlformats.org/officeDocument/2006/relationships/hyperlink" Target="https://drive.google.com/open?id=11_hlpdM-Cua6IiwqgFWyVFcwz1bMgFKl&amp;usp=drive_fs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/>
  <cols>
    <col customWidth="1" min="1" max="1" width="17.13"/>
    <col customWidth="1" min="2" max="2" width="18.5"/>
    <col customWidth="1" min="3" max="3" width="7.0"/>
    <col customWidth="1" min="4" max="4" width="75.13"/>
    <col customWidth="1" min="5" max="5" width="7.25"/>
    <col customWidth="1" min="6" max="6" width="24.5"/>
    <col customWidth="1" min="7" max="7" width="10.63" outlineLevel="1"/>
    <col customWidth="1" min="8" max="8" width="24.25" outlineLevel="1"/>
    <col customWidth="1" min="9" max="9" width="12.0"/>
    <col customWidth="1" min="10" max="10" width="6.75" outlineLevel="1"/>
    <col customWidth="1" min="11" max="11" width="12.38" outlineLevel="1"/>
    <col customWidth="1" min="12" max="12" width="7.63" outlineLevel="1"/>
    <col customWidth="1" min="13" max="13" width="12.38" outlineLevel="1"/>
    <col customWidth="1" min="14" max="14" width="20.13" outlineLevel="1"/>
    <col customWidth="1" min="15" max="15" width="12.38" outlineLevel="1"/>
    <col customWidth="1" min="16" max="16" width="2.5" outlineLevel="1"/>
    <col customWidth="1" min="17" max="17" width="13.13" outlineLevel="1"/>
    <col customWidth="1" min="18" max="18" width="2.5" outlineLevel="1"/>
  </cols>
  <sheetData>
    <row r="1">
      <c r="A1" s="1"/>
      <c r="B1" s="1"/>
      <c r="C1" s="1"/>
      <c r="D1" s="1"/>
      <c r="E1" s="1"/>
      <c r="F1" s="2"/>
      <c r="G1" s="1"/>
      <c r="J1" s="1"/>
      <c r="K1" s="3"/>
      <c r="M1" s="3" t="s">
        <v>0</v>
      </c>
      <c r="N1" s="5">
        <v>8.0</v>
      </c>
      <c r="O1" s="6" t="s">
        <v>1</v>
      </c>
      <c r="Q1" s="5" t="s">
        <v>2</v>
      </c>
      <c r="R1" s="7"/>
    </row>
    <row r="2">
      <c r="A2" s="8" t="s">
        <v>3</v>
      </c>
      <c r="B2" s="8" t="s">
        <v>4</v>
      </c>
      <c r="C2" s="8" t="s">
        <v>5</v>
      </c>
      <c r="D2" s="8" t="s">
        <v>6</v>
      </c>
      <c r="E2" s="10" t="s">
        <v>7</v>
      </c>
      <c r="F2" s="11" t="s">
        <v>8</v>
      </c>
      <c r="G2" s="10" t="s">
        <v>9</v>
      </c>
      <c r="H2" s="8" t="s">
        <v>10</v>
      </c>
      <c r="I2" s="8" t="s">
        <v>11</v>
      </c>
      <c r="J2" s="12" t="s">
        <v>12</v>
      </c>
      <c r="K2" s="13" t="s">
        <v>13</v>
      </c>
      <c r="L2" s="13" t="s">
        <v>14</v>
      </c>
      <c r="M2" s="13" t="s">
        <v>15</v>
      </c>
      <c r="N2" s="13" t="s">
        <v>16</v>
      </c>
      <c r="O2" s="13" t="s">
        <v>2</v>
      </c>
      <c r="P2" s="13"/>
      <c r="Q2" s="13" t="s">
        <v>17</v>
      </c>
      <c r="R2" s="13"/>
    </row>
    <row r="3">
      <c r="A3" s="14"/>
      <c r="B3" s="15" t="s">
        <v>18</v>
      </c>
      <c r="E3" s="14"/>
      <c r="F3" s="16"/>
      <c r="G3" s="7"/>
      <c r="H3" s="7"/>
      <c r="I3" s="17"/>
      <c r="J3" s="14"/>
      <c r="K3" s="17"/>
      <c r="L3" s="18"/>
      <c r="M3" s="17"/>
      <c r="N3" s="17"/>
      <c r="O3" s="17"/>
      <c r="P3" s="17"/>
      <c r="Q3" s="18"/>
      <c r="R3" s="17"/>
    </row>
    <row r="4">
      <c r="A4" s="14" t="str">
        <f>IF($D4="","",VLOOKUP($D4,'components list'!$A$1:$G$1000,2,FALSE()))</f>
        <v>OEPS010011</v>
      </c>
      <c r="B4" s="19" t="s">
        <v>19</v>
      </c>
      <c r="C4" s="14">
        <v>2.0</v>
      </c>
      <c r="D4" s="7" t="str">
        <f t="array" ref="D4">IF(ISBLANK($F4),"",INDIRECT("components list!A"&amp;match(F4,'components list'!$D$1:$D$1000,0)))</f>
        <v>CAPACITOR:   SMD CER 0402 47pF 50V ±5% C0G   [04025A470JAT2A] [SMD]</v>
      </c>
      <c r="E4" s="14" t="str">
        <f>IF($D4="","",VLOOKUP($D4,'components list'!$A$1:$G$1000,3,FALSE()))</f>
        <v>SMD</v>
      </c>
      <c r="F4" s="16" t="s">
        <v>20</v>
      </c>
      <c r="G4" s="20" t="str">
        <f>IF($D4="","",VLOOKUP($D4,'components list'!$A$1:$G$1000,6,FALSE()))</f>
        <v>DigiKey</v>
      </c>
      <c r="H4" s="20" t="str">
        <f>IF($D4="","",VLOOKUP($D4,'components list'!$A$1:$G$1000,7,FALSE()))</f>
        <v>478-1078-6-ND</v>
      </c>
      <c r="I4" s="17"/>
      <c r="J4" s="14">
        <f>IF(AND(NOT($D4=""),ISNUMBER(C4)),IF($Q$1="Internal",0,VLOOKUP($D4,'components list'!$A$1:$G$1000,5,FALSE())),"")</f>
        <v>0</v>
      </c>
      <c r="K4" s="14">
        <f t="shared" ref="K4:K54" si="1">if(isnumber(L4),if($Q$1="Internal",C4*$N$1,C4*$N$1+J4),"")</f>
        <v>16</v>
      </c>
      <c r="L4" s="18">
        <f t="shared" ref="L4:L54" si="2">IF(AND(NOT(ISBLANK($D4)),ISNUMBER(C4)),IF(C4&gt;0,MAX(0,C4*$N$1+J4-M4),0),"")</f>
        <v>16</v>
      </c>
      <c r="M4" s="14" t="str">
        <f>IFNA(IF(ISBLANK($A4),"",VLOOKUP($A4,'components list'!$N$1:$AM$10000,4,FALSE())),"")</f>
        <v/>
      </c>
      <c r="N4" s="14" t="str">
        <f>IFNA(IF(ISBLANK($A4),"",VLOOKUP($A4,'components list'!$N$1:$AM$10000,3,FALSE())),"")</f>
        <v/>
      </c>
      <c r="O4" s="14">
        <f t="shared" ref="O4:O54" si="3">if(isnumber(L4),MAX(0,rounddown(M4/C4,0)),"")</f>
        <v>0</v>
      </c>
      <c r="P4" s="17" t="str">
        <f t="shared" ref="P4:P54" si="4">if(O4&gt;=$N$1,"OK","NOK")</f>
        <v>NOK</v>
      </c>
      <c r="Q4" s="18">
        <f>if(isnumber(L4),max(0,rounddown((M4-VLOOKUP($D4,'components list'!$A$1:$G$1000,5,FALSE()))/C4,0)),"")</f>
        <v>0</v>
      </c>
      <c r="R4" s="17" t="str">
        <f t="shared" ref="R4:R54" si="5">if(Q4&gt;=$N$1,"OK","NOK")</f>
        <v>NOK</v>
      </c>
    </row>
    <row r="5">
      <c r="A5" s="14" t="str">
        <f>IF($D5="","",VLOOKUP($D5,'components list'!$A$1:$G$1000,2,FALSE()))</f>
        <v>OEPS010017</v>
      </c>
      <c r="B5" s="19" t="s">
        <v>21</v>
      </c>
      <c r="C5" s="14">
        <v>1.0</v>
      </c>
      <c r="D5" s="7" t="str">
        <f t="array" ref="D5">IF(ISBLANK($F5),"",INDIRECT("components list!A"&amp;match(F5,'components list'!$D$1:$D$1000,0)))</f>
        <v>CAPACITOR:   SMD CER 0402 4.7nF 100V ±10% X7R   [885012205084] [SMD]</v>
      </c>
      <c r="E5" s="14" t="str">
        <f>IF($D5="","",VLOOKUP($D5,'components list'!$A$1:$G$1000,3,FALSE()))</f>
        <v>SMD</v>
      </c>
      <c r="F5" s="16" t="s">
        <v>22</v>
      </c>
      <c r="G5" s="20" t="str">
        <f>IF($D5="","",VLOOKUP($D5,'components list'!$A$1:$G$1000,6,FALSE()))</f>
        <v>DigiKey</v>
      </c>
      <c r="H5" s="20" t="str">
        <f>IF($D5="","",VLOOKUP($D5,'components list'!$A$1:$G$1000,7,FALSE()))</f>
        <v>732-12234-6-ND</v>
      </c>
      <c r="I5" s="17"/>
      <c r="J5" s="14">
        <f>IF(AND(NOT($D5=""),ISNUMBER(C5)),IF($Q$1="Internal",0,VLOOKUP($D5,'components list'!$A$1:$G$1000,5,FALSE())),"")</f>
        <v>0</v>
      </c>
      <c r="K5" s="14">
        <f t="shared" si="1"/>
        <v>8</v>
      </c>
      <c r="L5" s="18">
        <f t="shared" si="2"/>
        <v>0</v>
      </c>
      <c r="M5" s="14">
        <f>IFNA(IF(ISBLANK($A5),"",VLOOKUP($A5,'components list'!$N$1:$AM$10000,4,FALSE())),"")</f>
        <v>15</v>
      </c>
      <c r="N5" s="14" t="str">
        <f>IFNA(IF(ISBLANK($A5),"",VLOOKUP($A5,'components list'!$N$1:$AM$10000,3,FALSE())),"")</f>
        <v>6(Tp) 9(Tp) </v>
      </c>
      <c r="O5" s="14">
        <f t="shared" si="3"/>
        <v>15</v>
      </c>
      <c r="P5" s="17" t="str">
        <f t="shared" si="4"/>
        <v>OK</v>
      </c>
      <c r="Q5" s="18">
        <f>if(isnumber(L5),max(0,rounddown((M5-VLOOKUP($D5,'components list'!$A$1:$G$1000,5,FALSE()))/C5,0)),"")</f>
        <v>0</v>
      </c>
      <c r="R5" s="17" t="str">
        <f t="shared" si="5"/>
        <v>NOK</v>
      </c>
    </row>
    <row r="6">
      <c r="A6" s="14" t="str">
        <f>IF($D6="","",VLOOKUP($D6,'components list'!$A$1:$G$1000,2,FALSE()))</f>
        <v>OEPS010016</v>
      </c>
      <c r="B6" s="19" t="s">
        <v>23</v>
      </c>
      <c r="C6" s="14">
        <v>11.0</v>
      </c>
      <c r="D6" s="7" t="str">
        <f t="array" ref="D6">IF(ISBLANK($F6),"",INDIRECT("components list!A"&amp;match(F6,'components list'!$D$1:$D$1000,0)))</f>
        <v>CAPACITOR:   SMD CER 0402 100nF 50V ±10% X7R   [CGA2B3X7R1H104K050BB] [SMD]</v>
      </c>
      <c r="E6" s="14" t="str">
        <f>IF($D6="","",VLOOKUP($D6,'components list'!$A$1:$G$1000,3,FALSE()))</f>
        <v>SMD</v>
      </c>
      <c r="F6" s="16" t="s">
        <v>24</v>
      </c>
      <c r="G6" s="20" t="str">
        <f>IF($D6="","",VLOOKUP($D6,'components list'!$A$1:$G$1000,6,FALSE()))</f>
        <v>DigiKey</v>
      </c>
      <c r="H6" s="20" t="str">
        <f>IF($D6="","",VLOOKUP($D6,'components list'!$A$1:$G$1000,7,FALSE()))</f>
        <v>445-6899-6-ND</v>
      </c>
      <c r="I6" s="17"/>
      <c r="J6" s="14">
        <f>IF(AND(NOT($D6=""),ISNUMBER(C6)),IF($Q$1="Internal",0,VLOOKUP($D6,'components list'!$A$1:$G$1000,5,FALSE())),"")</f>
        <v>0</v>
      </c>
      <c r="K6" s="14">
        <f t="shared" si="1"/>
        <v>88</v>
      </c>
      <c r="L6" s="18">
        <f t="shared" si="2"/>
        <v>85</v>
      </c>
      <c r="M6" s="14">
        <f>IFNA(IF(ISBLANK($A6),"",VLOOKUP($A6,'components list'!$N$1:$AM$10000,4,FALSE())),"")</f>
        <v>3</v>
      </c>
      <c r="N6" s="14" t="str">
        <f>IFNA(IF(ISBLANK($A6),"",VLOOKUP($A6,'components list'!$N$1:$AM$10000,3,FALSE())),"")</f>
        <v>3(Tp) </v>
      </c>
      <c r="O6" s="14">
        <f t="shared" si="3"/>
        <v>0</v>
      </c>
      <c r="P6" s="17" t="str">
        <f t="shared" si="4"/>
        <v>NOK</v>
      </c>
      <c r="Q6" s="18">
        <f>if(isnumber(L6),max(0,rounddown((M6-VLOOKUP($D6,'components list'!$A$1:$G$1000,5,FALSE()))/C6,0)),"")</f>
        <v>0</v>
      </c>
      <c r="R6" s="17" t="str">
        <f t="shared" si="5"/>
        <v>NOK</v>
      </c>
    </row>
    <row r="7">
      <c r="A7" s="14" t="str">
        <f>IF($D7="","",VLOOKUP($D7,'components list'!$A$1:$G$1000,2,FALSE()))</f>
        <v>OEPS010015</v>
      </c>
      <c r="B7" s="19" t="s">
        <v>25</v>
      </c>
      <c r="C7" s="14">
        <v>4.0</v>
      </c>
      <c r="D7" s="7" t="str">
        <f t="array" ref="D7">IF(ISBLANK($F7),"",INDIRECT("components list!A"&amp;match(F7,'components list'!$D$1:$D$1000,0)))</f>
        <v>CAPACITOR:   SMD CER 0603 10uF 16V ±20% X5R   [EMK107BBJ106MA-T] [SMD]</v>
      </c>
      <c r="E7" s="14" t="str">
        <f>IF($D7="","",VLOOKUP($D7,'components list'!$A$1:$G$1000,3,FALSE()))</f>
        <v>SMD</v>
      </c>
      <c r="F7" s="16" t="s">
        <v>26</v>
      </c>
      <c r="G7" s="20" t="str">
        <f>IF($D7="","",VLOOKUP($D7,'components list'!$A$1:$G$1000,6,FALSE()))</f>
        <v>DigiKey</v>
      </c>
      <c r="H7" s="20" t="str">
        <f>IF($D7="","",VLOOKUP($D7,'components list'!$A$1:$G$1000,7,FALSE()))</f>
        <v>587-3238-6-ND</v>
      </c>
      <c r="I7" s="17"/>
      <c r="J7" s="14">
        <f>IF(AND(NOT($D7=""),ISNUMBER(C7)),IF($Q$1="Internal",0,VLOOKUP($D7,'components list'!$A$1:$G$1000,5,FALSE())),"")</f>
        <v>0</v>
      </c>
      <c r="K7" s="14">
        <f t="shared" si="1"/>
        <v>32</v>
      </c>
      <c r="L7" s="18">
        <f t="shared" si="2"/>
        <v>0</v>
      </c>
      <c r="M7" s="14">
        <f>IFNA(IF(ISBLANK($A7),"",VLOOKUP($A7,'components list'!$N$1:$AM$10000,4,FALSE())),"")</f>
        <v>53</v>
      </c>
      <c r="N7" s="14" t="str">
        <f>IFNA(IF(ISBLANK($A7),"",VLOOKUP($A7,'components list'!$N$1:$AM$10000,3,FALSE())),"")</f>
        <v>4(Tp) 49(Tp) </v>
      </c>
      <c r="O7" s="14">
        <f t="shared" si="3"/>
        <v>13</v>
      </c>
      <c r="P7" s="17" t="str">
        <f t="shared" si="4"/>
        <v>OK</v>
      </c>
      <c r="Q7" s="18">
        <f>if(isnumber(L7),max(0,rounddown((M7-VLOOKUP($D7,'components list'!$A$1:$G$1000,5,FALSE()))/C7,0)),"")</f>
        <v>8</v>
      </c>
      <c r="R7" s="17" t="str">
        <f t="shared" si="5"/>
        <v>OK</v>
      </c>
    </row>
    <row r="8">
      <c r="A8" s="14" t="str">
        <f>IF($D8="","",VLOOKUP($D8,'components list'!$A$1:$G$1000,2,FALSE()))</f>
        <v>OEPS210002</v>
      </c>
      <c r="B8" s="19" t="s">
        <v>27</v>
      </c>
      <c r="C8" s="14">
        <v>3.0</v>
      </c>
      <c r="D8" s="7" t="str">
        <f t="array" ref="D8">IF(ISBLANK($F8),"",INDIRECT("components list!A"&amp;match(F8,'components list'!$D$1:$D$1000,0)))</f>
        <v>CAPACITOR POL:   SMD TANT A 1206 100uF 10V ±20% 1.4Ohm   [TLJA107M010R1400] [SMD]</v>
      </c>
      <c r="E8" s="14" t="str">
        <f>IF($D8="","",VLOOKUP($D8,'components list'!$A$1:$G$1000,3,FALSE()))</f>
        <v>SMD</v>
      </c>
      <c r="F8" s="16" t="s">
        <v>28</v>
      </c>
      <c r="G8" s="20" t="str">
        <f>IF($D8="","",VLOOKUP($D8,'components list'!$A$1:$G$1000,6,FALSE()))</f>
        <v>DigiKey</v>
      </c>
      <c r="H8" s="20" t="str">
        <f>IF($D8="","",VLOOKUP($D8,'components list'!$A$1:$G$1000,7,FALSE()))</f>
        <v>478-5651-6-ND</v>
      </c>
      <c r="I8" s="17"/>
      <c r="J8" s="14">
        <f>IF(AND(NOT($D8=""),ISNUMBER(C8)),IF($Q$1="Internal",0,VLOOKUP($D8,'components list'!$A$1:$G$1000,5,FALSE())),"")</f>
        <v>0</v>
      </c>
      <c r="K8" s="14">
        <f t="shared" si="1"/>
        <v>24</v>
      </c>
      <c r="L8" s="18">
        <f t="shared" si="2"/>
        <v>24</v>
      </c>
      <c r="M8" s="14" t="str">
        <f>IFNA(IF(ISBLANK($A8),"",VLOOKUP($A8,'components list'!$N$1:$AM$10000,4,FALSE())),"")</f>
        <v/>
      </c>
      <c r="N8" s="14" t="str">
        <f>IFNA(IF(ISBLANK($A8),"",VLOOKUP($A8,'components list'!$N$1:$AM$10000,3,FALSE())),"")</f>
        <v/>
      </c>
      <c r="O8" s="14">
        <f t="shared" si="3"/>
        <v>0</v>
      </c>
      <c r="P8" s="17" t="str">
        <f t="shared" si="4"/>
        <v>NOK</v>
      </c>
      <c r="Q8" s="18">
        <f>if(isnumber(L8),max(0,rounddown((M8-VLOOKUP($D8,'components list'!$A$1:$G$1000,5,FALSE()))/C8,0)),"")</f>
        <v>0</v>
      </c>
      <c r="R8" s="17" t="str">
        <f t="shared" si="5"/>
        <v>NOK</v>
      </c>
    </row>
    <row r="9">
      <c r="A9" s="14" t="str">
        <f>IF($D9="","",VLOOKUP($D9,'components list'!$A$1:$G$1000,2,FALSE()))</f>
        <v>OEPS020034</v>
      </c>
      <c r="B9" s="19" t="s">
        <v>29</v>
      </c>
      <c r="C9" s="14">
        <v>1.0</v>
      </c>
      <c r="D9" s="7" t="str">
        <f t="array" ref="D9">IF(ISBLANK($F9),"",INDIRECT("components list!A"&amp;match(F9,'components list'!$D$1:$D$1000,0)))</f>
        <v>RESISTOR:   SMD 0402 39Ω ±1% 0.250W   [RCS040239R0FKED] [SMD]</v>
      </c>
      <c r="E9" s="14" t="str">
        <f>IF($D9="","",VLOOKUP($D9,'components list'!$A$1:$G$1000,3,FALSE()))</f>
        <v>SMD</v>
      </c>
      <c r="F9" s="16" t="s">
        <v>30</v>
      </c>
      <c r="G9" s="20" t="str">
        <f>IF($D9="","",VLOOKUP($D9,'components list'!$A$1:$G$1000,6,FALSE()))</f>
        <v>DigiKey</v>
      </c>
      <c r="H9" s="20" t="str">
        <f>IF($D9="","",VLOOKUP($D9,'components list'!$A$1:$G$1000,7,FALSE()))</f>
        <v>541-10407-6-ND</v>
      </c>
      <c r="I9" s="17"/>
      <c r="J9" s="14">
        <f>IF(AND(NOT($D9=""),ISNUMBER(C9)),IF($Q$1="Internal",0,VLOOKUP($D9,'components list'!$A$1:$G$1000,5,FALSE())),"")</f>
        <v>0</v>
      </c>
      <c r="K9" s="14">
        <f t="shared" si="1"/>
        <v>8</v>
      </c>
      <c r="L9" s="18">
        <f t="shared" si="2"/>
        <v>0</v>
      </c>
      <c r="M9" s="14">
        <f>IFNA(IF(ISBLANK($A9),"",VLOOKUP($A9,'components list'!$N$1:$AM$10000,4,FALSE())),"")</f>
        <v>13</v>
      </c>
      <c r="N9" s="14" t="str">
        <f>IFNA(IF(ISBLANK($A9),"",VLOOKUP($A9,'components list'!$N$1:$AM$10000,3,FALSE())),"")</f>
        <v>10(Tp) 3(Tp) </v>
      </c>
      <c r="O9" s="14">
        <f t="shared" si="3"/>
        <v>13</v>
      </c>
      <c r="P9" s="17" t="str">
        <f t="shared" si="4"/>
        <v>OK</v>
      </c>
      <c r="Q9" s="18">
        <f>if(isnumber(L9),max(0,rounddown((M9-VLOOKUP($D9,'components list'!$A$1:$G$1000,5,FALSE()))/C9,0)),"")</f>
        <v>0</v>
      </c>
      <c r="R9" s="17" t="str">
        <f t="shared" si="5"/>
        <v>NOK</v>
      </c>
    </row>
    <row r="10">
      <c r="A10" s="14" t="str">
        <f>IF($D10="","",VLOOKUP($D10,'components list'!$A$1:$G$1000,2,FALSE()))</f>
        <v>OEPS020027</v>
      </c>
      <c r="B10" s="19" t="s">
        <v>31</v>
      </c>
      <c r="C10" s="14">
        <v>5.0</v>
      </c>
      <c r="D10" s="7" t="str">
        <f t="array" ref="D10">IF(ISBLANK($F10),"",INDIRECT("components list!A"&amp;match(F10,'components list'!$D$1:$D$1000,0)))</f>
        <v>RESISTOR:   SMD 0402 1kΩ ±1% 0.063W   [CRCW04021K00FKED] [SMD]</v>
      </c>
      <c r="E10" s="14" t="str">
        <f>IF($D10="","",VLOOKUP($D10,'components list'!$A$1:$G$1000,3,FALSE()))</f>
        <v>SMD</v>
      </c>
      <c r="F10" s="16" t="s">
        <v>32</v>
      </c>
      <c r="G10" s="20" t="str">
        <f>IF($D10="","",VLOOKUP($D10,'components list'!$A$1:$G$1000,6,FALSE()))</f>
        <v>DigiKey</v>
      </c>
      <c r="H10" s="20" t="str">
        <f>IF($D10="","",VLOOKUP($D10,'components list'!$A$1:$G$1000,7,FALSE()))</f>
        <v>541-1.00KLDKR-ND</v>
      </c>
      <c r="I10" s="17"/>
      <c r="J10" s="14">
        <f>IF(AND(NOT($D10=""),ISNUMBER(C10)),IF($Q$1="Internal",0,VLOOKUP($D10,'components list'!$A$1:$G$1000,5,FALSE())),"")</f>
        <v>0</v>
      </c>
      <c r="K10" s="14">
        <f t="shared" si="1"/>
        <v>40</v>
      </c>
      <c r="L10" s="18">
        <f t="shared" si="2"/>
        <v>40</v>
      </c>
      <c r="M10" s="14" t="str">
        <f>IFNA(IF(ISBLANK($A10),"",VLOOKUP($A10,'components list'!$N$1:$AM$10000,4,FALSE())),"")</f>
        <v/>
      </c>
      <c r="N10" s="14" t="str">
        <f>IFNA(IF(ISBLANK($A10),"",VLOOKUP($A10,'components list'!$N$1:$AM$10000,3,FALSE())),"")</f>
        <v/>
      </c>
      <c r="O10" s="14">
        <f t="shared" si="3"/>
        <v>0</v>
      </c>
      <c r="P10" s="17" t="str">
        <f t="shared" si="4"/>
        <v>NOK</v>
      </c>
      <c r="Q10" s="18">
        <f>if(isnumber(L10),max(0,rounddown((M10-VLOOKUP($D10,'components list'!$A$1:$G$1000,5,FALSE()))/C10,0)),"")</f>
        <v>0</v>
      </c>
      <c r="R10" s="17" t="str">
        <f t="shared" si="5"/>
        <v>NOK</v>
      </c>
    </row>
    <row r="11">
      <c r="A11" s="14" t="str">
        <f>IF($D11="","",VLOOKUP($D11,'components list'!$A$1:$G$1000,2,FALSE()))</f>
        <v>OEPS020030</v>
      </c>
      <c r="B11" s="19" t="s">
        <v>33</v>
      </c>
      <c r="C11" s="14">
        <v>1.0</v>
      </c>
      <c r="D11" s="7" t="str">
        <f t="array" ref="D11">IF(ISBLANK($F11),"",INDIRECT("components list!A"&amp;match(F11,'components list'!$D$1:$D$1000,0)))</f>
        <v>RESISTOR:   SMD 0402 10kΩ ±1% 0.063W   [CRCW040210K0FKED] [SMD]</v>
      </c>
      <c r="E11" s="14" t="str">
        <f>IF($D11="","",VLOOKUP($D11,'components list'!$A$1:$G$1000,3,FALSE()))</f>
        <v>SMD</v>
      </c>
      <c r="F11" s="16" t="s">
        <v>34</v>
      </c>
      <c r="G11" s="20" t="str">
        <f>IF($D11="","",VLOOKUP($D11,'components list'!$A$1:$G$1000,6,FALSE()))</f>
        <v>DigiKey</v>
      </c>
      <c r="H11" s="20" t="str">
        <f>IF($D11="","",VLOOKUP($D11,'components list'!$A$1:$G$1000,7,FALSE()))</f>
        <v>541-10.0KLDKR-ND</v>
      </c>
      <c r="I11" s="17"/>
      <c r="J11" s="14">
        <f>IF(AND(NOT($D11=""),ISNUMBER(C11)),IF($Q$1="Internal",0,VLOOKUP($D11,'components list'!$A$1:$G$1000,5,FALSE())),"")</f>
        <v>0</v>
      </c>
      <c r="K11" s="14">
        <f t="shared" si="1"/>
        <v>8</v>
      </c>
      <c r="L11" s="18">
        <f t="shared" si="2"/>
        <v>7</v>
      </c>
      <c r="M11" s="14">
        <f>IFNA(IF(ISBLANK($A11),"",VLOOKUP($A11,'components list'!$N$1:$AM$10000,4,FALSE())),"")</f>
        <v>1</v>
      </c>
      <c r="N11" s="14" t="str">
        <f>IFNA(IF(ISBLANK($A11),"",VLOOKUP($A11,'components list'!$N$1:$AM$10000,3,FALSE())),"")</f>
        <v>1(Tp) </v>
      </c>
      <c r="O11" s="14">
        <f t="shared" si="3"/>
        <v>1</v>
      </c>
      <c r="P11" s="17" t="str">
        <f t="shared" si="4"/>
        <v>NOK</v>
      </c>
      <c r="Q11" s="18">
        <f>if(isnumber(L11),max(0,rounddown((M11-VLOOKUP($D11,'components list'!$A$1:$G$1000,5,FALSE()))/C11,0)),"")</f>
        <v>0</v>
      </c>
      <c r="R11" s="17" t="str">
        <f t="shared" si="5"/>
        <v>NOK</v>
      </c>
    </row>
    <row r="12">
      <c r="A12" s="14" t="str">
        <f>IF($D12="","",VLOOKUP($D12,'components list'!$A$1:$G$1000,2,FALSE()))</f>
        <v>OEPS020026</v>
      </c>
      <c r="B12" s="19" t="s">
        <v>35</v>
      </c>
      <c r="C12" s="14">
        <v>1.0</v>
      </c>
      <c r="D12" s="7" t="str">
        <f t="array" ref="D12">IF(ISBLANK($F12),"",INDIRECT("components list!A"&amp;match(F12,'components list'!$D$1:$D$1000,0)))</f>
        <v>RESISTOR:   SMD 0402 1MΩ ±1% 0.063W   [CRCW04021M00FKED] [SMD]</v>
      </c>
      <c r="E12" s="14" t="str">
        <f>IF($D12="","",VLOOKUP($D12,'components list'!$A$1:$G$1000,3,FALSE()))</f>
        <v>SMD</v>
      </c>
      <c r="F12" s="16" t="s">
        <v>36</v>
      </c>
      <c r="G12" s="20" t="str">
        <f>IF($D12="","",VLOOKUP($D12,'components list'!$A$1:$G$1000,6,FALSE()))</f>
        <v>DigiKey</v>
      </c>
      <c r="H12" s="20" t="str">
        <f>IF($D12="","",VLOOKUP($D12,'components list'!$A$1:$G$1000,7,FALSE()))</f>
        <v>541-1.00MLDKR-ND</v>
      </c>
      <c r="I12" s="17"/>
      <c r="J12" s="14">
        <f>IF(AND(NOT($D12=""),ISNUMBER(C12)),IF($Q$1="Internal",0,VLOOKUP($D12,'components list'!$A$1:$G$1000,5,FALSE())),"")</f>
        <v>0</v>
      </c>
      <c r="K12" s="14">
        <f t="shared" si="1"/>
        <v>8</v>
      </c>
      <c r="L12" s="18">
        <f t="shared" si="2"/>
        <v>8</v>
      </c>
      <c r="M12" s="14" t="str">
        <f>IFNA(IF(ISBLANK($A12),"",VLOOKUP($A12,'components list'!$N$1:$AM$10000,4,FALSE())),"")</f>
        <v/>
      </c>
      <c r="N12" s="14" t="str">
        <f>IFNA(IF(ISBLANK($A12),"",VLOOKUP($A12,'components list'!$N$1:$AM$10000,3,FALSE())),"")</f>
        <v/>
      </c>
      <c r="O12" s="14">
        <f t="shared" si="3"/>
        <v>0</v>
      </c>
      <c r="P12" s="17" t="str">
        <f t="shared" si="4"/>
        <v>NOK</v>
      </c>
      <c r="Q12" s="18">
        <f>if(isnumber(L12),max(0,rounddown((M12-VLOOKUP($D12,'components list'!$A$1:$G$1000,5,FALSE()))/C12,0)),"")</f>
        <v>0</v>
      </c>
      <c r="R12" s="17" t="str">
        <f t="shared" si="5"/>
        <v>NOK</v>
      </c>
    </row>
    <row r="13">
      <c r="A13" s="14" t="str">
        <f>IF($D13="","",VLOOKUP($D13,'components list'!$A$1:$G$1000,2,FALSE()))</f>
        <v>OEPS040003</v>
      </c>
      <c r="B13" s="19" t="s">
        <v>37</v>
      </c>
      <c r="C13" s="14">
        <v>1.0</v>
      </c>
      <c r="D13" s="7" t="str">
        <f t="array" ref="D13">IF(ISBLANK($F13),"",INDIRECT("components list!A"&amp;match(F13,'components list'!$D$1:$D$1000,0)))</f>
        <v>INDUCTOR:   FERRITE BEAD SMD 40Ω 2A 50mΩ   [MI0805K400R-10] [0805]</v>
      </c>
      <c r="E13" s="14" t="str">
        <f>IF($D13="","",VLOOKUP($D13,'components list'!$A$1:$G$1000,3,FALSE()))</f>
        <v>SMD</v>
      </c>
      <c r="F13" s="16" t="s">
        <v>38</v>
      </c>
      <c r="G13" s="20" t="str">
        <f>IF($D13="","",VLOOKUP($D13,'components list'!$A$1:$G$1000,6,FALSE()))</f>
        <v>DigiKey</v>
      </c>
      <c r="H13" s="20" t="str">
        <f>IF($D13="","",VLOOKUP($D13,'components list'!$A$1:$G$1000,7,FALSE()))</f>
        <v>240-2389-6-ND</v>
      </c>
      <c r="I13" s="17"/>
      <c r="J13" s="14">
        <f>IF(AND(NOT($D13=""),ISNUMBER(C13)),IF($Q$1="Internal",0,VLOOKUP($D13,'components list'!$A$1:$G$1000,5,FALSE())),"")</f>
        <v>0</v>
      </c>
      <c r="K13" s="14">
        <f t="shared" si="1"/>
        <v>8</v>
      </c>
      <c r="L13" s="18">
        <f t="shared" si="2"/>
        <v>6</v>
      </c>
      <c r="M13" s="14">
        <f>IFNA(IF(ISBLANK($A13),"",VLOOKUP($A13,'components list'!$N$1:$AM$10000,4,FALSE())),"")</f>
        <v>2</v>
      </c>
      <c r="N13" s="14" t="str">
        <f>IFNA(IF(ISBLANK($A13),"",VLOOKUP($A13,'components list'!$N$1:$AM$10000,3,FALSE())),"")</f>
        <v>2(Tp) </v>
      </c>
      <c r="O13" s="14">
        <f t="shared" si="3"/>
        <v>2</v>
      </c>
      <c r="P13" s="17" t="str">
        <f t="shared" si="4"/>
        <v>NOK</v>
      </c>
      <c r="Q13" s="18">
        <f>if(isnumber(L13),max(0,rounddown((M13-VLOOKUP($D13,'components list'!$A$1:$G$1000,5,FALSE()))/C13,0)),"")</f>
        <v>0</v>
      </c>
      <c r="R13" s="17" t="str">
        <f t="shared" si="5"/>
        <v>NOK</v>
      </c>
    </row>
    <row r="14">
      <c r="A14" s="14" t="str">
        <f>IF($D14="","",VLOOKUP($D14,'components list'!$A$1:$G$1000,2,FALSE()))</f>
        <v>OEPS060005</v>
      </c>
      <c r="B14" s="19" t="s">
        <v>39</v>
      </c>
      <c r="C14" s="14">
        <v>1.0</v>
      </c>
      <c r="D14" s="7" t="str">
        <f t="array" ref="D14">IF(ISBLANK($F14),"",INDIRECT("components list!A"&amp;match(F14,'components list'!$D$1:$D$1000,0)))</f>
        <v>TRANSISTOR:   BJT NPN 45V 0.5A   [BC817-40W-7] [SOT-323]</v>
      </c>
      <c r="E14" s="14" t="str">
        <f>IF($D14="","",VLOOKUP($D14,'components list'!$A$1:$G$1000,3,FALSE()))</f>
        <v>SMD</v>
      </c>
      <c r="F14" s="16" t="s">
        <v>40</v>
      </c>
      <c r="G14" s="20" t="str">
        <f>IF($D14="","",VLOOKUP($D14,'components list'!$A$1:$G$1000,6,FALSE()))</f>
        <v>DigiKey</v>
      </c>
      <c r="H14" s="20" t="str">
        <f>IF($D14="","",VLOOKUP($D14,'components list'!$A$1:$G$1000,7,FALSE()))</f>
        <v>BC817-40WDIDKR-ND</v>
      </c>
      <c r="I14" s="17"/>
      <c r="J14" s="14">
        <f>IF(AND(NOT($D14=""),ISNUMBER(C14)),IF($Q$1="Internal",0,VLOOKUP($D14,'components list'!$A$1:$G$1000,5,FALSE())),"")</f>
        <v>0</v>
      </c>
      <c r="K14" s="14">
        <f t="shared" si="1"/>
        <v>8</v>
      </c>
      <c r="L14" s="18">
        <f t="shared" si="2"/>
        <v>5</v>
      </c>
      <c r="M14" s="14">
        <f>IFNA(IF(ISBLANK($A14),"",VLOOKUP($A14,'components list'!$N$1:$AM$10000,4,FALSE())),"")</f>
        <v>3</v>
      </c>
      <c r="N14" s="14" t="str">
        <f>IFNA(IF(ISBLANK($A14),"",VLOOKUP($A14,'components list'!$N$1:$AM$10000,3,FALSE())),"")</f>
        <v>3(Tp) </v>
      </c>
      <c r="O14" s="14">
        <f t="shared" si="3"/>
        <v>3</v>
      </c>
      <c r="P14" s="17" t="str">
        <f t="shared" si="4"/>
        <v>NOK</v>
      </c>
      <c r="Q14" s="18">
        <f>if(isnumber(L14),max(0,rounddown((M14-VLOOKUP($D14,'components list'!$A$1:$G$1000,5,FALSE()))/C14,0)),"")</f>
        <v>0</v>
      </c>
      <c r="R14" s="17" t="str">
        <f t="shared" si="5"/>
        <v>NOK</v>
      </c>
    </row>
    <row r="15">
      <c r="A15" s="14" t="str">
        <f>IF($D15="","",VLOOKUP($D15,'components list'!$A$1:$G$1000,2,FALSE()))</f>
        <v>OEPS060004</v>
      </c>
      <c r="B15" s="19" t="s">
        <v>41</v>
      </c>
      <c r="C15" s="14">
        <v>1.0</v>
      </c>
      <c r="D15" s="7" t="str">
        <f t="array" ref="D15">IF(ISBLANK($F15),"",INDIRECT("components list!A"&amp;match(F15,'components list'!$D$1:$D$1000,0)))</f>
        <v>TRANSISTOR:   MOSFET P-CH 60V 1.7A   [NTF2955T1G] [SOT-223]</v>
      </c>
      <c r="E15" s="14" t="str">
        <f>IF($D15="","",VLOOKUP($D15,'components list'!$A$1:$G$1000,3,FALSE()))</f>
        <v>SMD</v>
      </c>
      <c r="F15" s="16" t="s">
        <v>42</v>
      </c>
      <c r="G15" s="20" t="str">
        <f>IF($D15="","",VLOOKUP($D15,'components list'!$A$1:$G$1000,6,FALSE()))</f>
        <v>DigiKey</v>
      </c>
      <c r="H15" s="20" t="str">
        <f>IF($D15="","",VLOOKUP($D15,'components list'!$A$1:$G$1000,7,FALSE()))</f>
        <v>NTF2955T1GOSDKR-ND</v>
      </c>
      <c r="I15" s="17"/>
      <c r="J15" s="14">
        <f>IF(AND(NOT($D15=""),ISNUMBER(C15)),IF($Q$1="Internal",0,VLOOKUP($D15,'components list'!$A$1:$G$1000,5,FALSE())),"")</f>
        <v>0</v>
      </c>
      <c r="K15" s="14">
        <f t="shared" si="1"/>
        <v>8</v>
      </c>
      <c r="L15" s="18">
        <f t="shared" si="2"/>
        <v>0</v>
      </c>
      <c r="M15" s="14">
        <f>IFNA(IF(ISBLANK($A15),"",VLOOKUP($A15,'components list'!$N$1:$AM$10000,4,FALSE())),"")</f>
        <v>10</v>
      </c>
      <c r="N15" s="14" t="str">
        <f>IFNA(IF(ISBLANK($A15),"",VLOOKUP($A15,'components list'!$N$1:$AM$10000,3,FALSE())),"")</f>
        <v>10 </v>
      </c>
      <c r="O15" s="14">
        <f t="shared" si="3"/>
        <v>10</v>
      </c>
      <c r="P15" s="17" t="str">
        <f t="shared" si="4"/>
        <v>OK</v>
      </c>
      <c r="Q15" s="18">
        <f>if(isnumber(L15),max(0,rounddown((M15-VLOOKUP($D15,'components list'!$A$1:$G$1000,5,FALSE()))/C15,0)),"")</f>
        <v>7</v>
      </c>
      <c r="R15" s="17" t="str">
        <f t="shared" si="5"/>
        <v>NOK</v>
      </c>
    </row>
    <row r="16">
      <c r="A16" s="14" t="str">
        <f>IF($D16="","",VLOOKUP($D16,'components list'!$A$1:$G$1000,2,FALSE()))</f>
        <v>OEPS030006</v>
      </c>
      <c r="B16" s="19" t="s">
        <v>43</v>
      </c>
      <c r="C16" s="14">
        <v>4.0</v>
      </c>
      <c r="D16" s="7" t="str">
        <f t="array" ref="D16">IF(ISBLANK($F16),"",INDIRECT("components list!A"&amp;match(F16,'components list'!$D$1:$D$1000,0)))</f>
        <v>DIODE:   LED 0603 Red 635nm 20mA   [5975004407F] [0603]</v>
      </c>
      <c r="E16" s="14" t="str">
        <f>IF($D16="","",VLOOKUP($D16,'components list'!$A$1:$G$1000,3,FALSE()))</f>
        <v>SMD</v>
      </c>
      <c r="F16" s="16" t="s">
        <v>44</v>
      </c>
      <c r="G16" s="20" t="str">
        <f>IF($D16="","",VLOOKUP($D16,'components list'!$A$1:$G$1000,6,FALSE()))</f>
        <v>DigiKey</v>
      </c>
      <c r="H16" s="20" t="str">
        <f>IF($D16="","",VLOOKUP($D16,'components list'!$A$1:$G$1000,7,FALSE()))</f>
        <v>350-2950-6-ND</v>
      </c>
      <c r="I16" s="17"/>
      <c r="J16" s="14">
        <f>IF(AND(NOT($D16=""),ISNUMBER(C16)),IF($Q$1="Internal",0,VLOOKUP($D16,'components list'!$A$1:$G$1000,5,FALSE())),"")</f>
        <v>0</v>
      </c>
      <c r="K16" s="14">
        <f t="shared" si="1"/>
        <v>32</v>
      </c>
      <c r="L16" s="18">
        <f t="shared" si="2"/>
        <v>32</v>
      </c>
      <c r="M16" s="14" t="str">
        <f>IFNA(IF(ISBLANK($A16),"",VLOOKUP($A16,'components list'!$N$1:$AM$10000,4,FALSE())),"")</f>
        <v/>
      </c>
      <c r="N16" s="14" t="str">
        <f>IFNA(IF(ISBLANK($A16),"",VLOOKUP($A16,'components list'!$N$1:$AM$10000,3,FALSE())),"")</f>
        <v/>
      </c>
      <c r="O16" s="14">
        <f t="shared" si="3"/>
        <v>0</v>
      </c>
      <c r="P16" s="17" t="str">
        <f t="shared" si="4"/>
        <v>NOK</v>
      </c>
      <c r="Q16" s="18">
        <f>if(isnumber(L16),max(0,rounddown((M16-VLOOKUP($D16,'components list'!$A$1:$G$1000,5,FALSE()))/C16,0)),"")</f>
        <v>0</v>
      </c>
      <c r="R16" s="17" t="str">
        <f t="shared" si="5"/>
        <v>NOK</v>
      </c>
    </row>
    <row r="17">
      <c r="A17" s="14" t="str">
        <f>IF($D17="","",VLOOKUP($D17,'components list'!$A$1:$G$1000,2,FALSE()))</f>
        <v>OEPS100012</v>
      </c>
      <c r="B17" s="19" t="s">
        <v>45</v>
      </c>
      <c r="C17" s="14">
        <v>1.0</v>
      </c>
      <c r="D17" s="7" t="str">
        <f t="array" ref="D17">IF(ISBLANK($F17),"",INDIRECT("components list!A"&amp;match(F17,'components list'!$D$1:$D$1000,0)))</f>
        <v>OTHER:   BUZZER MAGNETIC 3V 5X5MM SMD   [SMT-0540-S-R] [SMD]</v>
      </c>
      <c r="E17" s="14" t="str">
        <f>IF($D17="","",VLOOKUP($D17,'components list'!$A$1:$G$1000,3,FALSE()))</f>
        <v>SMD</v>
      </c>
      <c r="F17" s="16" t="s">
        <v>46</v>
      </c>
      <c r="G17" s="20" t="str">
        <f>IF($D17="","",VLOOKUP($D17,'components list'!$A$1:$G$1000,6,FALSE()))</f>
        <v>DigiKey</v>
      </c>
      <c r="H17" s="20" t="str">
        <f>IF($D17="","",VLOOKUP($D17,'components list'!$A$1:$G$1000,7,FALSE()))</f>
        <v>668-1060-6-ND</v>
      </c>
      <c r="I17" s="17"/>
      <c r="J17" s="14">
        <f>IF(AND(NOT($D17=""),ISNUMBER(C17)),IF($Q$1="Internal",0,VLOOKUP($D17,'components list'!$A$1:$G$1000,5,FALSE())),"")</f>
        <v>0</v>
      </c>
      <c r="K17" s="14">
        <f t="shared" si="1"/>
        <v>8</v>
      </c>
      <c r="L17" s="18">
        <f t="shared" si="2"/>
        <v>8</v>
      </c>
      <c r="M17" s="14" t="str">
        <f>IFNA(IF(ISBLANK($A17),"",VLOOKUP($A17,'components list'!$N$1:$AM$10000,4,FALSE())),"")</f>
        <v/>
      </c>
      <c r="N17" s="14" t="str">
        <f>IFNA(IF(ISBLANK($A17),"",VLOOKUP($A17,'components list'!$N$1:$AM$10000,3,FALSE())),"")</f>
        <v/>
      </c>
      <c r="O17" s="14">
        <f t="shared" si="3"/>
        <v>0</v>
      </c>
      <c r="P17" s="17" t="str">
        <f t="shared" si="4"/>
        <v>NOK</v>
      </c>
      <c r="Q17" s="18">
        <f>if(isnumber(L17),max(0,rounddown((M17-VLOOKUP($D17,'components list'!$A$1:$G$1000,5,FALSE()))/C17,0)),"")</f>
        <v>0</v>
      </c>
      <c r="R17" s="17" t="str">
        <f t="shared" si="5"/>
        <v>NOK</v>
      </c>
    </row>
    <row r="18">
      <c r="A18" s="14" t="str">
        <f>IF($D18="","",VLOOKUP($D18,'components list'!$A$1:$G$1000,2,FALSE()))</f>
        <v>OEPS080013</v>
      </c>
      <c r="B18" s="19" t="s">
        <v>47</v>
      </c>
      <c r="C18" s="14">
        <v>1.0</v>
      </c>
      <c r="D18" s="7" t="str">
        <f t="array" ref="D18">IF(ISBLANK($F18),"",INDIRECT("components list!A"&amp;match(F18,'components list'!$D$1:$D$1000,0)))</f>
        <v>IC:   USB Interface IC USB to Serial UART (OEPS NP1 073)   [FT232RL-REEL] [SSOP-28]</v>
      </c>
      <c r="E18" s="14" t="str">
        <f>IF($D18="","",VLOOKUP($D18,'components list'!$A$1:$G$1000,3,FALSE()))</f>
        <v>SMD</v>
      </c>
      <c r="F18" s="16" t="s">
        <v>48</v>
      </c>
      <c r="G18" s="20" t="str">
        <f>IF($D18="","",VLOOKUP($D18,'components list'!$A$1:$G$1000,6,FALSE()))</f>
        <v>DigiKey</v>
      </c>
      <c r="H18" s="20" t="str">
        <f>IF($D18="","",VLOOKUP($D18,'components list'!$A$1:$G$1000,7,FALSE()))</f>
        <v>768-1007-6-ND</v>
      </c>
      <c r="I18" s="17"/>
      <c r="J18" s="14">
        <f>IF(AND(NOT($D18=""),ISNUMBER(C18)),IF($Q$1="Internal",0,VLOOKUP($D18,'components list'!$A$1:$G$1000,5,FALSE())),"")</f>
        <v>0</v>
      </c>
      <c r="K18" s="14">
        <f t="shared" si="1"/>
        <v>8</v>
      </c>
      <c r="L18" s="18">
        <f t="shared" si="2"/>
        <v>0</v>
      </c>
      <c r="M18" s="14">
        <f>IFNA(IF(ISBLANK($A18),"",VLOOKUP($A18,'components list'!$N$1:$AM$10000,4,FALSE())),"")</f>
        <v>64</v>
      </c>
      <c r="N18" s="14" t="str">
        <f>IFNA(IF(ISBLANK($A18),"",VLOOKUP($A18,'components list'!$N$1:$AM$10000,3,FALSE())),"")</f>
        <v>48(Tp) 16 </v>
      </c>
      <c r="O18" s="14">
        <f t="shared" si="3"/>
        <v>64</v>
      </c>
      <c r="P18" s="17" t="str">
        <f t="shared" si="4"/>
        <v>OK</v>
      </c>
      <c r="Q18" s="18">
        <f>if(isnumber(L18),max(0,rounddown((M18-VLOOKUP($D18,'components list'!$A$1:$G$1000,5,FALSE()))/C18,0)),"")</f>
        <v>63</v>
      </c>
      <c r="R18" s="17" t="str">
        <f t="shared" si="5"/>
        <v>OK</v>
      </c>
    </row>
    <row r="19">
      <c r="A19" s="14" t="str">
        <f>IF($D19="","",VLOOKUP($D19,'components list'!$A$1:$G$1000,2,FALSE()))</f>
        <v>OEPS080016</v>
      </c>
      <c r="B19" s="19" t="s">
        <v>49</v>
      </c>
      <c r="C19" s="14">
        <v>1.0</v>
      </c>
      <c r="D19" s="7" t="str">
        <f t="array" ref="D19">IF(ISBLANK($F19),"",INDIRECT("components list!A"&amp;match(F19,'components list'!$D$1:$D$1000,0)))</f>
        <v>IC:   LDO 3.3V 250mA   [LP5907MFX-3.3/NOPB] [SOT-23-5]</v>
      </c>
      <c r="E19" s="14" t="str">
        <f>IF($D19="","",VLOOKUP($D19,'components list'!$A$1:$G$1000,3,FALSE()))</f>
        <v>SMD</v>
      </c>
      <c r="F19" s="16" t="s">
        <v>50</v>
      </c>
      <c r="G19" s="20" t="str">
        <f>IF($D19="","",VLOOKUP($D19,'components list'!$A$1:$G$1000,6,FALSE()))</f>
        <v>DigiKey</v>
      </c>
      <c r="H19" s="20" t="str">
        <f>IF($D19="","",VLOOKUP($D19,'components list'!$A$1:$G$1000,7,FALSE()))</f>
        <v>296-38557-6-ND</v>
      </c>
      <c r="I19" s="17"/>
      <c r="J19" s="14">
        <f>IF(AND(NOT($D19=""),ISNUMBER(C19)),IF($Q$1="Internal",0,VLOOKUP($D19,'components list'!$A$1:$G$1000,5,FALSE())),"")</f>
        <v>0</v>
      </c>
      <c r="K19" s="14">
        <f t="shared" si="1"/>
        <v>8</v>
      </c>
      <c r="L19" s="18">
        <f t="shared" si="2"/>
        <v>0</v>
      </c>
      <c r="M19" s="14">
        <f>IFNA(IF(ISBLANK($A19),"",VLOOKUP($A19,'components list'!$N$1:$AM$10000,4,FALSE())),"")</f>
        <v>47</v>
      </c>
      <c r="N19" s="14" t="str">
        <f>IFNA(IF(ISBLANK($A19),"",VLOOKUP($A19,'components list'!$N$1:$AM$10000,3,FALSE())),"")</f>
        <v>47(Tp) </v>
      </c>
      <c r="O19" s="14">
        <f t="shared" si="3"/>
        <v>47</v>
      </c>
      <c r="P19" s="17" t="str">
        <f t="shared" si="4"/>
        <v>OK</v>
      </c>
      <c r="Q19" s="18">
        <f>if(isnumber(L19),max(0,rounddown((M19-VLOOKUP($D19,'components list'!$A$1:$G$1000,5,FALSE()))/C19,0)),"")</f>
        <v>42</v>
      </c>
      <c r="R19" s="17" t="str">
        <f t="shared" si="5"/>
        <v>OK</v>
      </c>
    </row>
    <row r="20">
      <c r="A20" s="14" t="str">
        <f>IF($D20="","",VLOOKUP($D20,'components list'!$A$1:$G$1000,2,FALSE()))</f>
        <v>OEPS080012</v>
      </c>
      <c r="B20" s="19" t="s">
        <v>51</v>
      </c>
      <c r="C20" s="14">
        <v>1.0</v>
      </c>
      <c r="D20" s="7" t="str">
        <f t="array" ref="D20">IF(ISBLANK($F20),"",INDIRECT("components list!A"&amp;match(F20,'components list'!$D$1:$D$1000,0)))</f>
        <v>IC:   MCU ATXMEGA A4U 8bits 32KB   [ATXMEGA32A4U-A] [	TQFP-44]</v>
      </c>
      <c r="E20" s="14" t="str">
        <f>IF($D20="","",VLOOKUP($D20,'components list'!$A$1:$G$1000,3,FALSE()))</f>
        <v>SMD</v>
      </c>
      <c r="F20" s="16" t="s">
        <v>52</v>
      </c>
      <c r="G20" s="20" t="str">
        <f>IF($D20="","",VLOOKUP($D20,'components list'!$A$1:$G$1000,6,FALSE()))</f>
        <v>DigiKey</v>
      </c>
      <c r="H20" s="20" t="str">
        <f>IF($D20="","",VLOOKUP($D20,'components list'!$A$1:$G$1000,7,FALSE()))</f>
        <v>ATXMEGA32A4U-AURDKR-ND</v>
      </c>
      <c r="I20" s="17"/>
      <c r="J20" s="14">
        <f>IF(AND(NOT($D20=""),ISNUMBER(C20)),IF($Q$1="Internal",0,VLOOKUP($D20,'components list'!$A$1:$G$1000,5,FALSE())),"")</f>
        <v>0</v>
      </c>
      <c r="K20" s="14">
        <f t="shared" si="1"/>
        <v>8</v>
      </c>
      <c r="L20" s="18">
        <f t="shared" si="2"/>
        <v>0</v>
      </c>
      <c r="M20" s="14">
        <f>IFNA(IF(ISBLANK($A20),"",VLOOKUP($A20,'components list'!$N$1:$AM$10000,4,FALSE())),"")</f>
        <v>13</v>
      </c>
      <c r="N20" s="14" t="str">
        <f>IFNA(IF(ISBLANK($A20),"",VLOOKUP($A20,'components list'!$N$1:$AM$10000,3,FALSE())),"")</f>
        <v>3 10 </v>
      </c>
      <c r="O20" s="14">
        <f t="shared" si="3"/>
        <v>13</v>
      </c>
      <c r="P20" s="17" t="str">
        <f t="shared" si="4"/>
        <v>OK</v>
      </c>
      <c r="Q20" s="18">
        <f>if(isnumber(L20),max(0,rounddown((M20-VLOOKUP($D20,'components list'!$A$1:$G$1000,5,FALSE()))/C20,0)),"")</f>
        <v>12</v>
      </c>
      <c r="R20" s="17" t="str">
        <f t="shared" si="5"/>
        <v>OK</v>
      </c>
    </row>
    <row r="21">
      <c r="A21" s="14" t="str">
        <f>IF($D21="","",VLOOKUP($D21,'components list'!$A$1:$G$1000,2,FALSE()))</f>
        <v>OEPS080017</v>
      </c>
      <c r="B21" s="19" t="s">
        <v>53</v>
      </c>
      <c r="C21" s="14">
        <v>1.0</v>
      </c>
      <c r="D21" s="7" t="str">
        <f t="array" ref="D21">IF(ISBLANK($F21),"",INDIRECT("components list!A"&amp;match(F21,'components list'!$D$1:$D$1000,0)))</f>
        <v>IC:   BUFFER NON-INVERT 1CH 3-STATE   [M74VHC1GT126DT1G] [TSOP-5]</v>
      </c>
      <c r="E21" s="14" t="str">
        <f>IF($D21="","",VLOOKUP($D21,'components list'!$A$1:$G$1000,3,FALSE()))</f>
        <v>SMD</v>
      </c>
      <c r="F21" s="16" t="s">
        <v>54</v>
      </c>
      <c r="G21" s="20" t="str">
        <f>IF($D21="","",VLOOKUP($D21,'components list'!$A$1:$G$1000,6,FALSE()))</f>
        <v>DigiKey</v>
      </c>
      <c r="H21" s="20" t="str">
        <f>IF($D21="","",VLOOKUP($D21,'components list'!$A$1:$G$1000,7,FALSE()))</f>
        <v>M74VHC1GT126DT1GOSDKR-ND</v>
      </c>
      <c r="I21" s="17"/>
      <c r="J21" s="14">
        <f>IF(AND(NOT($D21=""),ISNUMBER(C21)),IF($Q$1="Internal",0,VLOOKUP($D21,'components list'!$A$1:$G$1000,5,FALSE())),"")</f>
        <v>0</v>
      </c>
      <c r="K21" s="14">
        <f t="shared" si="1"/>
        <v>8</v>
      </c>
      <c r="L21" s="18">
        <f t="shared" si="2"/>
        <v>0</v>
      </c>
      <c r="M21" s="14">
        <f>IFNA(IF(ISBLANK($A21),"",VLOOKUP($A21,'components list'!$N$1:$AM$10000,4,FALSE())),"")</f>
        <v>29</v>
      </c>
      <c r="N21" s="14" t="str">
        <f>IFNA(IF(ISBLANK($A21),"",VLOOKUP($A21,'components list'!$N$1:$AM$10000,3,FALSE())),"")</f>
        <v>29(Tp) </v>
      </c>
      <c r="O21" s="14">
        <f t="shared" si="3"/>
        <v>29</v>
      </c>
      <c r="P21" s="17" t="str">
        <f t="shared" si="4"/>
        <v>OK</v>
      </c>
      <c r="Q21" s="18">
        <f>if(isnumber(L21),max(0,rounddown((M21-VLOOKUP($D21,'components list'!$A$1:$G$1000,5,FALSE()))/C21,0)),"")</f>
        <v>24</v>
      </c>
      <c r="R21" s="17" t="str">
        <f t="shared" si="5"/>
        <v>OK</v>
      </c>
    </row>
    <row r="22">
      <c r="A22" s="14" t="str">
        <f>IF($D22="","",VLOOKUP($D22,'components list'!$A$1:$G$1000,2,FALSE()))</f>
        <v>OEPS080014</v>
      </c>
      <c r="B22" s="19" t="s">
        <v>55</v>
      </c>
      <c r="C22" s="14">
        <v>1.0</v>
      </c>
      <c r="D22" s="7" t="str">
        <f t="array" ref="D22">IF(ISBLANK($F22),"",INDIRECT("components list!A"&amp;match(F22,'components list'!$D$1:$D$1000,0)))</f>
        <v>IC:   XTAL OSC TCXO 32MHz HCMOS 2.5ppm   [O 32,0-JT32C-A-K-3,3-LF] [4-SMD]</v>
      </c>
      <c r="E22" s="14" t="str">
        <f>IF($D22="","",VLOOKUP($D22,'components list'!$A$1:$G$1000,3,FALSE()))</f>
        <v>SMD</v>
      </c>
      <c r="F22" s="16" t="s">
        <v>56</v>
      </c>
      <c r="G22" s="20" t="str">
        <f>IF($D22="","",VLOOKUP($D22,'components list'!$A$1:$G$1000,6,FALSE()))</f>
        <v>DigiKey</v>
      </c>
      <c r="H22" s="20" t="str">
        <f>IF($D22="","",VLOOKUP($D22,'components list'!$A$1:$G$1000,7,FALSE()))</f>
        <v>1908-1044-6-ND</v>
      </c>
      <c r="I22" s="17"/>
      <c r="J22" s="14">
        <f>IF(AND(NOT($D22=""),ISNUMBER(C22)),IF($Q$1="Internal",0,VLOOKUP($D22,'components list'!$A$1:$G$1000,5,FALSE())),"")</f>
        <v>0</v>
      </c>
      <c r="K22" s="14">
        <f t="shared" si="1"/>
        <v>8</v>
      </c>
      <c r="L22" s="18">
        <f t="shared" si="2"/>
        <v>5</v>
      </c>
      <c r="M22" s="14">
        <f>IFNA(IF(ISBLANK($A22),"",VLOOKUP($A22,'components list'!$N$1:$AM$10000,4,FALSE())),"")</f>
        <v>3</v>
      </c>
      <c r="N22" s="14" t="str">
        <f>IFNA(IF(ISBLANK($A22),"",VLOOKUP($A22,'components list'!$N$1:$AM$10000,3,FALSE())),"")</f>
        <v>1(Tp) 2 </v>
      </c>
      <c r="O22" s="14">
        <f t="shared" si="3"/>
        <v>3</v>
      </c>
      <c r="P22" s="17" t="str">
        <f t="shared" si="4"/>
        <v>NOK</v>
      </c>
      <c r="Q22" s="18">
        <f>if(isnumber(L22),max(0,rounddown((M22-VLOOKUP($D22,'components list'!$A$1:$G$1000,5,FALSE()))/C22,0)),"")</f>
        <v>0</v>
      </c>
      <c r="R22" s="17" t="str">
        <f t="shared" si="5"/>
        <v>NOK</v>
      </c>
    </row>
    <row r="23">
      <c r="A23" s="14" t="str">
        <f>IF($D23="","",VLOOKUP($D23,'components list'!$A$1:$G$1000,2,FALSE()))</f>
        <v>OEPS070021</v>
      </c>
      <c r="B23" s="19" t="s">
        <v>57</v>
      </c>
      <c r="C23" s="14">
        <v>1.0</v>
      </c>
      <c r="D23" s="7" t="str">
        <f t="array" ref="D23">IF(ISBLANK($F23),"",INDIRECT("components list!A"&amp;match(F23,'components list'!$D$1:$D$1000,0)))</f>
        <v>CONNECTOR:   USB 2.0 MINI R/A   [UX60-MB-5S8] [SMD]</v>
      </c>
      <c r="E23" s="14" t="str">
        <f>IF($D23="","",VLOOKUP($D23,'components list'!$A$1:$G$1000,3,FALSE()))</f>
        <v>SMD</v>
      </c>
      <c r="F23" s="16" t="s">
        <v>58</v>
      </c>
      <c r="G23" s="20" t="str">
        <f>IF($D23="","",VLOOKUP($D23,'components list'!$A$1:$G$1000,6,FALSE()))</f>
        <v>DigiKey</v>
      </c>
      <c r="H23" s="20" t="str">
        <f>IF($D23="","",VLOOKUP($D23,'components list'!$A$1:$G$1000,7,FALSE()))</f>
        <v>H2960DKR-ND</v>
      </c>
      <c r="I23" s="17"/>
      <c r="J23" s="14">
        <f>IF(AND(NOT($D23=""),ISNUMBER(C23)),IF($Q$1="Internal",0,VLOOKUP($D23,'components list'!$A$1:$G$1000,5,FALSE())),"")</f>
        <v>0</v>
      </c>
      <c r="K23" s="14">
        <f t="shared" si="1"/>
        <v>8</v>
      </c>
      <c r="L23" s="18">
        <f t="shared" si="2"/>
        <v>0</v>
      </c>
      <c r="M23" s="14">
        <f>IFNA(IF(ISBLANK($A23),"",VLOOKUP($A23,'components list'!$N$1:$AM$10000,4,FALSE())),"")</f>
        <v>10</v>
      </c>
      <c r="N23" s="14" t="str">
        <f>IFNA(IF(ISBLANK($A23),"",VLOOKUP($A23,'components list'!$N$1:$AM$10000,3,FALSE())),"")</f>
        <v>10(Tp) </v>
      </c>
      <c r="O23" s="14">
        <f t="shared" si="3"/>
        <v>10</v>
      </c>
      <c r="P23" s="17" t="str">
        <f t="shared" si="4"/>
        <v>OK</v>
      </c>
      <c r="Q23" s="18">
        <f>if(isnumber(L23),max(0,rounddown((M23-VLOOKUP($D23,'components list'!$A$1:$G$1000,5,FALSE()))/C23,0)),"")</f>
        <v>9</v>
      </c>
      <c r="R23" s="17" t="str">
        <f t="shared" si="5"/>
        <v>OK</v>
      </c>
    </row>
    <row r="24">
      <c r="A24" s="14" t="str">
        <f>IF($D24="","",VLOOKUP($D24,'components list'!$A$1:$G$1000,2,FALSE()))</f>
        <v>OEPS070018</v>
      </c>
      <c r="B24" s="19" t="s">
        <v>59</v>
      </c>
      <c r="C24" s="14">
        <v>1.0</v>
      </c>
      <c r="D24" s="7" t="str">
        <f t="array" ref="D24">IF(ISBLANK($F24),"",INDIRECT("components list!A"&amp;match(F24,'components list'!$D$1:$D$1000,0)))</f>
        <v>CONNECTOR:   HEADER 2.00MM straight 1x5POS GOLD   [NPPN051BFLD-RC] [SMD]</v>
      </c>
      <c r="E24" s="14" t="str">
        <f>IF($D24="","",VLOOKUP($D24,'components list'!$A$1:$G$1000,3,FALSE()))</f>
        <v>SMD</v>
      </c>
      <c r="F24" s="16" t="s">
        <v>60</v>
      </c>
      <c r="G24" s="20" t="str">
        <f>IF($D24="","",VLOOKUP($D24,'components list'!$A$1:$G$1000,6,FALSE()))</f>
        <v>DigiKey</v>
      </c>
      <c r="H24" s="20" t="str">
        <f>IF($D24="","",VLOOKUP($D24,'components list'!$A$1:$G$1000,7,FALSE()))</f>
        <v>S5902-05-ND</v>
      </c>
      <c r="I24" s="17"/>
      <c r="J24" s="14">
        <f>IF(AND(NOT($D24=""),ISNUMBER(C24)),IF($Q$1="Internal",0,VLOOKUP($D24,'components list'!$A$1:$G$1000,5,FALSE())),"")</f>
        <v>0</v>
      </c>
      <c r="K24" s="14">
        <f t="shared" si="1"/>
        <v>8</v>
      </c>
      <c r="L24" s="18">
        <f t="shared" si="2"/>
        <v>8</v>
      </c>
      <c r="M24" s="14" t="str">
        <f>IFNA(IF(ISBLANK($A24),"",VLOOKUP($A24,'components list'!$N$1:$AM$10000,4,FALSE())),"")</f>
        <v/>
      </c>
      <c r="N24" s="14" t="str">
        <f>IFNA(IF(ISBLANK($A24),"",VLOOKUP($A24,'components list'!$N$1:$AM$10000,3,FALSE())),"")</f>
        <v/>
      </c>
      <c r="O24" s="14">
        <f t="shared" si="3"/>
        <v>0</v>
      </c>
      <c r="P24" s="17" t="str">
        <f t="shared" si="4"/>
        <v>NOK</v>
      </c>
      <c r="Q24" s="18">
        <f>if(isnumber(L24),max(0,rounddown((M24-VLOOKUP($D24,'components list'!$A$1:$G$1000,5,FALSE()))/C24,0)),"")</f>
        <v>0</v>
      </c>
      <c r="R24" s="17" t="str">
        <f t="shared" si="5"/>
        <v>NOK</v>
      </c>
    </row>
    <row r="25">
      <c r="A25" s="14" t="str">
        <f>IF($D25="","",VLOOKUP($D25,'components list'!$A$1:$G$1000,2,FALSE()))</f>
        <v>OEPS070019</v>
      </c>
      <c r="B25" s="19" t="s">
        <v>61</v>
      </c>
      <c r="C25" s="14">
        <v>1.0</v>
      </c>
      <c r="D25" s="7" t="str">
        <f t="array" ref="D25">IF(ISBLANK($F25),"",INDIRECT("components list!A"&amp;match(F25,'components list'!$D$1:$D$1000,0)))</f>
        <v>CONNECTOR:   HEADER 2.00MM straight 1x7POS GOLD   [NPPN071BFLC-RC] [SMD]</v>
      </c>
      <c r="E25" s="14" t="str">
        <f>IF($D25="","",VLOOKUP($D25,'components list'!$A$1:$G$1000,3,FALSE()))</f>
        <v>SMD</v>
      </c>
      <c r="F25" s="16" t="s">
        <v>62</v>
      </c>
      <c r="G25" s="20" t="str">
        <f>IF($D25="","",VLOOKUP($D25,'components list'!$A$1:$G$1000,6,FALSE()))</f>
        <v>DigiKey</v>
      </c>
      <c r="H25" s="20" t="str">
        <f>IF($D25="","",VLOOKUP($D25,'components list'!$A$1:$G$1000,7,FALSE()))</f>
        <v>S5901-07-ND</v>
      </c>
      <c r="I25" s="17"/>
      <c r="J25" s="14">
        <f>IF(AND(NOT($D25=""),ISNUMBER(C25)),IF($Q$1="Internal",0,VLOOKUP($D25,'components list'!$A$1:$G$1000,5,FALSE())),"")</f>
        <v>0</v>
      </c>
      <c r="K25" s="14">
        <f t="shared" si="1"/>
        <v>8</v>
      </c>
      <c r="L25" s="18">
        <f t="shared" si="2"/>
        <v>0</v>
      </c>
      <c r="M25" s="14">
        <f>IFNA(IF(ISBLANK($A25),"",VLOOKUP($A25,'components list'!$N$1:$AM$10000,4,FALSE())),"")</f>
        <v>10</v>
      </c>
      <c r="N25" s="14" t="str">
        <f>IFNA(IF(ISBLANK($A25),"",VLOOKUP($A25,'components list'!$N$1:$AM$10000,3,FALSE())),"")</f>
        <v>8(Tb) 2(Tb) </v>
      </c>
      <c r="O25" s="14">
        <f t="shared" si="3"/>
        <v>10</v>
      </c>
      <c r="P25" s="17" t="str">
        <f t="shared" si="4"/>
        <v>OK</v>
      </c>
      <c r="Q25" s="18">
        <f>if(isnumber(L25),max(0,rounddown((M25-VLOOKUP($D25,'components list'!$A$1:$G$1000,5,FALSE()))/C25,0)),"")</f>
        <v>9</v>
      </c>
      <c r="R25" s="17" t="str">
        <f t="shared" si="5"/>
        <v>OK</v>
      </c>
    </row>
    <row r="26">
      <c r="A26" s="14" t="str">
        <f>IF($D26="","",VLOOKUP($D26,'components list'!$A$1:$G$1000,2,FALSE()))</f>
        <v>OEPS070020</v>
      </c>
      <c r="B26" s="19" t="s">
        <v>63</v>
      </c>
      <c r="C26" s="14">
        <v>1.0</v>
      </c>
      <c r="D26" s="7" t="str">
        <f t="array" ref="D26">IF(ISBLANK($F26),"",INDIRECT("components list!A"&amp;match(F26,'components list'!$D$1:$D$1000,0)))</f>
        <v>CONNECTOR:   TERMINAL BLOCK 2.54MM 2POS side entry   [282834-2] [TH]</v>
      </c>
      <c r="E26" s="14" t="str">
        <f>IF($D26="","",VLOOKUP($D26,'components list'!$A$1:$G$1000,3,FALSE()))</f>
        <v>TH</v>
      </c>
      <c r="F26" s="16" t="s">
        <v>64</v>
      </c>
      <c r="G26" s="20" t="str">
        <f>IF($D26="","",VLOOKUP($D26,'components list'!$A$1:$G$1000,6,FALSE()))</f>
        <v>DigiKey</v>
      </c>
      <c r="H26" s="20" t="str">
        <f>IF($D26="","",VLOOKUP($D26,'components list'!$A$1:$G$1000,7,FALSE()))</f>
        <v>A98333-ND</v>
      </c>
      <c r="I26" s="17"/>
      <c r="J26" s="14">
        <f>IF(AND(NOT($D26=""),ISNUMBER(C26)),IF($Q$1="Internal",0,VLOOKUP($D26,'components list'!$A$1:$G$1000,5,FALSE())),"")</f>
        <v>0</v>
      </c>
      <c r="K26" s="14">
        <f t="shared" si="1"/>
        <v>8</v>
      </c>
      <c r="L26" s="18">
        <f t="shared" si="2"/>
        <v>0</v>
      </c>
      <c r="M26" s="14">
        <f>IFNA(IF(ISBLANK($A26),"",VLOOKUP($A26,'components list'!$N$1:$AM$10000,4,FALSE())),"")</f>
        <v>15</v>
      </c>
      <c r="N26" s="14" t="str">
        <f>IFNA(IF(ISBLANK($A26),"",VLOOKUP($A26,'components list'!$N$1:$AM$10000,3,FALSE())),"")</f>
        <v>10 5 </v>
      </c>
      <c r="O26" s="14">
        <f t="shared" si="3"/>
        <v>15</v>
      </c>
      <c r="P26" s="17" t="str">
        <f t="shared" si="4"/>
        <v>OK</v>
      </c>
      <c r="Q26" s="18">
        <f>if(isnumber(L26),max(0,rounddown((M26-VLOOKUP($D26,'components list'!$A$1:$G$1000,5,FALSE()))/C26,0)),"")</f>
        <v>14</v>
      </c>
      <c r="R26" s="17" t="str">
        <f t="shared" si="5"/>
        <v>OK</v>
      </c>
    </row>
    <row r="27">
      <c r="A27" s="14" t="str">
        <f>IF($D27="","",VLOOKUP($D27,'components list'!$A$1:$G$1000,2,FALSE()))</f>
        <v/>
      </c>
      <c r="B27" s="19"/>
      <c r="C27" s="14"/>
      <c r="D27" s="7" t="str">
        <f t="array" ref="D27">IF(ISBLANK($F27),"",INDIRECT("components list!A"&amp;match(F27,'components list'!$D$1:$D$1000,0)))</f>
        <v/>
      </c>
      <c r="E27" s="14" t="str">
        <f>IF($D27="","",VLOOKUP($D27,'components list'!$A$1:$G$1000,3,FALSE()))</f>
        <v/>
      </c>
      <c r="F27" s="21"/>
      <c r="G27" s="20" t="str">
        <f>IF($D27="","",VLOOKUP($D27,'components list'!$A$1:$G$1000,6,FALSE()))</f>
        <v/>
      </c>
      <c r="H27" s="20" t="str">
        <f>IF($D27="","",VLOOKUP($D27,'components list'!$A$1:$G$1000,7,FALSE()))</f>
        <v/>
      </c>
      <c r="I27" s="17"/>
      <c r="J27" s="14" t="str">
        <f>IF(AND(NOT($D27=""),ISNUMBER(C27)),IF($Q$1="Internal",0,VLOOKUP($D27,'components list'!$A$1:$G$1000,5,FALSE())),"")</f>
        <v/>
      </c>
      <c r="K27" s="14" t="str">
        <f t="shared" si="1"/>
        <v/>
      </c>
      <c r="L27" s="18" t="str">
        <f t="shared" si="2"/>
        <v/>
      </c>
      <c r="M27" s="14" t="str">
        <f>IFNA(IF(ISBLANK($A27),"",VLOOKUP($A27,'components list'!$N$1:$AM$10000,4,FALSE())),"")</f>
        <v/>
      </c>
      <c r="N27" s="14" t="str">
        <f>IFNA(IF(ISBLANK($A27),"",VLOOKUP($A27,'components list'!$N$1:$AM$10000,3,FALSE())),"")</f>
        <v/>
      </c>
      <c r="O27" s="14" t="str">
        <f t="shared" si="3"/>
        <v/>
      </c>
      <c r="P27" s="17" t="str">
        <f t="shared" si="4"/>
        <v>OK</v>
      </c>
      <c r="Q27" s="18" t="str">
        <f>if(isnumber(L27),max(0,rounddown((M27-VLOOKUP($D27,'components list'!$A$1:$G$1000,5,FALSE()))/C27,0)),"")</f>
        <v/>
      </c>
      <c r="R27" s="17" t="str">
        <f t="shared" si="5"/>
        <v>OK</v>
      </c>
    </row>
    <row r="28">
      <c r="A28" s="14" t="str">
        <f>IF($D28="","",VLOOKUP($D28,'components list'!$A$1:$G$1000,2,FALSE()))</f>
        <v>#N/A</v>
      </c>
      <c r="B28" s="19"/>
      <c r="C28" s="14">
        <v>1.0</v>
      </c>
      <c r="D28" s="7" t="str">
        <f t="array" ref="D28">IF(ISBLANK($F28),"",INDIRECT("components list!A"&amp;match(F28,'components list'!$D$1:$D$1000,0)))</f>
        <v>#N/A</v>
      </c>
      <c r="E28" s="14" t="str">
        <f>IF($D28="","",VLOOKUP($D28,'components list'!$A$1:$G$1000,3,FALSE()))</f>
        <v>#N/A</v>
      </c>
      <c r="F28" s="22" t="s">
        <v>65</v>
      </c>
      <c r="G28" s="20" t="str">
        <f>IF($D28="","",VLOOKUP($D28,'components list'!$A$1:$G$1000,6,FALSE()))</f>
        <v>#N/A</v>
      </c>
      <c r="H28" s="20" t="str">
        <f>IF($D28="","",VLOOKUP($D28,'components list'!$A$1:$G$1000,7,FALSE()))</f>
        <v>#N/A</v>
      </c>
      <c r="I28" s="17"/>
      <c r="J28" s="14" t="str">
        <f>IF(AND(NOT($D28=""),ISNUMBER(C28)),IF($Q$1="Internal",0,VLOOKUP($D28,'components list'!$A$1:$G$1000,5,FALSE())),"")</f>
        <v>#N/A</v>
      </c>
      <c r="K28" s="14" t="str">
        <f t="shared" si="1"/>
        <v/>
      </c>
      <c r="L28" s="18" t="str">
        <f t="shared" si="2"/>
        <v>#N/A</v>
      </c>
      <c r="M28" s="14" t="str">
        <f>IFNA(IF(ISBLANK($A28),"",VLOOKUP($A28,'components list'!$N$1:$AM$10000,4,FALSE())),"")</f>
        <v/>
      </c>
      <c r="N28" s="14" t="str">
        <f>IFNA(IF(ISBLANK($A28),"",VLOOKUP($A28,'components list'!$N$1:$AM$10000,3,FALSE())),"")</f>
        <v/>
      </c>
      <c r="O28" s="14" t="str">
        <f t="shared" si="3"/>
        <v/>
      </c>
      <c r="P28" s="17" t="str">
        <f t="shared" si="4"/>
        <v>OK</v>
      </c>
      <c r="Q28" s="18" t="str">
        <f>if(isnumber(L28),max(0,rounddown((M28-VLOOKUP($D28,'components list'!$A$1:$G$1000,5,FALSE()))/C28,0)),"")</f>
        <v/>
      </c>
      <c r="R28" s="17" t="str">
        <f t="shared" si="5"/>
        <v>OK</v>
      </c>
    </row>
    <row r="29">
      <c r="A29" s="14" t="str">
        <f>IF($D29="","",VLOOKUP($D29,'components list'!$A$1:$G$1000,2,FALSE()))</f>
        <v/>
      </c>
      <c r="B29" s="19"/>
      <c r="C29" s="14"/>
      <c r="D29" s="7" t="str">
        <f t="array" ref="D29">IF(ISBLANK($F29),"",INDIRECT("components list!A"&amp;match(F29,'components list'!$D$1:$D$1000,0)))</f>
        <v/>
      </c>
      <c r="E29" s="14" t="str">
        <f>IF($D29="","",VLOOKUP($D29,'components list'!$A$1:$G$1000,3,FALSE()))</f>
        <v/>
      </c>
      <c r="F29" s="16"/>
      <c r="G29" s="20" t="str">
        <f>IF($D29="","",VLOOKUP($D29,'components list'!$A$1:$G$1000,6,FALSE()))</f>
        <v/>
      </c>
      <c r="H29" s="20" t="str">
        <f>IF($D29="","",VLOOKUP($D29,'components list'!$A$1:$G$1000,7,FALSE()))</f>
        <v/>
      </c>
      <c r="I29" s="17"/>
      <c r="J29" s="14" t="str">
        <f>IF(AND(NOT($D29=""),ISNUMBER(C29)),IF($Q$1="Internal",0,VLOOKUP($D29,'components list'!$A$1:$G$1000,5,FALSE())),"")</f>
        <v/>
      </c>
      <c r="K29" s="14" t="str">
        <f t="shared" si="1"/>
        <v/>
      </c>
      <c r="L29" s="18" t="str">
        <f t="shared" si="2"/>
        <v/>
      </c>
      <c r="M29" s="14" t="str">
        <f>IFNA(IF(ISBLANK($A29),"",VLOOKUP($A29,'components list'!$N$1:$AM$10000,4,FALSE())),"")</f>
        <v/>
      </c>
      <c r="N29" s="14" t="str">
        <f>IFNA(IF(ISBLANK($A29),"",VLOOKUP($A29,'components list'!$N$1:$AM$10000,3,FALSE())),"")</f>
        <v/>
      </c>
      <c r="O29" s="14" t="str">
        <f t="shared" si="3"/>
        <v/>
      </c>
      <c r="P29" s="17" t="str">
        <f t="shared" si="4"/>
        <v>OK</v>
      </c>
      <c r="Q29" s="18" t="str">
        <f>if(isnumber(L29),max(0,rounddown((M29-VLOOKUP($D29,'components list'!$A$1:$G$1000,5,FALSE()))/C29,0)),"")</f>
        <v/>
      </c>
      <c r="R29" s="17" t="str">
        <f t="shared" si="5"/>
        <v>OK</v>
      </c>
    </row>
    <row r="30">
      <c r="A30" s="14" t="str">
        <f>IF($D30="","",VLOOKUP($D30,'components list'!$A$1:$G$1000,2,FALSE()))</f>
        <v>OEPS100013</v>
      </c>
      <c r="B30" s="19"/>
      <c r="C30" s="14">
        <v>1.0</v>
      </c>
      <c r="D30" s="7" t="str">
        <f t="array" ref="D30">IF(ISBLANK($F30),"",INDIRECT("components list!A"&amp;match(F30,'components list'!$D$1:$D$1000,0)))</f>
        <v>OTHER:   RFID Reader ID-12LA (125 kHz)   [ID-12LA] [TH]</v>
      </c>
      <c r="E30" s="14" t="str">
        <f>IF($D30="","",VLOOKUP($D30,'components list'!$A$1:$G$1000,3,FALSE()))</f>
        <v>TH</v>
      </c>
      <c r="F30" s="21" t="s">
        <v>66</v>
      </c>
      <c r="G30" s="20" t="str">
        <f>IF($D30="","",VLOOKUP($D30,'components list'!$A$1:$G$1000,6,FALSE()))</f>
        <v>Sparkfun</v>
      </c>
      <c r="H30" s="20" t="str">
        <f>IF($D30="","",VLOOKUP($D30,'components list'!$A$1:$G$1000,7,FALSE()))</f>
        <v>SEN-11827</v>
      </c>
      <c r="I30" s="17"/>
      <c r="J30" s="14">
        <f>IF(AND(NOT($D30=""),ISNUMBER(C30)),IF($Q$1="Internal",0,VLOOKUP($D30,'components list'!$A$1:$G$1000,5,FALSE())),"")</f>
        <v>0</v>
      </c>
      <c r="K30" s="14">
        <f t="shared" si="1"/>
        <v>8</v>
      </c>
      <c r="L30" s="18">
        <f t="shared" si="2"/>
        <v>8</v>
      </c>
      <c r="M30" s="14" t="str">
        <f>IFNA(IF(ISBLANK($A30),"",VLOOKUP($A30,'components list'!$N$1:$AM$10000,4,FALSE())),"")</f>
        <v/>
      </c>
      <c r="N30" s="14" t="str">
        <f>IFNA(IF(ISBLANK($A30),"",VLOOKUP($A30,'components list'!$N$1:$AM$10000,3,FALSE())),"")</f>
        <v/>
      </c>
      <c r="O30" s="14">
        <f t="shared" si="3"/>
        <v>0</v>
      </c>
      <c r="P30" s="17" t="str">
        <f t="shared" si="4"/>
        <v>NOK</v>
      </c>
      <c r="Q30" s="18">
        <f>if(isnumber(L30),max(0,rounddown((M30-VLOOKUP($D30,'components list'!$A$1:$G$1000,5,FALSE()))/C30,0)),"")</f>
        <v>0</v>
      </c>
      <c r="R30" s="17" t="str">
        <f t="shared" si="5"/>
        <v>NOK</v>
      </c>
    </row>
    <row r="31">
      <c r="A31" s="14" t="str">
        <f>IF($D31="","",VLOOKUP($D31,'components list'!$A$1:$G$1000,2,FALSE()))</f>
        <v/>
      </c>
      <c r="B31" s="19"/>
      <c r="C31" s="14"/>
      <c r="D31" s="7" t="str">
        <f t="array" ref="D31">IF(ISBLANK($F31),"",INDIRECT("components list!A"&amp;match(F31,'components list'!$D$1:$D$1000,0)))</f>
        <v/>
      </c>
      <c r="E31" s="14" t="str">
        <f>IF($D31="","",VLOOKUP($D31,'components list'!$A$1:$G$1000,3,FALSE()))</f>
        <v/>
      </c>
      <c r="F31" s="16"/>
      <c r="G31" s="20" t="str">
        <f>IF($D31="","",VLOOKUP($D31,'components list'!$A$1:$G$1000,6,FALSE()))</f>
        <v/>
      </c>
      <c r="H31" s="20" t="str">
        <f>IF($D31="","",VLOOKUP($D31,'components list'!$A$1:$G$1000,7,FALSE()))</f>
        <v/>
      </c>
      <c r="I31" s="17"/>
      <c r="J31" s="14" t="str">
        <f>IF(AND(NOT($D31=""),ISNUMBER(C31)),IF($Q$1="Internal",0,VLOOKUP($D31,'components list'!$A$1:$G$1000,5,FALSE())),"")</f>
        <v/>
      </c>
      <c r="K31" s="14" t="str">
        <f t="shared" si="1"/>
        <v/>
      </c>
      <c r="L31" s="18" t="str">
        <f t="shared" si="2"/>
        <v/>
      </c>
      <c r="M31" s="14" t="str">
        <f>IFNA(IF(ISBLANK($A31),"",VLOOKUP($A31,'components list'!$N$1:$AM$10000,4,FALSE())),"")</f>
        <v/>
      </c>
      <c r="N31" s="14" t="str">
        <f>IFNA(IF(ISBLANK($A31),"",VLOOKUP($A31,'components list'!$N$1:$AM$10000,3,FALSE())),"")</f>
        <v/>
      </c>
      <c r="O31" s="14" t="str">
        <f t="shared" si="3"/>
        <v/>
      </c>
      <c r="P31" s="17" t="str">
        <f t="shared" si="4"/>
        <v>OK</v>
      </c>
      <c r="Q31" s="18" t="str">
        <f>if(isnumber(L31),max(0,rounddown((M31-VLOOKUP($D31,'components list'!$A$1:$G$1000,5,FALSE()))/C31,0)),"")</f>
        <v/>
      </c>
      <c r="R31" s="17" t="str">
        <f t="shared" si="5"/>
        <v>OK</v>
      </c>
    </row>
    <row r="32">
      <c r="A32" s="14" t="str">
        <f>IF($D32="","",VLOOKUP($D32,'components list'!$A$1:$G$1000,2,FALSE()))</f>
        <v/>
      </c>
      <c r="B32" s="19"/>
      <c r="C32" s="14"/>
      <c r="D32" s="7" t="str">
        <f t="array" ref="D32">IF(ISBLANK($F32),"",INDIRECT("components list!A"&amp;match(F32,'components list'!$D$1:$D$1000,0)))</f>
        <v/>
      </c>
      <c r="E32" s="14" t="str">
        <f>IF($D32="","",VLOOKUP($D32,'components list'!$A$1:$G$1000,3,FALSE()))</f>
        <v/>
      </c>
      <c r="F32" s="16"/>
      <c r="G32" s="20" t="str">
        <f>IF($D32="","",VLOOKUP($D32,'components list'!$A$1:$G$1000,6,FALSE()))</f>
        <v/>
      </c>
      <c r="H32" s="20" t="str">
        <f>IF($D32="","",VLOOKUP($D32,'components list'!$A$1:$G$1000,7,FALSE()))</f>
        <v/>
      </c>
      <c r="I32" s="17"/>
      <c r="J32" s="14" t="str">
        <f>IF(AND(NOT($D32=""),ISNUMBER(C32)),IF($Q$1="Internal",0,VLOOKUP($D32,'components list'!$A$1:$G$1000,5,FALSE())),"")</f>
        <v/>
      </c>
      <c r="K32" s="14" t="str">
        <f t="shared" si="1"/>
        <v/>
      </c>
      <c r="L32" s="18" t="str">
        <f t="shared" si="2"/>
        <v/>
      </c>
      <c r="M32" s="14" t="str">
        <f>IFNA(IF(ISBLANK($A32),"",VLOOKUP($A32,'components list'!$N$1:$AM$10000,4,FALSE())),"")</f>
        <v/>
      </c>
      <c r="N32" s="14" t="str">
        <f>IFNA(IF(ISBLANK($A32),"",VLOOKUP($A32,'components list'!$N$1:$AM$10000,3,FALSE())),"")</f>
        <v/>
      </c>
      <c r="O32" s="14" t="str">
        <f t="shared" si="3"/>
        <v/>
      </c>
      <c r="P32" s="17" t="str">
        <f t="shared" si="4"/>
        <v>OK</v>
      </c>
      <c r="Q32" s="18" t="str">
        <f>if(isnumber(L32),max(0,rounddown((M32-VLOOKUP($D32,'components list'!$A$1:$G$1000,5,FALSE()))/C32,0)),"")</f>
        <v/>
      </c>
      <c r="R32" s="17" t="str">
        <f t="shared" si="5"/>
        <v>OK</v>
      </c>
    </row>
    <row r="33">
      <c r="A33" s="14" t="str">
        <f>IF($D33="","",VLOOKUP($D33,'components list'!$A$1:$G$1000,2,FALSE()))</f>
        <v/>
      </c>
      <c r="B33" s="19"/>
      <c r="C33" s="14"/>
      <c r="D33" s="7" t="str">
        <f t="array" ref="D33">IF(ISBLANK($F33),"",INDIRECT("components list!A"&amp;match(F33,'components list'!$D$1:$D$1000,0)))</f>
        <v/>
      </c>
      <c r="E33" s="14" t="str">
        <f>IF($D33="","",VLOOKUP($D33,'components list'!$A$1:$G$1000,3,FALSE()))</f>
        <v/>
      </c>
      <c r="F33" s="16"/>
      <c r="G33" s="20" t="str">
        <f>IF($D33="","",VLOOKUP($D33,'components list'!$A$1:$G$1000,6,FALSE()))</f>
        <v/>
      </c>
      <c r="H33" s="20" t="str">
        <f>IF($D33="","",VLOOKUP($D33,'components list'!$A$1:$G$1000,7,FALSE()))</f>
        <v/>
      </c>
      <c r="I33" s="17"/>
      <c r="J33" s="14" t="str">
        <f>IF(AND(NOT($D33=""),ISNUMBER(C33)),IF($Q$1="Internal",0,VLOOKUP($D33,'components list'!$A$1:$G$1000,5,FALSE())),"")</f>
        <v/>
      </c>
      <c r="K33" s="14" t="str">
        <f t="shared" si="1"/>
        <v/>
      </c>
      <c r="L33" s="18" t="str">
        <f t="shared" si="2"/>
        <v/>
      </c>
      <c r="M33" s="14" t="str">
        <f>IFNA(IF(ISBLANK($A33),"",VLOOKUP($A33,'components list'!$N$1:$AM$10000,4,FALSE())),"")</f>
        <v/>
      </c>
      <c r="N33" s="14" t="str">
        <f>IFNA(IF(ISBLANK($A33),"",VLOOKUP($A33,'components list'!$N$1:$AM$10000,3,FALSE())),"")</f>
        <v/>
      </c>
      <c r="O33" s="14" t="str">
        <f t="shared" si="3"/>
        <v/>
      </c>
      <c r="P33" s="17" t="str">
        <f t="shared" si="4"/>
        <v>OK</v>
      </c>
      <c r="Q33" s="18" t="str">
        <f>if(isnumber(L33),max(0,rounddown((M33-VLOOKUP($D33,'components list'!$A$1:$G$1000,5,FALSE()))/C33,0)),"")</f>
        <v/>
      </c>
      <c r="R33" s="17" t="str">
        <f t="shared" si="5"/>
        <v>OK</v>
      </c>
    </row>
    <row r="34">
      <c r="A34" s="14" t="str">
        <f>IF($D34="","",VLOOKUP($D34,'components list'!$A$1:$G$1000,2,FALSE()))</f>
        <v/>
      </c>
      <c r="B34" s="19"/>
      <c r="C34" s="14"/>
      <c r="D34" s="7" t="str">
        <f t="array" ref="D34">IF(ISBLANK($F34),"",INDIRECT("components list!A"&amp;match(F34,'components list'!$D$1:$D$1000,0)))</f>
        <v/>
      </c>
      <c r="E34" s="14" t="str">
        <f>IF($D34="","",VLOOKUP($D34,'components list'!$A$1:$G$1000,3,FALSE()))</f>
        <v/>
      </c>
      <c r="F34" s="16"/>
      <c r="G34" s="20" t="str">
        <f>IF($D34="","",VLOOKUP($D34,'components list'!$A$1:$G$1000,6,FALSE()))</f>
        <v/>
      </c>
      <c r="H34" s="20" t="str">
        <f>IF($D34="","",VLOOKUP($D34,'components list'!$A$1:$G$1000,7,FALSE()))</f>
        <v/>
      </c>
      <c r="I34" s="17"/>
      <c r="J34" s="14" t="str">
        <f>IF(AND(NOT($D34=""),ISNUMBER(C34)),IF($Q$1="Internal",0,VLOOKUP($D34,'components list'!$A$1:$G$1000,5,FALSE())),"")</f>
        <v/>
      </c>
      <c r="K34" s="14" t="str">
        <f t="shared" si="1"/>
        <v/>
      </c>
      <c r="L34" s="18" t="str">
        <f t="shared" si="2"/>
        <v/>
      </c>
      <c r="M34" s="14" t="str">
        <f>IFNA(IF(ISBLANK($A34),"",VLOOKUP($A34,'components list'!$N$1:$AM$10000,4,FALSE())),"")</f>
        <v/>
      </c>
      <c r="N34" s="14" t="str">
        <f>IFNA(IF(ISBLANK($A34),"",VLOOKUP($A34,'components list'!$N$1:$AM$10000,3,FALSE())),"")</f>
        <v/>
      </c>
      <c r="O34" s="14" t="str">
        <f t="shared" si="3"/>
        <v/>
      </c>
      <c r="P34" s="17" t="str">
        <f t="shared" si="4"/>
        <v>OK</v>
      </c>
      <c r="Q34" s="18" t="str">
        <f>if(isnumber(L34),max(0,rounddown((M34-VLOOKUP($D34,'components list'!$A$1:$G$1000,5,FALSE()))/C34,0)),"")</f>
        <v/>
      </c>
      <c r="R34" s="17" t="str">
        <f t="shared" si="5"/>
        <v>OK</v>
      </c>
    </row>
    <row r="35">
      <c r="A35" s="14" t="str">
        <f>IF($D35="","",VLOOKUP($D35,'components list'!$A$1:$G$1000,2,FALSE()))</f>
        <v/>
      </c>
      <c r="B35" s="19"/>
      <c r="C35" s="14"/>
      <c r="D35" s="7" t="str">
        <f t="array" ref="D35">IF(ISBLANK($F35),"",INDIRECT("components list!A"&amp;match(F35,'components list'!$D$1:$D$1000,0)))</f>
        <v/>
      </c>
      <c r="E35" s="14" t="str">
        <f>IF($D35="","",VLOOKUP($D35,'components list'!$A$1:$G$1000,3,FALSE()))</f>
        <v/>
      </c>
      <c r="F35" s="16"/>
      <c r="G35" s="20" t="str">
        <f>IF($D35="","",VLOOKUP($D35,'components list'!$A$1:$G$1000,6,FALSE()))</f>
        <v/>
      </c>
      <c r="H35" s="20" t="str">
        <f>IF($D35="","",VLOOKUP($D35,'components list'!$A$1:$G$1000,7,FALSE()))</f>
        <v/>
      </c>
      <c r="I35" s="17"/>
      <c r="J35" s="14" t="str">
        <f>IF(AND(NOT($D35=""),ISNUMBER(C35)),IF($Q$1="Internal",0,VLOOKUP($D35,'components list'!$A$1:$G$1000,5,FALSE())),"")</f>
        <v/>
      </c>
      <c r="K35" s="14" t="str">
        <f t="shared" si="1"/>
        <v/>
      </c>
      <c r="L35" s="18" t="str">
        <f t="shared" si="2"/>
        <v/>
      </c>
      <c r="M35" s="14" t="str">
        <f>IFNA(IF(ISBLANK($A35),"",VLOOKUP($A35,'components list'!$N$1:$AM$10000,4,FALSE())),"")</f>
        <v/>
      </c>
      <c r="N35" s="14" t="str">
        <f>IFNA(IF(ISBLANK($A35),"",VLOOKUP($A35,'components list'!$N$1:$AM$10000,3,FALSE())),"")</f>
        <v/>
      </c>
      <c r="O35" s="14" t="str">
        <f t="shared" si="3"/>
        <v/>
      </c>
      <c r="P35" s="17" t="str">
        <f t="shared" si="4"/>
        <v>OK</v>
      </c>
      <c r="Q35" s="18" t="str">
        <f>if(isnumber(L35),max(0,rounddown((M35-VLOOKUP($D35,'components list'!$A$1:$G$1000,5,FALSE()))/C35,0)),"")</f>
        <v/>
      </c>
      <c r="R35" s="17" t="str">
        <f t="shared" si="5"/>
        <v>OK</v>
      </c>
    </row>
    <row r="36">
      <c r="A36" s="14" t="str">
        <f>IF($D36="","",VLOOKUP($D36,'components list'!$A$1:$G$1000,2,FALSE()))</f>
        <v/>
      </c>
      <c r="B36" s="19"/>
      <c r="C36" s="14"/>
      <c r="D36" s="7" t="str">
        <f t="array" ref="D36">IF(ISBLANK($F36),"",INDIRECT("components list!A"&amp;match(F36,'components list'!$D$1:$D$1000,0)))</f>
        <v/>
      </c>
      <c r="E36" s="14" t="str">
        <f>IF($D36="","",VLOOKUP($D36,'components list'!$A$1:$G$1000,3,FALSE()))</f>
        <v/>
      </c>
      <c r="F36" s="16"/>
      <c r="G36" s="20" t="str">
        <f>IF($D36="","",VLOOKUP($D36,'components list'!$A$1:$G$1000,6,FALSE()))</f>
        <v/>
      </c>
      <c r="H36" s="20" t="str">
        <f>IF($D36="","",VLOOKUP($D36,'components list'!$A$1:$G$1000,7,FALSE()))</f>
        <v/>
      </c>
      <c r="I36" s="17"/>
      <c r="J36" s="14" t="str">
        <f>IF(AND(NOT($D36=""),ISNUMBER(C36)),IF($Q$1="Internal",0,VLOOKUP($D36,'components list'!$A$1:$G$1000,5,FALSE())),"")</f>
        <v/>
      </c>
      <c r="K36" s="14" t="str">
        <f t="shared" si="1"/>
        <v/>
      </c>
      <c r="L36" s="18" t="str">
        <f t="shared" si="2"/>
        <v/>
      </c>
      <c r="M36" s="14" t="str">
        <f>IFNA(IF(ISBLANK($A36),"",VLOOKUP($A36,'components list'!$N$1:$AM$10000,4,FALSE())),"")</f>
        <v/>
      </c>
      <c r="N36" s="14" t="str">
        <f>IFNA(IF(ISBLANK($A36),"",VLOOKUP($A36,'components list'!$N$1:$AM$10000,3,FALSE())),"")</f>
        <v/>
      </c>
      <c r="O36" s="14" t="str">
        <f t="shared" si="3"/>
        <v/>
      </c>
      <c r="P36" s="17" t="str">
        <f t="shared" si="4"/>
        <v>OK</v>
      </c>
      <c r="Q36" s="18" t="str">
        <f>if(isnumber(L36),max(0,rounddown((M36-VLOOKUP($D36,'components list'!$A$1:$G$1000,5,FALSE()))/C36,0)),"")</f>
        <v/>
      </c>
      <c r="R36" s="17" t="str">
        <f t="shared" si="5"/>
        <v>OK</v>
      </c>
    </row>
    <row r="37">
      <c r="A37" s="14" t="str">
        <f>IF($D37="","",VLOOKUP($D37,'components list'!$A$1:$G$1000,2,FALSE()))</f>
        <v/>
      </c>
      <c r="B37" s="19"/>
      <c r="C37" s="14"/>
      <c r="D37" s="7" t="str">
        <f t="array" ref="D37">IF(ISBLANK($F37),"",INDIRECT("components list!A"&amp;match(F37,'components list'!$D$1:$D$1000,0)))</f>
        <v/>
      </c>
      <c r="E37" s="14" t="str">
        <f>IF($D37="","",VLOOKUP($D37,'components list'!$A$1:$G$1000,3,FALSE()))</f>
        <v/>
      </c>
      <c r="F37" s="16"/>
      <c r="G37" s="20" t="str">
        <f>IF($D37="","",VLOOKUP($D37,'components list'!$A$1:$G$1000,6,FALSE()))</f>
        <v/>
      </c>
      <c r="H37" s="20" t="str">
        <f>IF($D37="","",VLOOKUP($D37,'components list'!$A$1:$G$1000,7,FALSE()))</f>
        <v/>
      </c>
      <c r="I37" s="17"/>
      <c r="J37" s="14" t="str">
        <f>IF(AND(NOT($D37=""),ISNUMBER(C37)),IF($Q$1="Internal",0,VLOOKUP($D37,'components list'!$A$1:$G$1000,5,FALSE())),"")</f>
        <v/>
      </c>
      <c r="K37" s="14" t="str">
        <f t="shared" si="1"/>
        <v/>
      </c>
      <c r="L37" s="18" t="str">
        <f t="shared" si="2"/>
        <v/>
      </c>
      <c r="M37" s="14" t="str">
        <f>IFNA(IF(ISBLANK($A37),"",VLOOKUP($A37,'components list'!$N$1:$AM$10000,4,FALSE())),"")</f>
        <v/>
      </c>
      <c r="N37" s="14" t="str">
        <f>IFNA(IF(ISBLANK($A37),"",VLOOKUP($A37,'components list'!$N$1:$AM$10000,3,FALSE())),"")</f>
        <v/>
      </c>
      <c r="O37" s="14" t="str">
        <f t="shared" si="3"/>
        <v/>
      </c>
      <c r="P37" s="17" t="str">
        <f t="shared" si="4"/>
        <v>OK</v>
      </c>
      <c r="Q37" s="18" t="str">
        <f>if(isnumber(L37),max(0,rounddown((M37-VLOOKUP($D37,'components list'!$A$1:$G$1000,5,FALSE()))/C37,0)),"")</f>
        <v/>
      </c>
      <c r="R37" s="17" t="str">
        <f t="shared" si="5"/>
        <v>OK</v>
      </c>
    </row>
    <row r="38">
      <c r="A38" s="14" t="str">
        <f>IF($D38="","",VLOOKUP($D38,'components list'!$A$1:$G$1000,2,FALSE()))</f>
        <v/>
      </c>
      <c r="B38" s="19"/>
      <c r="C38" s="14"/>
      <c r="D38" s="7" t="str">
        <f t="array" ref="D38">IF(ISBLANK($F38),"",INDIRECT("components list!A"&amp;match(F38,'components list'!$D$1:$D$1000,0)))</f>
        <v/>
      </c>
      <c r="E38" s="14" t="str">
        <f>IF($D38="","",VLOOKUP($D38,'components list'!$A$1:$G$1000,3,FALSE()))</f>
        <v/>
      </c>
      <c r="F38" s="16"/>
      <c r="G38" s="20" t="str">
        <f>IF($D38="","",VLOOKUP($D38,'components list'!$A$1:$G$1000,6,FALSE()))</f>
        <v/>
      </c>
      <c r="H38" s="20" t="str">
        <f>IF($D38="","",VLOOKUP($D38,'components list'!$A$1:$G$1000,7,FALSE()))</f>
        <v/>
      </c>
      <c r="I38" s="17"/>
      <c r="J38" s="14" t="str">
        <f>IF(AND(NOT($D38=""),ISNUMBER(C38)),IF($Q$1="Internal",0,VLOOKUP($D38,'components list'!$A$1:$G$1000,5,FALSE())),"")</f>
        <v/>
      </c>
      <c r="K38" s="14" t="str">
        <f t="shared" si="1"/>
        <v/>
      </c>
      <c r="L38" s="18" t="str">
        <f t="shared" si="2"/>
        <v/>
      </c>
      <c r="M38" s="14" t="str">
        <f>IFNA(IF(ISBLANK($A38),"",VLOOKUP($A38,'components list'!$N$1:$AM$10000,4,FALSE())),"")</f>
        <v/>
      </c>
      <c r="N38" s="14" t="str">
        <f>IFNA(IF(ISBLANK($A38),"",VLOOKUP($A38,'components list'!$N$1:$AM$10000,3,FALSE())),"")</f>
        <v/>
      </c>
      <c r="O38" s="14" t="str">
        <f t="shared" si="3"/>
        <v/>
      </c>
      <c r="P38" s="17" t="str">
        <f t="shared" si="4"/>
        <v>OK</v>
      </c>
      <c r="Q38" s="18" t="str">
        <f>if(isnumber(L38),max(0,rounddown((M38-VLOOKUP($D38,'components list'!$A$1:$G$1000,5,FALSE()))/C38,0)),"")</f>
        <v/>
      </c>
      <c r="R38" s="17" t="str">
        <f t="shared" si="5"/>
        <v>OK</v>
      </c>
    </row>
    <row r="39">
      <c r="A39" s="14" t="str">
        <f>IF($D39="","",VLOOKUP($D39,'components list'!$A$1:$G$1000,2,FALSE()))</f>
        <v/>
      </c>
      <c r="B39" s="19"/>
      <c r="C39" s="14"/>
      <c r="D39" s="7" t="str">
        <f t="array" ref="D39">IF(ISBLANK($F39),"",INDIRECT("components list!A"&amp;match(F39,'components list'!$D$1:$D$1000,0)))</f>
        <v/>
      </c>
      <c r="E39" s="14" t="str">
        <f>IF($D39="","",VLOOKUP($D39,'components list'!$A$1:$G$1000,3,FALSE()))</f>
        <v/>
      </c>
      <c r="F39" s="16"/>
      <c r="G39" s="20" t="str">
        <f>IF($D39="","",VLOOKUP($D39,'components list'!$A$1:$G$1000,6,FALSE()))</f>
        <v/>
      </c>
      <c r="H39" s="20" t="str">
        <f>IF($D39="","",VLOOKUP($D39,'components list'!$A$1:$G$1000,7,FALSE()))</f>
        <v/>
      </c>
      <c r="I39" s="17"/>
      <c r="J39" s="14" t="str">
        <f>IF(AND(NOT($D39=""),ISNUMBER(C39)),IF($Q$1="Internal",0,VLOOKUP($D39,'components list'!$A$1:$G$1000,5,FALSE())),"")</f>
        <v/>
      </c>
      <c r="K39" s="14" t="str">
        <f t="shared" si="1"/>
        <v/>
      </c>
      <c r="L39" s="18" t="str">
        <f t="shared" si="2"/>
        <v/>
      </c>
      <c r="M39" s="14" t="str">
        <f>IFNA(IF(ISBLANK($A39),"",VLOOKUP($A39,'components list'!$N$1:$AM$10000,4,FALSE())),"")</f>
        <v/>
      </c>
      <c r="N39" s="14" t="str">
        <f>IFNA(IF(ISBLANK($A39),"",VLOOKUP($A39,'components list'!$N$1:$AM$10000,3,FALSE())),"")</f>
        <v/>
      </c>
      <c r="O39" s="14" t="str">
        <f t="shared" si="3"/>
        <v/>
      </c>
      <c r="P39" s="17" t="str">
        <f t="shared" si="4"/>
        <v>OK</v>
      </c>
      <c r="Q39" s="18" t="str">
        <f>if(isnumber(L39),max(0,rounddown((M39-VLOOKUP($D39,'components list'!$A$1:$G$1000,5,FALSE()))/C39,0)),"")</f>
        <v/>
      </c>
      <c r="R39" s="17" t="str">
        <f t="shared" si="5"/>
        <v>OK</v>
      </c>
    </row>
    <row r="40">
      <c r="A40" s="14" t="str">
        <f>IF($D40="","",VLOOKUP($D40,'components list'!$A$1:$G$1000,2,FALSE()))</f>
        <v/>
      </c>
      <c r="B40" s="19"/>
      <c r="C40" s="14"/>
      <c r="D40" s="7" t="str">
        <f t="array" ref="D40">IF(ISBLANK($F40),"",INDIRECT("components list!A"&amp;match(F40,'components list'!$D$1:$D$1000,0)))</f>
        <v/>
      </c>
      <c r="E40" s="14" t="str">
        <f>IF($D40="","",VLOOKUP($D40,'components list'!$A$1:$G$1000,3,FALSE()))</f>
        <v/>
      </c>
      <c r="F40" s="16"/>
      <c r="G40" s="20" t="str">
        <f>IF($D40="","",VLOOKUP($D40,'components list'!$A$1:$G$1000,6,FALSE()))</f>
        <v/>
      </c>
      <c r="H40" s="20" t="str">
        <f>IF($D40="","",VLOOKUP($D40,'components list'!$A$1:$G$1000,7,FALSE()))</f>
        <v/>
      </c>
      <c r="I40" s="17"/>
      <c r="J40" s="14" t="str">
        <f>IF(AND(NOT($D40=""),ISNUMBER(C40)),IF($Q$1="Internal",0,VLOOKUP($D40,'components list'!$A$1:$G$1000,5,FALSE())),"")</f>
        <v/>
      </c>
      <c r="K40" s="14" t="str">
        <f t="shared" si="1"/>
        <v/>
      </c>
      <c r="L40" s="18" t="str">
        <f t="shared" si="2"/>
        <v/>
      </c>
      <c r="M40" s="14" t="str">
        <f>IFNA(IF(ISBLANK($A40),"",VLOOKUP($A40,'components list'!$N$1:$AM$10000,4,FALSE())),"")</f>
        <v/>
      </c>
      <c r="N40" s="14" t="str">
        <f>IFNA(IF(ISBLANK($A40),"",VLOOKUP($A40,'components list'!$N$1:$AM$10000,3,FALSE())),"")</f>
        <v/>
      </c>
      <c r="O40" s="14" t="str">
        <f t="shared" si="3"/>
        <v/>
      </c>
      <c r="P40" s="17" t="str">
        <f t="shared" si="4"/>
        <v>OK</v>
      </c>
      <c r="Q40" s="18" t="str">
        <f>if(isnumber(L40),max(0,rounddown((M40-VLOOKUP($D40,'components list'!$A$1:$G$1000,5,FALSE()))/C40,0)),"")</f>
        <v/>
      </c>
      <c r="R40" s="17" t="str">
        <f t="shared" si="5"/>
        <v>OK</v>
      </c>
    </row>
    <row r="41">
      <c r="A41" s="14" t="str">
        <f>IF($D41="","",VLOOKUP($D41,'components list'!$A$1:$G$1000,2,FALSE()))</f>
        <v/>
      </c>
      <c r="B41" s="19"/>
      <c r="C41" s="14"/>
      <c r="D41" s="7" t="str">
        <f t="array" ref="D41">IF(ISBLANK($F41),"",INDIRECT("components list!A"&amp;match(F41,'components list'!$D$1:$D$1000,0)))</f>
        <v/>
      </c>
      <c r="E41" s="14" t="str">
        <f>IF($D41="","",VLOOKUP($D41,'components list'!$A$1:$G$1000,3,FALSE()))</f>
        <v/>
      </c>
      <c r="F41" s="16"/>
      <c r="G41" s="20" t="str">
        <f>IF($D41="","",VLOOKUP($D41,'components list'!$A$1:$G$1000,6,FALSE()))</f>
        <v/>
      </c>
      <c r="H41" s="20" t="str">
        <f>IF($D41="","",VLOOKUP($D41,'components list'!$A$1:$G$1000,7,FALSE()))</f>
        <v/>
      </c>
      <c r="I41" s="17"/>
      <c r="J41" s="14" t="str">
        <f>IF(AND(NOT($D41=""),ISNUMBER(C41)),IF($Q$1="Internal",0,VLOOKUP($D41,'components list'!$A$1:$G$1000,5,FALSE())),"")</f>
        <v/>
      </c>
      <c r="K41" s="14" t="str">
        <f t="shared" si="1"/>
        <v/>
      </c>
      <c r="L41" s="18" t="str">
        <f t="shared" si="2"/>
        <v/>
      </c>
      <c r="M41" s="14" t="str">
        <f>IFNA(IF(ISBLANK($A41),"",VLOOKUP($A41,'components list'!$N$1:$AM$10000,4,FALSE())),"")</f>
        <v/>
      </c>
      <c r="N41" s="14" t="str">
        <f>IFNA(IF(ISBLANK($A41),"",VLOOKUP($A41,'components list'!$N$1:$AM$10000,3,FALSE())),"")</f>
        <v/>
      </c>
      <c r="O41" s="14" t="str">
        <f t="shared" si="3"/>
        <v/>
      </c>
      <c r="P41" s="17" t="str">
        <f t="shared" si="4"/>
        <v>OK</v>
      </c>
      <c r="Q41" s="18" t="str">
        <f>if(isnumber(L41),max(0,rounddown((M41-VLOOKUP($D41,'components list'!$A$1:$G$1000,5,FALSE()))/C41,0)),"")</f>
        <v/>
      </c>
      <c r="R41" s="17" t="str">
        <f t="shared" si="5"/>
        <v>OK</v>
      </c>
    </row>
    <row r="42">
      <c r="A42" s="14" t="str">
        <f>IF($D42="","",VLOOKUP($D42,'components list'!$A$1:$G$1000,2,FALSE()))</f>
        <v/>
      </c>
      <c r="B42" s="19"/>
      <c r="C42" s="14"/>
      <c r="D42" s="7" t="str">
        <f t="array" ref="D42">IF(ISBLANK($F42),"",INDIRECT("components list!A"&amp;match(F42,'components list'!$D$1:$D$1000,0)))</f>
        <v/>
      </c>
      <c r="E42" s="14" t="str">
        <f>IF($D42="","",VLOOKUP($D42,'components list'!$A$1:$G$1000,3,FALSE()))</f>
        <v/>
      </c>
      <c r="F42" s="16"/>
      <c r="G42" s="20" t="str">
        <f>IF($D42="","",VLOOKUP($D42,'components list'!$A$1:$G$1000,6,FALSE()))</f>
        <v/>
      </c>
      <c r="H42" s="20" t="str">
        <f>IF($D42="","",VLOOKUP($D42,'components list'!$A$1:$G$1000,7,FALSE()))</f>
        <v/>
      </c>
      <c r="I42" s="17"/>
      <c r="J42" s="14" t="str">
        <f>IF(AND(NOT($D42=""),ISNUMBER(C42)),IF($Q$1="Internal",0,VLOOKUP($D42,'components list'!$A$1:$G$1000,5,FALSE())),"")</f>
        <v/>
      </c>
      <c r="K42" s="14" t="str">
        <f t="shared" si="1"/>
        <v/>
      </c>
      <c r="L42" s="18" t="str">
        <f t="shared" si="2"/>
        <v/>
      </c>
      <c r="M42" s="14" t="str">
        <f>IFNA(IF(ISBLANK($A42),"",VLOOKUP($A42,'components list'!$N$1:$AM$10000,4,FALSE())),"")</f>
        <v/>
      </c>
      <c r="N42" s="14" t="str">
        <f>IFNA(IF(ISBLANK($A42),"",VLOOKUP($A42,'components list'!$N$1:$AM$10000,3,FALSE())),"")</f>
        <v/>
      </c>
      <c r="O42" s="14" t="str">
        <f t="shared" si="3"/>
        <v/>
      </c>
      <c r="P42" s="17" t="str">
        <f t="shared" si="4"/>
        <v>OK</v>
      </c>
      <c r="Q42" s="18" t="str">
        <f>if(isnumber(L42),max(0,rounddown((M42-VLOOKUP($D42,'components list'!$A$1:$G$1000,5,FALSE()))/C42,0)),"")</f>
        <v/>
      </c>
      <c r="R42" s="17" t="str">
        <f t="shared" si="5"/>
        <v>OK</v>
      </c>
    </row>
    <row r="43">
      <c r="A43" s="14" t="str">
        <f>IF($D43="","",VLOOKUP($D43,'components list'!$A$1:$G$1000,2,FALSE()))</f>
        <v/>
      </c>
      <c r="B43" s="19"/>
      <c r="C43" s="14"/>
      <c r="D43" s="7" t="str">
        <f t="array" ref="D43">IF(ISBLANK($F43),"",INDIRECT("components list!A"&amp;match(F43,'components list'!$D$1:$D$1000,0)))</f>
        <v/>
      </c>
      <c r="E43" s="14" t="str">
        <f>IF($D43="","",VLOOKUP($D43,'components list'!$A$1:$G$1000,3,FALSE()))</f>
        <v/>
      </c>
      <c r="F43" s="16"/>
      <c r="G43" s="20" t="str">
        <f>IF($D43="","",VLOOKUP($D43,'components list'!$A$1:$G$1000,6,FALSE()))</f>
        <v/>
      </c>
      <c r="H43" s="20" t="str">
        <f>IF($D43="","",VLOOKUP($D43,'components list'!$A$1:$G$1000,7,FALSE()))</f>
        <v/>
      </c>
      <c r="I43" s="17"/>
      <c r="J43" s="14" t="str">
        <f>IF(AND(NOT($D43=""),ISNUMBER(C43)),IF($Q$1="Internal",0,VLOOKUP($D43,'components list'!$A$1:$G$1000,5,FALSE())),"")</f>
        <v/>
      </c>
      <c r="K43" s="14" t="str">
        <f t="shared" si="1"/>
        <v/>
      </c>
      <c r="L43" s="18" t="str">
        <f t="shared" si="2"/>
        <v/>
      </c>
      <c r="M43" s="14" t="str">
        <f>IFNA(IF(ISBLANK($A43),"",VLOOKUP($A43,'components list'!$N$1:$AM$10000,4,FALSE())),"")</f>
        <v/>
      </c>
      <c r="N43" s="14" t="str">
        <f>IFNA(IF(ISBLANK($A43),"",VLOOKUP($A43,'components list'!$N$1:$AM$10000,3,FALSE())),"")</f>
        <v/>
      </c>
      <c r="O43" s="14" t="str">
        <f t="shared" si="3"/>
        <v/>
      </c>
      <c r="P43" s="17" t="str">
        <f t="shared" si="4"/>
        <v>OK</v>
      </c>
      <c r="Q43" s="18" t="str">
        <f>if(isnumber(L43),max(0,rounddown((M43-VLOOKUP($D43,'components list'!$A$1:$G$1000,5,FALSE()))/C43,0)),"")</f>
        <v/>
      </c>
      <c r="R43" s="17" t="str">
        <f t="shared" si="5"/>
        <v>OK</v>
      </c>
    </row>
    <row r="44">
      <c r="A44" s="14" t="str">
        <f>IF($D44="","",VLOOKUP($D44,'components list'!$A$1:$G$1000,2,FALSE()))</f>
        <v/>
      </c>
      <c r="B44" s="19"/>
      <c r="C44" s="14"/>
      <c r="D44" s="7" t="str">
        <f t="array" ref="D44">IF(ISBLANK($F44),"",INDIRECT("components list!A"&amp;match(F44,'components list'!$D$1:$D$1000,0)))</f>
        <v/>
      </c>
      <c r="E44" s="14" t="str">
        <f>IF($D44="","",VLOOKUP($D44,'components list'!$A$1:$G$1000,3,FALSE()))</f>
        <v/>
      </c>
      <c r="F44" s="16"/>
      <c r="G44" s="20" t="str">
        <f>IF($D44="","",VLOOKUP($D44,'components list'!$A$1:$G$1000,6,FALSE()))</f>
        <v/>
      </c>
      <c r="H44" s="20" t="str">
        <f>IF($D44="","",VLOOKUP($D44,'components list'!$A$1:$G$1000,7,FALSE()))</f>
        <v/>
      </c>
      <c r="I44" s="17"/>
      <c r="J44" s="14" t="str">
        <f>IF(AND(NOT($D44=""),ISNUMBER(C44)),IF($Q$1="Internal",0,VLOOKUP($D44,'components list'!$A$1:$G$1000,5,FALSE())),"")</f>
        <v/>
      </c>
      <c r="K44" s="14" t="str">
        <f t="shared" si="1"/>
        <v/>
      </c>
      <c r="L44" s="18" t="str">
        <f t="shared" si="2"/>
        <v/>
      </c>
      <c r="M44" s="14" t="str">
        <f>IFNA(IF(ISBLANK($A44),"",VLOOKUP($A44,'components list'!$N$1:$AM$10000,4,FALSE())),"")</f>
        <v/>
      </c>
      <c r="N44" s="14" t="str">
        <f>IFNA(IF(ISBLANK($A44),"",VLOOKUP($A44,'components list'!$N$1:$AM$10000,3,FALSE())),"")</f>
        <v/>
      </c>
      <c r="O44" s="14" t="str">
        <f t="shared" si="3"/>
        <v/>
      </c>
      <c r="P44" s="17" t="str">
        <f t="shared" si="4"/>
        <v>OK</v>
      </c>
      <c r="Q44" s="18" t="str">
        <f>if(isnumber(L44),max(0,rounddown((M44-VLOOKUP($D44,'components list'!$A$1:$G$1000,5,FALSE()))/C44,0)),"")</f>
        <v/>
      </c>
      <c r="R44" s="17" t="str">
        <f t="shared" si="5"/>
        <v>OK</v>
      </c>
    </row>
    <row r="45">
      <c r="A45" s="14" t="str">
        <f>IF($D45="","",VLOOKUP($D45,'components list'!$A$1:$G$1000,2,FALSE()))</f>
        <v/>
      </c>
      <c r="B45" s="19"/>
      <c r="C45" s="14"/>
      <c r="D45" s="7" t="str">
        <f t="array" ref="D45">IF(ISBLANK($F45),"",INDIRECT("components list!A"&amp;match(F45,'components list'!$D$1:$D$1000,0)))</f>
        <v/>
      </c>
      <c r="E45" s="14" t="str">
        <f>IF($D45="","",VLOOKUP($D45,'components list'!$A$1:$G$1000,3,FALSE()))</f>
        <v/>
      </c>
      <c r="F45" s="16"/>
      <c r="G45" s="20" t="str">
        <f>IF($D45="","",VLOOKUP($D45,'components list'!$A$1:$G$1000,6,FALSE()))</f>
        <v/>
      </c>
      <c r="H45" s="20" t="str">
        <f>IF($D45="","",VLOOKUP($D45,'components list'!$A$1:$G$1000,7,FALSE()))</f>
        <v/>
      </c>
      <c r="I45" s="17"/>
      <c r="J45" s="14" t="str">
        <f>IF(AND(NOT($D45=""),ISNUMBER(C45)),IF($Q$1="Internal",0,VLOOKUP($D45,'components list'!$A$1:$G$1000,5,FALSE())),"")</f>
        <v/>
      </c>
      <c r="K45" s="14" t="str">
        <f t="shared" si="1"/>
        <v/>
      </c>
      <c r="L45" s="18" t="str">
        <f t="shared" si="2"/>
        <v/>
      </c>
      <c r="M45" s="14" t="str">
        <f>IFNA(IF(ISBLANK($A45),"",VLOOKUP($A45,'components list'!$N$1:$AM$10000,4,FALSE())),"")</f>
        <v/>
      </c>
      <c r="N45" s="14" t="str">
        <f>IFNA(IF(ISBLANK($A45),"",VLOOKUP($A45,'components list'!$N$1:$AM$10000,3,FALSE())),"")</f>
        <v/>
      </c>
      <c r="O45" s="14" t="str">
        <f t="shared" si="3"/>
        <v/>
      </c>
      <c r="P45" s="17" t="str">
        <f t="shared" si="4"/>
        <v>OK</v>
      </c>
      <c r="Q45" s="18" t="str">
        <f>if(isnumber(L45),max(0,rounddown((M45-VLOOKUP($D45,'components list'!$A$1:$G$1000,5,FALSE()))/C45,0)),"")</f>
        <v/>
      </c>
      <c r="R45" s="17" t="str">
        <f t="shared" si="5"/>
        <v>OK</v>
      </c>
    </row>
    <row r="46">
      <c r="A46" s="14" t="str">
        <f>IF($D46="","",VLOOKUP($D46,'components list'!$A$1:$G$1000,2,FALSE()))</f>
        <v/>
      </c>
      <c r="B46" s="19"/>
      <c r="C46" s="14"/>
      <c r="D46" s="7" t="str">
        <f t="array" ref="D46">IF(ISBLANK($F46),"",INDIRECT("components list!A"&amp;match(F46,'components list'!$D$1:$D$1000,0)))</f>
        <v/>
      </c>
      <c r="E46" s="14" t="str">
        <f>IF($D46="","",VLOOKUP($D46,'components list'!$A$1:$G$1000,3,FALSE()))</f>
        <v/>
      </c>
      <c r="F46" s="16"/>
      <c r="G46" s="20" t="str">
        <f>IF($D46="","",VLOOKUP($D46,'components list'!$A$1:$G$1000,6,FALSE()))</f>
        <v/>
      </c>
      <c r="H46" s="20" t="str">
        <f>IF($D46="","",VLOOKUP($D46,'components list'!$A$1:$G$1000,7,FALSE()))</f>
        <v/>
      </c>
      <c r="I46" s="17"/>
      <c r="J46" s="14" t="str">
        <f>IF(AND(NOT($D46=""),ISNUMBER(C46)),IF($Q$1="Internal",0,VLOOKUP($D46,'components list'!$A$1:$G$1000,5,FALSE())),"")</f>
        <v/>
      </c>
      <c r="K46" s="14" t="str">
        <f t="shared" si="1"/>
        <v/>
      </c>
      <c r="L46" s="18" t="str">
        <f t="shared" si="2"/>
        <v/>
      </c>
      <c r="M46" s="14" t="str">
        <f>IFNA(IF(ISBLANK($A46),"",VLOOKUP($A46,'components list'!$N$1:$AM$10000,4,FALSE())),"")</f>
        <v/>
      </c>
      <c r="N46" s="14" t="str">
        <f>IFNA(IF(ISBLANK($A46),"",VLOOKUP($A46,'components list'!$N$1:$AM$10000,3,FALSE())),"")</f>
        <v/>
      </c>
      <c r="O46" s="14" t="str">
        <f t="shared" si="3"/>
        <v/>
      </c>
      <c r="P46" s="17" t="str">
        <f t="shared" si="4"/>
        <v>OK</v>
      </c>
      <c r="Q46" s="18" t="str">
        <f>if(isnumber(L46),max(0,rounddown((M46-VLOOKUP($D46,'components list'!$A$1:$G$1000,5,FALSE()))/C46,0)),"")</f>
        <v/>
      </c>
      <c r="R46" s="17" t="str">
        <f t="shared" si="5"/>
        <v>OK</v>
      </c>
    </row>
    <row r="47">
      <c r="A47" s="14" t="str">
        <f>IF($D47="","",VLOOKUP($D47,'components list'!$A$1:$G$1000,2,FALSE()))</f>
        <v/>
      </c>
      <c r="B47" s="19"/>
      <c r="C47" s="14"/>
      <c r="D47" s="7" t="str">
        <f t="array" ref="D47">IF(ISBLANK($F47),"",INDIRECT("components list!A"&amp;match(F47,'components list'!$D$1:$D$1000,0)))</f>
        <v/>
      </c>
      <c r="E47" s="14" t="str">
        <f>IF($D47="","",VLOOKUP($D47,'components list'!$A$1:$G$1000,3,FALSE()))</f>
        <v/>
      </c>
      <c r="F47" s="16"/>
      <c r="G47" s="20" t="str">
        <f>IF($D47="","",VLOOKUP($D47,'components list'!$A$1:$G$1000,6,FALSE()))</f>
        <v/>
      </c>
      <c r="H47" s="20" t="str">
        <f>IF($D47="","",VLOOKUP($D47,'components list'!$A$1:$G$1000,7,FALSE()))</f>
        <v/>
      </c>
      <c r="I47" s="17"/>
      <c r="J47" s="14" t="str">
        <f>IF(AND(NOT($D47=""),ISNUMBER(C47)),IF($Q$1="Internal",0,VLOOKUP($D47,'components list'!$A$1:$G$1000,5,FALSE())),"")</f>
        <v/>
      </c>
      <c r="K47" s="14" t="str">
        <f t="shared" si="1"/>
        <v/>
      </c>
      <c r="L47" s="18" t="str">
        <f t="shared" si="2"/>
        <v/>
      </c>
      <c r="M47" s="14" t="str">
        <f>IFNA(IF(ISBLANK($A47),"",VLOOKUP($A47,'components list'!$N$1:$AM$10000,4,FALSE())),"")</f>
        <v/>
      </c>
      <c r="N47" s="14" t="str">
        <f>IFNA(IF(ISBLANK($A47),"",VLOOKUP($A47,'components list'!$N$1:$AM$10000,3,FALSE())),"")</f>
        <v/>
      </c>
      <c r="O47" s="14" t="str">
        <f t="shared" si="3"/>
        <v/>
      </c>
      <c r="P47" s="17" t="str">
        <f t="shared" si="4"/>
        <v>OK</v>
      </c>
      <c r="Q47" s="18" t="str">
        <f>if(isnumber(L47),max(0,rounddown((M47-VLOOKUP($D47,'components list'!$A$1:$G$1000,5,FALSE()))/C47,0)),"")</f>
        <v/>
      </c>
      <c r="R47" s="17" t="str">
        <f t="shared" si="5"/>
        <v>OK</v>
      </c>
    </row>
    <row r="48">
      <c r="A48" s="14" t="str">
        <f>IF($D48="","",VLOOKUP($D48,'components list'!$A$1:$G$1000,2,FALSE()))</f>
        <v/>
      </c>
      <c r="B48" s="19"/>
      <c r="C48" s="14"/>
      <c r="D48" s="7" t="str">
        <f t="array" ref="D48">IF(ISBLANK($F48),"",INDIRECT("components list!A"&amp;match(F48,'components list'!$D$1:$D$1000,0)))</f>
        <v/>
      </c>
      <c r="E48" s="14" t="str">
        <f>IF($D48="","",VLOOKUP($D48,'components list'!$A$1:$G$1000,3,FALSE()))</f>
        <v/>
      </c>
      <c r="F48" s="16"/>
      <c r="G48" s="20" t="str">
        <f>IF($D48="","",VLOOKUP($D48,'components list'!$A$1:$G$1000,6,FALSE()))</f>
        <v/>
      </c>
      <c r="H48" s="20" t="str">
        <f>IF($D48="","",VLOOKUP($D48,'components list'!$A$1:$G$1000,7,FALSE()))</f>
        <v/>
      </c>
      <c r="I48" s="17"/>
      <c r="J48" s="14" t="str">
        <f>IF(AND(NOT($D48=""),ISNUMBER(C48)),IF($Q$1="Internal",0,VLOOKUP($D48,'components list'!$A$1:$G$1000,5,FALSE())),"")</f>
        <v/>
      </c>
      <c r="K48" s="14" t="str">
        <f t="shared" si="1"/>
        <v/>
      </c>
      <c r="L48" s="18" t="str">
        <f t="shared" si="2"/>
        <v/>
      </c>
      <c r="M48" s="14" t="str">
        <f>IFNA(IF(ISBLANK($A48),"",VLOOKUP($A48,'components list'!$N$1:$AM$10000,4,FALSE())),"")</f>
        <v/>
      </c>
      <c r="N48" s="14" t="str">
        <f>IFNA(IF(ISBLANK($A48),"",VLOOKUP($A48,'components list'!$N$1:$AM$10000,3,FALSE())),"")</f>
        <v/>
      </c>
      <c r="O48" s="14" t="str">
        <f t="shared" si="3"/>
        <v/>
      </c>
      <c r="P48" s="17" t="str">
        <f t="shared" si="4"/>
        <v>OK</v>
      </c>
      <c r="Q48" s="18" t="str">
        <f>if(isnumber(L48),max(0,rounddown((M48-VLOOKUP($D48,'components list'!$A$1:$G$1000,5,FALSE()))/C48,0)),"")</f>
        <v/>
      </c>
      <c r="R48" s="17" t="str">
        <f t="shared" si="5"/>
        <v>OK</v>
      </c>
    </row>
    <row r="49">
      <c r="A49" s="14" t="str">
        <f>IF($D49="","",VLOOKUP($D49,'components list'!$A$1:$G$1000,2,FALSE()))</f>
        <v/>
      </c>
      <c r="B49" s="19"/>
      <c r="C49" s="14"/>
      <c r="D49" s="7" t="str">
        <f t="array" ref="D49">IF(ISBLANK($F49),"",INDIRECT("components list!A"&amp;match(F49,'components list'!$D$1:$D$1000,0)))</f>
        <v/>
      </c>
      <c r="E49" s="14" t="str">
        <f>IF($D49="","",VLOOKUP($D49,'components list'!$A$1:$G$1000,3,FALSE()))</f>
        <v/>
      </c>
      <c r="F49" s="16"/>
      <c r="G49" s="20" t="str">
        <f>IF($D49="","",VLOOKUP($D49,'components list'!$A$1:$G$1000,6,FALSE()))</f>
        <v/>
      </c>
      <c r="H49" s="20" t="str">
        <f>IF($D49="","",VLOOKUP($D49,'components list'!$A$1:$G$1000,7,FALSE()))</f>
        <v/>
      </c>
      <c r="I49" s="17"/>
      <c r="J49" s="14" t="str">
        <f>IF(AND(NOT($D49=""),ISNUMBER(C49)),IF($Q$1="Internal",0,VLOOKUP($D49,'components list'!$A$1:$G$1000,5,FALSE())),"")</f>
        <v/>
      </c>
      <c r="K49" s="14" t="str">
        <f t="shared" si="1"/>
        <v/>
      </c>
      <c r="L49" s="18" t="str">
        <f t="shared" si="2"/>
        <v/>
      </c>
      <c r="M49" s="14" t="str">
        <f>IFNA(IF(ISBLANK($A49),"",VLOOKUP($A49,'components list'!$N$1:$AM$10000,4,FALSE())),"")</f>
        <v/>
      </c>
      <c r="N49" s="14" t="str">
        <f>IFNA(IF(ISBLANK($A49),"",VLOOKUP($A49,'components list'!$N$1:$AM$10000,3,FALSE())),"")</f>
        <v/>
      </c>
      <c r="O49" s="14" t="str">
        <f t="shared" si="3"/>
        <v/>
      </c>
      <c r="P49" s="17" t="str">
        <f t="shared" si="4"/>
        <v>OK</v>
      </c>
      <c r="Q49" s="18" t="str">
        <f>if(isnumber(L49),max(0,rounddown((M49-VLOOKUP($D49,'components list'!$A$1:$G$1000,5,FALSE()))/C49,0)),"")</f>
        <v/>
      </c>
      <c r="R49" s="17" t="str">
        <f t="shared" si="5"/>
        <v>OK</v>
      </c>
    </row>
    <row r="50">
      <c r="A50" s="14" t="str">
        <f>IF($D50="","",VLOOKUP($D50,'components list'!$A$1:$G$1000,2,FALSE()))</f>
        <v/>
      </c>
      <c r="B50" s="19"/>
      <c r="C50" s="14"/>
      <c r="D50" s="7" t="str">
        <f t="array" ref="D50">IF(ISBLANK($F50),"",INDIRECT("components list!A"&amp;match(F50,'components list'!$D$1:$D$1000,0)))</f>
        <v/>
      </c>
      <c r="E50" s="14" t="str">
        <f>IF($D50="","",VLOOKUP($D50,'components list'!$A$1:$G$1000,3,FALSE()))</f>
        <v/>
      </c>
      <c r="F50" s="16"/>
      <c r="G50" s="20" t="str">
        <f>IF($D50="","",VLOOKUP($D50,'components list'!$A$1:$G$1000,6,FALSE()))</f>
        <v/>
      </c>
      <c r="H50" s="20" t="str">
        <f>IF($D50="","",VLOOKUP($D50,'components list'!$A$1:$G$1000,7,FALSE()))</f>
        <v/>
      </c>
      <c r="I50" s="17"/>
      <c r="J50" s="14" t="str">
        <f>IF(AND(NOT($D50=""),ISNUMBER(C50)),IF($Q$1="Internal",0,VLOOKUP($D50,'components list'!$A$1:$G$1000,5,FALSE())),"")</f>
        <v/>
      </c>
      <c r="K50" s="14" t="str">
        <f t="shared" si="1"/>
        <v/>
      </c>
      <c r="L50" s="18" t="str">
        <f t="shared" si="2"/>
        <v/>
      </c>
      <c r="M50" s="14" t="str">
        <f>IFNA(IF(ISBLANK($A50),"",VLOOKUP($A50,'components list'!$N$1:$AM$10000,4,FALSE())),"")</f>
        <v/>
      </c>
      <c r="N50" s="14" t="str">
        <f>IFNA(IF(ISBLANK($A50),"",VLOOKUP($A50,'components list'!$N$1:$AM$10000,3,FALSE())),"")</f>
        <v/>
      </c>
      <c r="O50" s="14" t="str">
        <f t="shared" si="3"/>
        <v/>
      </c>
      <c r="P50" s="17" t="str">
        <f t="shared" si="4"/>
        <v>OK</v>
      </c>
      <c r="Q50" s="18" t="str">
        <f>if(isnumber(L50),max(0,rounddown((M50-VLOOKUP($D50,'components list'!$A$1:$G$1000,5,FALSE()))/C50,0)),"")</f>
        <v/>
      </c>
      <c r="R50" s="17" t="str">
        <f t="shared" si="5"/>
        <v>OK</v>
      </c>
    </row>
    <row r="51">
      <c r="A51" s="14" t="str">
        <f>IF($D51="","",VLOOKUP($D51,'components list'!$A$1:$G$1000,2,FALSE()))</f>
        <v/>
      </c>
      <c r="B51" s="19"/>
      <c r="C51" s="14"/>
      <c r="D51" s="7" t="str">
        <f t="array" ref="D51">IF(ISBLANK($F51),"",INDIRECT("components list!A"&amp;match(F51,'components list'!$D$1:$D$1000,0)))</f>
        <v/>
      </c>
      <c r="E51" s="14" t="str">
        <f>IF($D51="","",VLOOKUP($D51,'components list'!$A$1:$G$1000,3,FALSE()))</f>
        <v/>
      </c>
      <c r="F51" s="16"/>
      <c r="G51" s="20" t="str">
        <f>IF($D51="","",VLOOKUP($D51,'components list'!$A$1:$G$1000,6,FALSE()))</f>
        <v/>
      </c>
      <c r="H51" s="20" t="str">
        <f>IF($D51="","",VLOOKUP($D51,'components list'!$A$1:$G$1000,7,FALSE()))</f>
        <v/>
      </c>
      <c r="I51" s="17"/>
      <c r="J51" s="14" t="str">
        <f>IF(AND(NOT($D51=""),ISNUMBER(C51)),IF($Q$1="Internal",0,VLOOKUP($D51,'components list'!$A$1:$G$1000,5,FALSE())),"")</f>
        <v/>
      </c>
      <c r="K51" s="14" t="str">
        <f t="shared" si="1"/>
        <v/>
      </c>
      <c r="L51" s="18" t="str">
        <f t="shared" si="2"/>
        <v/>
      </c>
      <c r="M51" s="14" t="str">
        <f>IFNA(IF(ISBLANK($A51),"",VLOOKUP($A51,'components list'!$N$1:$AM$10000,4,FALSE())),"")</f>
        <v/>
      </c>
      <c r="N51" s="14" t="str">
        <f>IFNA(IF(ISBLANK($A51),"",VLOOKUP($A51,'components list'!$N$1:$AM$10000,3,FALSE())),"")</f>
        <v/>
      </c>
      <c r="O51" s="14" t="str">
        <f t="shared" si="3"/>
        <v/>
      </c>
      <c r="P51" s="17" t="str">
        <f t="shared" si="4"/>
        <v>OK</v>
      </c>
      <c r="Q51" s="18" t="str">
        <f>if(isnumber(L51),max(0,rounddown((M51-VLOOKUP($D51,'components list'!$A$1:$G$1000,5,FALSE()))/C51,0)),"")</f>
        <v/>
      </c>
      <c r="R51" s="17" t="str">
        <f t="shared" si="5"/>
        <v>OK</v>
      </c>
    </row>
    <row r="52">
      <c r="A52" s="14" t="str">
        <f>IF($D52="","",VLOOKUP($D52,'components list'!$A$1:$G$1000,2,FALSE()))</f>
        <v/>
      </c>
      <c r="B52" s="19"/>
      <c r="C52" s="14"/>
      <c r="D52" s="7" t="str">
        <f t="array" ref="D52">IF(ISBLANK($F52),"",INDIRECT("components list!A"&amp;match(F52,'components list'!$D$1:$D$1000,0)))</f>
        <v/>
      </c>
      <c r="E52" s="14" t="str">
        <f>IF($D52="","",VLOOKUP($D52,'components list'!$A$1:$G$1000,3,FALSE()))</f>
        <v/>
      </c>
      <c r="F52" s="16"/>
      <c r="G52" s="20" t="str">
        <f>IF($D52="","",VLOOKUP($D52,'components list'!$A$1:$G$1000,6,FALSE()))</f>
        <v/>
      </c>
      <c r="H52" s="20" t="str">
        <f>IF($D52="","",VLOOKUP($D52,'components list'!$A$1:$G$1000,7,FALSE()))</f>
        <v/>
      </c>
      <c r="I52" s="17"/>
      <c r="J52" s="14" t="str">
        <f>IF(AND(NOT($D52=""),ISNUMBER(C52)),IF($Q$1="Internal",0,VLOOKUP($D52,'components list'!$A$1:$G$1000,5,FALSE())),"")</f>
        <v/>
      </c>
      <c r="K52" s="14" t="str">
        <f t="shared" si="1"/>
        <v/>
      </c>
      <c r="L52" s="18" t="str">
        <f t="shared" si="2"/>
        <v/>
      </c>
      <c r="M52" s="14" t="str">
        <f>IFNA(IF(ISBLANK($A52),"",VLOOKUP($A52,'components list'!$N$1:$AM$10000,4,FALSE())),"")</f>
        <v/>
      </c>
      <c r="N52" s="14" t="str">
        <f>IFNA(IF(ISBLANK($A52),"",VLOOKUP($A52,'components list'!$N$1:$AM$10000,3,FALSE())),"")</f>
        <v/>
      </c>
      <c r="O52" s="14" t="str">
        <f t="shared" si="3"/>
        <v/>
      </c>
      <c r="P52" s="17" t="str">
        <f t="shared" si="4"/>
        <v>OK</v>
      </c>
      <c r="Q52" s="18" t="str">
        <f>if(isnumber(L52),max(0,rounddown((M52-VLOOKUP($D52,'components list'!$A$1:$G$1000,5,FALSE()))/C52,0)),"")</f>
        <v/>
      </c>
      <c r="R52" s="17" t="str">
        <f t="shared" si="5"/>
        <v>OK</v>
      </c>
    </row>
    <row r="53">
      <c r="A53" s="14" t="str">
        <f>IF($D53="","",VLOOKUP($D53,'components list'!$A$1:$G$1000,2,FALSE()))</f>
        <v/>
      </c>
      <c r="B53" s="19"/>
      <c r="C53" s="14"/>
      <c r="D53" s="7" t="str">
        <f t="array" ref="D53">IF(ISBLANK($F53),"",INDIRECT("components list!A"&amp;match(F53,'components list'!$D$1:$D$1000,0)))</f>
        <v/>
      </c>
      <c r="E53" s="14" t="str">
        <f>IF($D53="","",VLOOKUP($D53,'components list'!$A$1:$G$1000,3,FALSE()))</f>
        <v/>
      </c>
      <c r="F53" s="16"/>
      <c r="G53" s="20" t="str">
        <f>IF($D53="","",VLOOKUP($D53,'components list'!$A$1:$G$1000,6,FALSE()))</f>
        <v/>
      </c>
      <c r="H53" s="20" t="str">
        <f>IF($D53="","",VLOOKUP($D53,'components list'!$A$1:$G$1000,7,FALSE()))</f>
        <v/>
      </c>
      <c r="I53" s="17"/>
      <c r="J53" s="14" t="str">
        <f>IF(AND(NOT($D53=""),ISNUMBER(C53)),IF($Q$1="Internal",0,VLOOKUP($D53,'components list'!$A$1:$G$1000,5,FALSE())),"")</f>
        <v/>
      </c>
      <c r="K53" s="14" t="str">
        <f t="shared" si="1"/>
        <v/>
      </c>
      <c r="L53" s="18" t="str">
        <f t="shared" si="2"/>
        <v/>
      </c>
      <c r="M53" s="14" t="str">
        <f>IFNA(IF(ISBLANK($A53),"",VLOOKUP($A53,'components list'!$N$1:$AM$10000,4,FALSE())),"")</f>
        <v/>
      </c>
      <c r="N53" s="14" t="str">
        <f>IFNA(IF(ISBLANK($A53),"",VLOOKUP($A53,'components list'!$N$1:$AM$10000,3,FALSE())),"")</f>
        <v/>
      </c>
      <c r="O53" s="14" t="str">
        <f t="shared" si="3"/>
        <v/>
      </c>
      <c r="P53" s="17" t="str">
        <f t="shared" si="4"/>
        <v>OK</v>
      </c>
      <c r="Q53" s="18" t="str">
        <f>if(isnumber(L53),max(0,rounddown((M53-VLOOKUP($D53,'components list'!$A$1:$G$1000,5,FALSE()))/C53,0)),"")</f>
        <v/>
      </c>
      <c r="R53" s="17" t="str">
        <f t="shared" si="5"/>
        <v>OK</v>
      </c>
    </row>
    <row r="54">
      <c r="A54" s="14" t="str">
        <f>IF($D54="","",VLOOKUP($D54,'components list'!$A$1:$G$1000,2,FALSE()))</f>
        <v/>
      </c>
      <c r="B54" s="19"/>
      <c r="C54" s="14"/>
      <c r="D54" s="7" t="str">
        <f t="array" ref="D54">IF(ISBLANK($F54),"",INDIRECT("components list!A"&amp;match(F54,'components list'!$D$1:$D$1000,0)))</f>
        <v/>
      </c>
      <c r="E54" s="14" t="str">
        <f>IF($D54="","",VLOOKUP($D54,'components list'!$A$1:$G$1000,3,FALSE()))</f>
        <v/>
      </c>
      <c r="F54" s="16"/>
      <c r="G54" s="20" t="str">
        <f>IF($D54="","",VLOOKUP($D54,'components list'!$A$1:$G$1000,6,FALSE()))</f>
        <v/>
      </c>
      <c r="H54" s="20" t="str">
        <f>IF($D54="","",VLOOKUP($D54,'components list'!$A$1:$G$1000,7,FALSE()))</f>
        <v/>
      </c>
      <c r="I54" s="17"/>
      <c r="J54" s="14" t="str">
        <f>IF(AND(NOT($D54=""),ISNUMBER(C54)),IF($Q$1="Internal",0,VLOOKUP($D54,'components list'!$A$1:$G$1000,5,FALSE())),"")</f>
        <v/>
      </c>
      <c r="K54" s="14" t="str">
        <f t="shared" si="1"/>
        <v/>
      </c>
      <c r="L54" s="18" t="str">
        <f t="shared" si="2"/>
        <v/>
      </c>
      <c r="M54" s="14" t="str">
        <f>IFNA(IF(ISBLANK($A54),"",VLOOKUP($A54,'components list'!$N$1:$AM$10000,4,FALSE())),"")</f>
        <v/>
      </c>
      <c r="N54" s="14" t="str">
        <f>IFNA(IF(ISBLANK($A54),"",VLOOKUP($A54,'components list'!$N$1:$AM$10000,3,FALSE())),"")</f>
        <v/>
      </c>
      <c r="O54" s="14" t="str">
        <f t="shared" si="3"/>
        <v/>
      </c>
      <c r="P54" s="17" t="str">
        <f t="shared" si="4"/>
        <v>OK</v>
      </c>
      <c r="Q54" s="18" t="str">
        <f>if(isnumber(L54),max(0,rounddown((M54-VLOOKUP($D54,'components list'!$A$1:$G$1000,5,FALSE()))/C54,0)),"")</f>
        <v/>
      </c>
      <c r="R54" s="17" t="str">
        <f t="shared" si="5"/>
        <v>OK</v>
      </c>
    </row>
    <row r="55">
      <c r="A55" s="23"/>
      <c r="C55" s="14"/>
      <c r="E55" s="23"/>
      <c r="F55" s="24"/>
      <c r="G55" s="25"/>
      <c r="H55" s="25"/>
      <c r="J55" s="14"/>
      <c r="L55" s="26"/>
      <c r="Q55" s="26"/>
    </row>
    <row r="56">
      <c r="A56" s="23"/>
      <c r="C56" s="14"/>
      <c r="E56" s="23"/>
      <c r="F56" s="24"/>
      <c r="H56" s="25"/>
      <c r="J56" s="14"/>
      <c r="L56" s="26"/>
      <c r="Q56" s="26"/>
    </row>
    <row r="57">
      <c r="A57" s="23"/>
      <c r="C57" s="14"/>
      <c r="E57" s="23"/>
      <c r="F57" s="24"/>
      <c r="H57" s="25"/>
      <c r="J57" s="14"/>
      <c r="L57" s="26"/>
      <c r="Q57" s="26"/>
    </row>
    <row r="58">
      <c r="A58" s="23"/>
      <c r="C58" s="14"/>
      <c r="D58" s="27"/>
      <c r="E58" s="23"/>
      <c r="F58" s="24"/>
      <c r="H58" s="25"/>
      <c r="J58" s="23"/>
      <c r="L58" s="26"/>
      <c r="Q58" s="26"/>
    </row>
    <row r="59">
      <c r="A59" s="23"/>
      <c r="C59" s="14"/>
      <c r="D59" s="27"/>
      <c r="E59" s="23"/>
      <c r="F59" s="24"/>
      <c r="H59" s="25"/>
      <c r="J59" s="23"/>
      <c r="L59" s="26"/>
      <c r="Q59" s="26"/>
    </row>
    <row r="60">
      <c r="A60" s="23"/>
      <c r="C60" s="14"/>
      <c r="E60" s="23"/>
      <c r="F60" s="24"/>
      <c r="H60" s="25"/>
      <c r="J60" s="23"/>
      <c r="L60" s="26"/>
      <c r="Q60" s="26"/>
    </row>
    <row r="61">
      <c r="A61" s="26"/>
      <c r="C61" s="14"/>
      <c r="E61" s="26"/>
      <c r="F61" s="28"/>
      <c r="J61" s="26"/>
      <c r="L61" s="26"/>
      <c r="Q61" s="26"/>
    </row>
    <row r="62">
      <c r="A62" s="26"/>
      <c r="C62" s="14"/>
      <c r="E62" s="26"/>
      <c r="F62" s="28"/>
      <c r="J62" s="26"/>
      <c r="L62" s="26"/>
      <c r="Q62" s="26"/>
    </row>
    <row r="63">
      <c r="A63" s="26"/>
      <c r="C63" s="14"/>
      <c r="E63" s="26"/>
      <c r="F63" s="24"/>
      <c r="J63" s="26"/>
      <c r="L63" s="26"/>
      <c r="Q63" s="26"/>
    </row>
    <row r="64">
      <c r="A64" s="26"/>
      <c r="C64" s="14"/>
      <c r="E64" s="26"/>
      <c r="F64" s="28"/>
      <c r="J64" s="26"/>
      <c r="L64" s="26"/>
      <c r="Q64" s="26"/>
    </row>
    <row r="65">
      <c r="A65" s="26"/>
      <c r="C65" s="14"/>
      <c r="E65" s="26"/>
      <c r="F65" s="28"/>
      <c r="J65" s="26"/>
      <c r="L65" s="26"/>
      <c r="Q65" s="26"/>
    </row>
    <row r="66">
      <c r="A66" s="26"/>
      <c r="C66" s="14"/>
      <c r="E66" s="26"/>
      <c r="F66" s="24"/>
      <c r="J66" s="26"/>
      <c r="L66" s="26"/>
      <c r="Q66" s="26"/>
    </row>
    <row r="67">
      <c r="A67" s="26"/>
      <c r="E67" s="26"/>
      <c r="F67" s="24"/>
      <c r="J67" s="26"/>
      <c r="L67" s="26"/>
      <c r="Q67" s="26"/>
    </row>
    <row r="68">
      <c r="A68" s="26"/>
      <c r="E68" s="26"/>
      <c r="F68" s="24"/>
      <c r="J68" s="26"/>
      <c r="L68" s="26"/>
      <c r="Q68" s="26"/>
    </row>
    <row r="69">
      <c r="A69" s="26"/>
      <c r="E69" s="26"/>
      <c r="F69" s="24"/>
      <c r="J69" s="26"/>
      <c r="L69" s="26"/>
      <c r="Q69" s="26"/>
    </row>
    <row r="70">
      <c r="A70" s="26"/>
      <c r="E70" s="26"/>
      <c r="F70" s="24"/>
      <c r="J70" s="26"/>
      <c r="L70" s="26"/>
      <c r="Q70" s="26"/>
    </row>
    <row r="71">
      <c r="A71" s="26"/>
      <c r="E71" s="26"/>
      <c r="F71" s="28"/>
      <c r="J71" s="26"/>
      <c r="L71" s="26"/>
      <c r="Q71" s="26"/>
    </row>
    <row r="72">
      <c r="A72" s="26"/>
      <c r="E72" s="26"/>
      <c r="F72" s="28"/>
      <c r="J72" s="26"/>
      <c r="L72" s="26"/>
      <c r="Q72" s="26"/>
    </row>
    <row r="73">
      <c r="A73" s="26"/>
      <c r="E73" s="26"/>
      <c r="F73" s="28"/>
      <c r="J73" s="26"/>
      <c r="L73" s="26"/>
      <c r="Q73" s="26"/>
    </row>
    <row r="74">
      <c r="A74" s="26"/>
      <c r="E74" s="26"/>
      <c r="F74" s="28"/>
      <c r="J74" s="26"/>
      <c r="L74" s="26"/>
      <c r="Q74" s="26"/>
    </row>
    <row r="75">
      <c r="A75" s="26"/>
      <c r="E75" s="26"/>
      <c r="F75" s="28"/>
      <c r="J75" s="26"/>
      <c r="L75" s="26"/>
      <c r="Q75" s="26"/>
    </row>
    <row r="76">
      <c r="A76" s="26"/>
      <c r="E76" s="26"/>
      <c r="F76" s="28"/>
      <c r="J76" s="26"/>
      <c r="L76" s="26"/>
      <c r="Q76" s="26"/>
    </row>
    <row r="77">
      <c r="A77" s="26"/>
      <c r="E77" s="26"/>
      <c r="F77" s="28"/>
      <c r="J77" s="26"/>
      <c r="L77" s="26"/>
      <c r="Q77" s="26"/>
    </row>
    <row r="78">
      <c r="A78" s="26"/>
      <c r="E78" s="26"/>
      <c r="F78" s="28"/>
      <c r="J78" s="26"/>
      <c r="L78" s="26"/>
      <c r="Q78" s="26"/>
    </row>
    <row r="79">
      <c r="A79" s="26"/>
      <c r="E79" s="26"/>
      <c r="F79" s="28"/>
      <c r="J79" s="26"/>
      <c r="L79" s="26"/>
      <c r="Q79" s="26"/>
    </row>
    <row r="80">
      <c r="A80" s="26"/>
      <c r="E80" s="26"/>
      <c r="F80" s="28"/>
      <c r="J80" s="26"/>
      <c r="L80" s="26"/>
      <c r="Q80" s="26"/>
    </row>
    <row r="81">
      <c r="A81" s="26"/>
      <c r="E81" s="26"/>
      <c r="F81" s="28"/>
      <c r="J81" s="26"/>
      <c r="L81" s="26"/>
      <c r="Q81" s="26"/>
    </row>
    <row r="82">
      <c r="A82" s="26"/>
      <c r="E82" s="26"/>
      <c r="F82" s="28"/>
      <c r="J82" s="26"/>
      <c r="L82" s="26"/>
      <c r="Q82" s="26"/>
    </row>
    <row r="83">
      <c r="A83" s="26"/>
      <c r="E83" s="26"/>
      <c r="F83" s="28"/>
      <c r="J83" s="26"/>
      <c r="L83" s="26"/>
      <c r="Q83" s="26"/>
    </row>
    <row r="84">
      <c r="A84" s="26"/>
      <c r="E84" s="26"/>
      <c r="F84" s="28"/>
      <c r="J84" s="26"/>
      <c r="L84" s="26"/>
      <c r="Q84" s="26"/>
    </row>
    <row r="85">
      <c r="A85" s="26"/>
      <c r="E85" s="26"/>
      <c r="F85" s="28"/>
      <c r="J85" s="26"/>
      <c r="L85" s="26"/>
      <c r="Q85" s="26"/>
    </row>
    <row r="86">
      <c r="A86" s="26"/>
      <c r="E86" s="26"/>
      <c r="F86" s="28"/>
      <c r="J86" s="26"/>
      <c r="L86" s="26"/>
      <c r="Q86" s="26"/>
    </row>
    <row r="87">
      <c r="A87" s="26"/>
      <c r="E87" s="26"/>
      <c r="F87" s="28"/>
      <c r="J87" s="26"/>
      <c r="L87" s="26"/>
      <c r="Q87" s="26"/>
    </row>
    <row r="88">
      <c r="A88" s="26"/>
      <c r="E88" s="26"/>
      <c r="F88" s="28"/>
      <c r="J88" s="26"/>
      <c r="L88" s="26"/>
      <c r="Q88" s="26"/>
    </row>
    <row r="89">
      <c r="A89" s="26"/>
      <c r="E89" s="26"/>
      <c r="F89" s="28"/>
      <c r="J89" s="26"/>
      <c r="L89" s="26"/>
      <c r="Q89" s="26"/>
    </row>
    <row r="90">
      <c r="A90" s="26"/>
      <c r="E90" s="26"/>
      <c r="F90" s="28"/>
      <c r="J90" s="26"/>
      <c r="L90" s="26"/>
      <c r="Q90" s="26"/>
    </row>
    <row r="91">
      <c r="A91" s="26"/>
      <c r="E91" s="26"/>
      <c r="F91" s="28"/>
      <c r="J91" s="26"/>
      <c r="L91" s="26"/>
      <c r="Q91" s="26"/>
    </row>
    <row r="92">
      <c r="A92" s="26"/>
      <c r="E92" s="26"/>
      <c r="F92" s="28"/>
      <c r="J92" s="26"/>
      <c r="L92" s="26"/>
      <c r="Q92" s="26"/>
    </row>
    <row r="93">
      <c r="A93" s="26"/>
      <c r="E93" s="26"/>
      <c r="F93" s="28"/>
      <c r="J93" s="26"/>
      <c r="L93" s="26"/>
      <c r="Q93" s="26"/>
    </row>
    <row r="94">
      <c r="A94" s="26"/>
      <c r="E94" s="26"/>
      <c r="F94" s="28"/>
      <c r="J94" s="26"/>
      <c r="L94" s="26"/>
      <c r="Q94" s="26"/>
    </row>
    <row r="95">
      <c r="A95" s="26"/>
      <c r="E95" s="26"/>
      <c r="F95" s="28"/>
      <c r="J95" s="26"/>
      <c r="L95" s="26"/>
      <c r="Q95" s="26"/>
    </row>
    <row r="96">
      <c r="A96" s="26"/>
      <c r="E96" s="26"/>
      <c r="F96" s="28"/>
      <c r="J96" s="26"/>
      <c r="L96" s="26"/>
      <c r="Q96" s="26"/>
    </row>
    <row r="97">
      <c r="A97" s="26"/>
      <c r="E97" s="26"/>
      <c r="F97" s="28"/>
      <c r="J97" s="26"/>
      <c r="L97" s="26"/>
      <c r="Q97" s="26"/>
    </row>
    <row r="98">
      <c r="A98" s="26"/>
      <c r="E98" s="26"/>
      <c r="F98" s="28"/>
      <c r="J98" s="26"/>
      <c r="L98" s="26"/>
      <c r="Q98" s="26"/>
    </row>
    <row r="99">
      <c r="A99" s="26"/>
      <c r="E99" s="26"/>
      <c r="F99" s="28"/>
      <c r="J99" s="26"/>
      <c r="L99" s="26"/>
      <c r="Q99" s="26"/>
    </row>
    <row r="100">
      <c r="A100" s="26"/>
      <c r="E100" s="26"/>
      <c r="F100" s="28"/>
      <c r="J100" s="26"/>
      <c r="L100" s="26"/>
      <c r="Q100" s="26"/>
    </row>
    <row r="101">
      <c r="A101" s="26"/>
      <c r="E101" s="26"/>
      <c r="F101" s="28"/>
      <c r="J101" s="26"/>
      <c r="L101" s="26"/>
      <c r="Q101" s="26"/>
    </row>
    <row r="102">
      <c r="A102" s="26"/>
      <c r="E102" s="26"/>
      <c r="F102" s="28"/>
      <c r="J102" s="26"/>
      <c r="L102" s="26"/>
      <c r="Q102" s="26"/>
    </row>
    <row r="103">
      <c r="A103" s="26"/>
      <c r="E103" s="26"/>
      <c r="F103" s="28"/>
      <c r="J103" s="26"/>
      <c r="L103" s="26"/>
      <c r="Q103" s="26"/>
    </row>
    <row r="104">
      <c r="A104" s="26"/>
      <c r="E104" s="26"/>
      <c r="F104" s="28"/>
      <c r="J104" s="26"/>
      <c r="L104" s="26"/>
      <c r="Q104" s="26"/>
    </row>
    <row r="105">
      <c r="A105" s="26"/>
      <c r="E105" s="26"/>
      <c r="F105" s="28"/>
      <c r="J105" s="26"/>
      <c r="L105" s="26"/>
      <c r="Q105" s="26"/>
    </row>
    <row r="106">
      <c r="A106" s="26"/>
      <c r="E106" s="26"/>
      <c r="F106" s="28"/>
      <c r="J106" s="26"/>
      <c r="L106" s="26"/>
      <c r="Q106" s="26"/>
    </row>
    <row r="107">
      <c r="A107" s="26"/>
      <c r="E107" s="26"/>
      <c r="F107" s="28"/>
      <c r="J107" s="26"/>
      <c r="L107" s="26"/>
      <c r="Q107" s="26"/>
    </row>
    <row r="108">
      <c r="A108" s="26"/>
      <c r="E108" s="26"/>
      <c r="F108" s="28"/>
      <c r="J108" s="26"/>
      <c r="L108" s="26"/>
      <c r="Q108" s="26"/>
    </row>
    <row r="109">
      <c r="A109" s="26"/>
      <c r="E109" s="26"/>
      <c r="F109" s="28"/>
      <c r="J109" s="26"/>
      <c r="L109" s="26"/>
      <c r="Q109" s="26"/>
    </row>
    <row r="110">
      <c r="A110" s="26"/>
      <c r="E110" s="26"/>
      <c r="F110" s="28"/>
      <c r="J110" s="26"/>
      <c r="L110" s="26"/>
      <c r="Q110" s="26"/>
    </row>
    <row r="111">
      <c r="A111" s="26"/>
      <c r="E111" s="26"/>
      <c r="F111" s="28"/>
      <c r="J111" s="26"/>
      <c r="L111" s="26"/>
      <c r="Q111" s="26"/>
    </row>
    <row r="112">
      <c r="A112" s="26"/>
      <c r="E112" s="26"/>
      <c r="F112" s="28"/>
      <c r="J112" s="26"/>
      <c r="L112" s="26"/>
      <c r="Q112" s="26"/>
    </row>
    <row r="113">
      <c r="A113" s="26"/>
      <c r="E113" s="26"/>
      <c r="F113" s="28"/>
      <c r="J113" s="26"/>
      <c r="L113" s="26"/>
      <c r="Q113" s="26"/>
    </row>
    <row r="114">
      <c r="A114" s="26"/>
      <c r="E114" s="26"/>
      <c r="F114" s="28"/>
      <c r="J114" s="26"/>
      <c r="L114" s="26"/>
      <c r="Q114" s="26"/>
    </row>
    <row r="115">
      <c r="A115" s="26"/>
      <c r="E115" s="26"/>
      <c r="F115" s="28"/>
      <c r="J115" s="26"/>
      <c r="L115" s="26"/>
      <c r="Q115" s="26"/>
    </row>
    <row r="116">
      <c r="A116" s="26"/>
      <c r="E116" s="26"/>
      <c r="F116" s="28"/>
      <c r="J116" s="26"/>
      <c r="L116" s="26"/>
      <c r="Q116" s="26"/>
    </row>
    <row r="117">
      <c r="A117" s="26"/>
      <c r="E117" s="26"/>
      <c r="F117" s="28"/>
      <c r="J117" s="26"/>
      <c r="L117" s="26"/>
      <c r="Q117" s="26"/>
    </row>
    <row r="118">
      <c r="A118" s="26"/>
      <c r="E118" s="26"/>
      <c r="F118" s="28"/>
      <c r="J118" s="26"/>
      <c r="L118" s="26"/>
      <c r="Q118" s="26"/>
    </row>
    <row r="119">
      <c r="A119" s="26"/>
      <c r="E119" s="26"/>
      <c r="F119" s="28"/>
      <c r="J119" s="26"/>
      <c r="L119" s="26"/>
      <c r="Q119" s="26"/>
    </row>
    <row r="120">
      <c r="A120" s="26"/>
      <c r="E120" s="26"/>
      <c r="F120" s="28"/>
      <c r="J120" s="26"/>
      <c r="L120" s="26"/>
      <c r="Q120" s="26"/>
    </row>
    <row r="121">
      <c r="A121" s="26"/>
      <c r="E121" s="26"/>
      <c r="F121" s="28"/>
      <c r="J121" s="26"/>
      <c r="L121" s="26"/>
      <c r="Q121" s="26"/>
    </row>
    <row r="122">
      <c r="A122" s="26"/>
      <c r="E122" s="26"/>
      <c r="F122" s="28"/>
      <c r="J122" s="26"/>
      <c r="L122" s="26"/>
      <c r="Q122" s="26"/>
    </row>
    <row r="123">
      <c r="A123" s="26"/>
      <c r="E123" s="26"/>
      <c r="F123" s="28"/>
      <c r="J123" s="26"/>
      <c r="L123" s="26"/>
      <c r="Q123" s="26"/>
    </row>
    <row r="124">
      <c r="A124" s="26"/>
      <c r="E124" s="26"/>
      <c r="F124" s="28"/>
      <c r="J124" s="26"/>
      <c r="L124" s="26"/>
      <c r="Q124" s="26"/>
    </row>
    <row r="125">
      <c r="A125" s="26"/>
      <c r="E125" s="26"/>
      <c r="F125" s="28"/>
      <c r="J125" s="26"/>
      <c r="L125" s="26"/>
      <c r="Q125" s="26"/>
    </row>
    <row r="126">
      <c r="A126" s="26"/>
      <c r="E126" s="26"/>
      <c r="F126" s="28"/>
      <c r="J126" s="26"/>
      <c r="L126" s="26"/>
      <c r="Q126" s="26"/>
    </row>
    <row r="127">
      <c r="A127" s="26"/>
      <c r="E127" s="26"/>
      <c r="F127" s="28"/>
      <c r="J127" s="26"/>
      <c r="L127" s="26"/>
      <c r="Q127" s="26"/>
    </row>
    <row r="128">
      <c r="A128" s="26"/>
      <c r="E128" s="26"/>
      <c r="F128" s="28"/>
      <c r="J128" s="26"/>
      <c r="L128" s="26"/>
      <c r="Q128" s="26"/>
    </row>
    <row r="129">
      <c r="A129" s="26"/>
      <c r="E129" s="26"/>
      <c r="F129" s="28"/>
      <c r="J129" s="26"/>
      <c r="L129" s="26"/>
      <c r="Q129" s="26"/>
    </row>
    <row r="130">
      <c r="A130" s="26"/>
      <c r="E130" s="26"/>
      <c r="F130" s="28"/>
      <c r="J130" s="26"/>
      <c r="L130" s="26"/>
      <c r="Q130" s="26"/>
    </row>
    <row r="131">
      <c r="A131" s="26"/>
      <c r="E131" s="26"/>
      <c r="F131" s="28"/>
      <c r="J131" s="26"/>
      <c r="L131" s="26"/>
      <c r="Q131" s="26"/>
    </row>
    <row r="132">
      <c r="A132" s="26"/>
      <c r="E132" s="26"/>
      <c r="F132" s="28"/>
      <c r="J132" s="26"/>
      <c r="L132" s="26"/>
      <c r="Q132" s="26"/>
    </row>
    <row r="133">
      <c r="A133" s="26"/>
      <c r="E133" s="26"/>
      <c r="F133" s="28"/>
      <c r="J133" s="26"/>
      <c r="L133" s="26"/>
      <c r="Q133" s="26"/>
    </row>
    <row r="134">
      <c r="A134" s="26"/>
      <c r="E134" s="26"/>
      <c r="F134" s="28"/>
      <c r="J134" s="26"/>
      <c r="L134" s="26"/>
      <c r="Q134" s="26"/>
    </row>
    <row r="135">
      <c r="A135" s="26"/>
      <c r="E135" s="26"/>
      <c r="F135" s="28"/>
      <c r="J135" s="26"/>
      <c r="L135" s="26"/>
      <c r="Q135" s="26"/>
    </row>
    <row r="136">
      <c r="A136" s="26"/>
      <c r="E136" s="26"/>
      <c r="F136" s="28"/>
      <c r="J136" s="26"/>
      <c r="L136" s="26"/>
      <c r="Q136" s="26"/>
    </row>
    <row r="137">
      <c r="A137" s="26"/>
      <c r="E137" s="26"/>
      <c r="F137" s="28"/>
      <c r="J137" s="26"/>
      <c r="L137" s="26"/>
      <c r="Q137" s="26"/>
    </row>
    <row r="138">
      <c r="A138" s="26"/>
      <c r="E138" s="26"/>
      <c r="F138" s="28"/>
      <c r="J138" s="26"/>
      <c r="L138" s="26"/>
      <c r="Q138" s="26"/>
    </row>
    <row r="139">
      <c r="A139" s="26"/>
      <c r="E139" s="26"/>
      <c r="F139" s="28"/>
      <c r="J139" s="26"/>
      <c r="L139" s="26"/>
      <c r="Q139" s="26"/>
    </row>
    <row r="140">
      <c r="A140" s="26"/>
      <c r="E140" s="26"/>
      <c r="F140" s="28"/>
      <c r="J140" s="26"/>
      <c r="L140" s="26"/>
      <c r="Q140" s="26"/>
    </row>
    <row r="141">
      <c r="A141" s="26"/>
      <c r="E141" s="26"/>
      <c r="F141" s="28"/>
      <c r="J141" s="26"/>
      <c r="L141" s="26"/>
      <c r="Q141" s="26"/>
    </row>
    <row r="142">
      <c r="A142" s="26"/>
      <c r="E142" s="26"/>
      <c r="F142" s="28"/>
      <c r="J142" s="26"/>
      <c r="L142" s="26"/>
      <c r="Q142" s="26"/>
    </row>
    <row r="143">
      <c r="A143" s="26"/>
      <c r="E143" s="26"/>
      <c r="F143" s="28"/>
      <c r="J143" s="26"/>
      <c r="L143" s="26"/>
      <c r="Q143" s="26"/>
    </row>
    <row r="144">
      <c r="A144" s="26"/>
      <c r="E144" s="26"/>
      <c r="F144" s="28"/>
      <c r="J144" s="26"/>
      <c r="L144" s="26"/>
      <c r="Q144" s="26"/>
    </row>
    <row r="145">
      <c r="A145" s="26"/>
      <c r="E145" s="26"/>
      <c r="F145" s="28"/>
      <c r="J145" s="26"/>
      <c r="L145" s="26"/>
      <c r="Q145" s="26"/>
    </row>
    <row r="146">
      <c r="A146" s="26"/>
      <c r="E146" s="26"/>
      <c r="F146" s="28"/>
      <c r="J146" s="26"/>
      <c r="L146" s="26"/>
      <c r="Q146" s="26"/>
    </row>
    <row r="147">
      <c r="A147" s="26"/>
      <c r="E147" s="26"/>
      <c r="F147" s="28"/>
      <c r="J147" s="26"/>
      <c r="L147" s="26"/>
      <c r="Q147" s="26"/>
    </row>
    <row r="148">
      <c r="A148" s="26"/>
      <c r="E148" s="26"/>
      <c r="F148" s="28"/>
      <c r="J148" s="26"/>
      <c r="L148" s="26"/>
      <c r="Q148" s="26"/>
    </row>
    <row r="149">
      <c r="A149" s="26"/>
      <c r="E149" s="26"/>
      <c r="F149" s="28"/>
      <c r="J149" s="26"/>
      <c r="L149" s="26"/>
      <c r="Q149" s="26"/>
    </row>
    <row r="150">
      <c r="A150" s="26"/>
      <c r="E150" s="26"/>
      <c r="F150" s="28"/>
      <c r="J150" s="26"/>
      <c r="L150" s="26"/>
      <c r="Q150" s="26"/>
    </row>
    <row r="151">
      <c r="A151" s="26"/>
      <c r="E151" s="26"/>
      <c r="F151" s="28"/>
      <c r="J151" s="26"/>
      <c r="L151" s="26"/>
      <c r="Q151" s="26"/>
    </row>
    <row r="152">
      <c r="A152" s="26"/>
      <c r="E152" s="26"/>
      <c r="F152" s="28"/>
      <c r="J152" s="26"/>
      <c r="L152" s="26"/>
      <c r="Q152" s="26"/>
    </row>
    <row r="153">
      <c r="A153" s="26"/>
      <c r="E153" s="26"/>
      <c r="F153" s="28"/>
      <c r="J153" s="26"/>
      <c r="L153" s="26"/>
      <c r="Q153" s="26"/>
    </row>
    <row r="154">
      <c r="A154" s="26"/>
      <c r="E154" s="26"/>
      <c r="F154" s="28"/>
      <c r="J154" s="26"/>
      <c r="L154" s="26"/>
      <c r="Q154" s="26"/>
    </row>
    <row r="155">
      <c r="A155" s="26"/>
      <c r="E155" s="26"/>
      <c r="F155" s="28"/>
      <c r="J155" s="26"/>
      <c r="L155" s="26"/>
      <c r="Q155" s="26"/>
    </row>
    <row r="156">
      <c r="A156" s="26"/>
      <c r="E156" s="26"/>
      <c r="F156" s="28"/>
      <c r="J156" s="26"/>
      <c r="L156" s="26"/>
      <c r="Q156" s="26"/>
    </row>
    <row r="157">
      <c r="A157" s="26"/>
      <c r="E157" s="26"/>
      <c r="F157" s="28"/>
      <c r="J157" s="26"/>
      <c r="L157" s="26"/>
      <c r="Q157" s="26"/>
    </row>
    <row r="158">
      <c r="A158" s="26"/>
      <c r="E158" s="26"/>
      <c r="F158" s="28"/>
      <c r="J158" s="26"/>
      <c r="L158" s="26"/>
      <c r="Q158" s="26"/>
    </row>
    <row r="159">
      <c r="A159" s="26"/>
      <c r="E159" s="26"/>
      <c r="F159" s="28"/>
      <c r="J159" s="26"/>
      <c r="L159" s="26"/>
      <c r="Q159" s="26"/>
    </row>
    <row r="160">
      <c r="A160" s="26"/>
      <c r="E160" s="26"/>
      <c r="F160" s="28"/>
      <c r="J160" s="26"/>
      <c r="L160" s="26"/>
      <c r="Q160" s="26"/>
    </row>
    <row r="161">
      <c r="A161" s="26"/>
      <c r="E161" s="26"/>
      <c r="F161" s="28"/>
      <c r="J161" s="26"/>
      <c r="L161" s="26"/>
      <c r="Q161" s="26"/>
    </row>
    <row r="162">
      <c r="A162" s="26"/>
      <c r="E162" s="26"/>
      <c r="F162" s="28"/>
      <c r="J162" s="26"/>
      <c r="L162" s="26"/>
      <c r="Q162" s="26"/>
    </row>
    <row r="163">
      <c r="A163" s="26"/>
      <c r="E163" s="26"/>
      <c r="F163" s="28"/>
      <c r="J163" s="26"/>
      <c r="L163" s="26"/>
      <c r="Q163" s="26"/>
    </row>
    <row r="164">
      <c r="A164" s="26"/>
      <c r="E164" s="26"/>
      <c r="F164" s="28"/>
      <c r="J164" s="26"/>
      <c r="L164" s="26"/>
      <c r="Q164" s="26"/>
    </row>
    <row r="165">
      <c r="A165" s="26"/>
      <c r="E165" s="26"/>
      <c r="F165" s="28"/>
      <c r="J165" s="26"/>
      <c r="L165" s="26"/>
      <c r="Q165" s="26"/>
    </row>
    <row r="166">
      <c r="A166" s="26"/>
      <c r="E166" s="26"/>
      <c r="F166" s="28"/>
      <c r="J166" s="26"/>
      <c r="L166" s="26"/>
      <c r="Q166" s="26"/>
    </row>
    <row r="167">
      <c r="A167" s="26"/>
      <c r="E167" s="26"/>
      <c r="F167" s="28"/>
      <c r="J167" s="26"/>
      <c r="L167" s="26"/>
      <c r="Q167" s="26"/>
    </row>
    <row r="168">
      <c r="A168" s="26"/>
      <c r="E168" s="26"/>
      <c r="F168" s="28"/>
      <c r="J168" s="26"/>
      <c r="L168" s="26"/>
      <c r="Q168" s="26"/>
    </row>
    <row r="169">
      <c r="A169" s="26"/>
      <c r="E169" s="26"/>
      <c r="F169" s="28"/>
      <c r="J169" s="26"/>
      <c r="L169" s="26"/>
      <c r="Q169" s="26"/>
    </row>
    <row r="170">
      <c r="A170" s="26"/>
      <c r="E170" s="26"/>
      <c r="F170" s="28"/>
      <c r="J170" s="26"/>
      <c r="L170" s="26"/>
      <c r="Q170" s="26"/>
    </row>
    <row r="171">
      <c r="A171" s="26"/>
      <c r="E171" s="26"/>
      <c r="F171" s="28"/>
      <c r="J171" s="26"/>
      <c r="L171" s="26"/>
      <c r="Q171" s="26"/>
    </row>
    <row r="172">
      <c r="A172" s="26"/>
      <c r="E172" s="26"/>
      <c r="F172" s="28"/>
      <c r="J172" s="26"/>
      <c r="L172" s="26"/>
      <c r="Q172" s="26"/>
    </row>
    <row r="173">
      <c r="A173" s="26"/>
      <c r="E173" s="26"/>
      <c r="F173" s="28"/>
      <c r="J173" s="26"/>
      <c r="L173" s="26"/>
      <c r="Q173" s="26"/>
    </row>
    <row r="174">
      <c r="A174" s="26"/>
      <c r="E174" s="26"/>
      <c r="F174" s="28"/>
      <c r="J174" s="26"/>
      <c r="L174" s="26"/>
      <c r="Q174" s="26"/>
    </row>
    <row r="175">
      <c r="A175" s="26"/>
      <c r="E175" s="26"/>
      <c r="F175" s="28"/>
      <c r="J175" s="26"/>
      <c r="L175" s="26"/>
      <c r="Q175" s="26"/>
    </row>
    <row r="176">
      <c r="A176" s="26"/>
      <c r="E176" s="26"/>
      <c r="F176" s="28"/>
      <c r="J176" s="26"/>
      <c r="L176" s="26"/>
      <c r="Q176" s="26"/>
    </row>
    <row r="177">
      <c r="A177" s="26"/>
      <c r="E177" s="26"/>
      <c r="F177" s="28"/>
      <c r="J177" s="26"/>
      <c r="L177" s="26"/>
      <c r="Q177" s="26"/>
    </row>
    <row r="178">
      <c r="A178" s="26"/>
      <c r="E178" s="26"/>
      <c r="F178" s="28"/>
      <c r="J178" s="26"/>
      <c r="L178" s="26"/>
      <c r="Q178" s="26"/>
    </row>
    <row r="179">
      <c r="A179" s="26"/>
      <c r="E179" s="26"/>
      <c r="F179" s="28"/>
      <c r="J179" s="26"/>
      <c r="L179" s="26"/>
      <c r="Q179" s="26"/>
    </row>
    <row r="180">
      <c r="A180" s="26"/>
      <c r="E180" s="26"/>
      <c r="F180" s="28"/>
      <c r="J180" s="26"/>
      <c r="L180" s="26"/>
      <c r="Q180" s="26"/>
    </row>
    <row r="181">
      <c r="A181" s="26"/>
      <c r="E181" s="26"/>
      <c r="F181" s="28"/>
      <c r="J181" s="26"/>
      <c r="L181" s="26"/>
      <c r="Q181" s="26"/>
    </row>
    <row r="182">
      <c r="A182" s="26"/>
      <c r="E182" s="26"/>
      <c r="F182" s="28"/>
      <c r="J182" s="26"/>
      <c r="L182" s="26"/>
      <c r="Q182" s="26"/>
    </row>
    <row r="183">
      <c r="A183" s="26"/>
      <c r="E183" s="26"/>
      <c r="F183" s="28"/>
      <c r="J183" s="26"/>
      <c r="L183" s="26"/>
      <c r="Q183" s="26"/>
    </row>
    <row r="184">
      <c r="A184" s="26"/>
      <c r="E184" s="26"/>
      <c r="F184" s="28"/>
      <c r="J184" s="26"/>
      <c r="L184" s="26"/>
      <c r="Q184" s="26"/>
    </row>
    <row r="185">
      <c r="A185" s="26"/>
      <c r="E185" s="26"/>
      <c r="F185" s="28"/>
      <c r="J185" s="26"/>
      <c r="L185" s="26"/>
      <c r="Q185" s="26"/>
    </row>
    <row r="186">
      <c r="A186" s="26"/>
      <c r="E186" s="26"/>
      <c r="F186" s="28"/>
      <c r="J186" s="26"/>
      <c r="L186" s="26"/>
      <c r="Q186" s="26"/>
    </row>
    <row r="187">
      <c r="A187" s="26"/>
      <c r="E187" s="26"/>
      <c r="F187" s="28"/>
      <c r="J187" s="26"/>
      <c r="L187" s="26"/>
      <c r="Q187" s="26"/>
    </row>
    <row r="188">
      <c r="A188" s="26"/>
      <c r="E188" s="26"/>
      <c r="F188" s="28"/>
      <c r="J188" s="26"/>
      <c r="L188" s="26"/>
      <c r="Q188" s="26"/>
    </row>
    <row r="189">
      <c r="A189" s="26"/>
      <c r="E189" s="26"/>
      <c r="F189" s="28"/>
      <c r="J189" s="26"/>
      <c r="L189" s="26"/>
      <c r="Q189" s="26"/>
    </row>
    <row r="190">
      <c r="A190" s="26"/>
      <c r="E190" s="26"/>
      <c r="F190" s="28"/>
      <c r="J190" s="26"/>
      <c r="L190" s="26"/>
      <c r="Q190" s="26"/>
    </row>
    <row r="191">
      <c r="A191" s="26"/>
      <c r="E191" s="26"/>
      <c r="F191" s="28"/>
      <c r="J191" s="26"/>
      <c r="L191" s="26"/>
      <c r="Q191" s="26"/>
    </row>
    <row r="192">
      <c r="A192" s="26"/>
      <c r="E192" s="26"/>
      <c r="F192" s="28"/>
      <c r="J192" s="26"/>
      <c r="L192" s="26"/>
      <c r="Q192" s="26"/>
    </row>
    <row r="193">
      <c r="A193" s="26"/>
      <c r="E193" s="26"/>
      <c r="F193" s="28"/>
      <c r="J193" s="26"/>
      <c r="L193" s="26"/>
      <c r="Q193" s="26"/>
    </row>
    <row r="194">
      <c r="A194" s="26"/>
      <c r="E194" s="26"/>
      <c r="F194" s="28"/>
      <c r="J194" s="26"/>
      <c r="L194" s="26"/>
      <c r="Q194" s="26"/>
    </row>
    <row r="195">
      <c r="A195" s="26"/>
      <c r="E195" s="26"/>
      <c r="F195" s="28"/>
      <c r="J195" s="26"/>
      <c r="L195" s="26"/>
      <c r="Q195" s="26"/>
    </row>
    <row r="196">
      <c r="A196" s="26"/>
      <c r="E196" s="26"/>
      <c r="F196" s="28"/>
      <c r="J196" s="26"/>
      <c r="L196" s="26"/>
      <c r="Q196" s="26"/>
    </row>
    <row r="197">
      <c r="A197" s="26"/>
      <c r="E197" s="26"/>
      <c r="F197" s="28"/>
      <c r="J197" s="26"/>
      <c r="L197" s="26"/>
      <c r="Q197" s="26"/>
    </row>
    <row r="198">
      <c r="A198" s="26"/>
      <c r="E198" s="26"/>
      <c r="F198" s="28"/>
      <c r="J198" s="26"/>
      <c r="L198" s="26"/>
      <c r="Q198" s="26"/>
    </row>
    <row r="199">
      <c r="A199" s="26"/>
      <c r="E199" s="26"/>
      <c r="F199" s="28"/>
      <c r="J199" s="26"/>
      <c r="L199" s="26"/>
      <c r="Q199" s="26"/>
    </row>
    <row r="200">
      <c r="A200" s="26"/>
      <c r="E200" s="26"/>
      <c r="F200" s="28"/>
      <c r="J200" s="26"/>
      <c r="L200" s="26"/>
      <c r="Q200" s="26"/>
    </row>
    <row r="201">
      <c r="A201" s="26"/>
      <c r="E201" s="26"/>
      <c r="F201" s="28"/>
      <c r="J201" s="26"/>
      <c r="L201" s="26"/>
      <c r="Q201" s="26"/>
    </row>
    <row r="202">
      <c r="A202" s="26"/>
      <c r="E202" s="26"/>
      <c r="F202" s="28"/>
      <c r="J202" s="26"/>
      <c r="L202" s="26"/>
      <c r="Q202" s="26"/>
    </row>
    <row r="203">
      <c r="A203" s="26"/>
      <c r="E203" s="26"/>
      <c r="F203" s="28"/>
      <c r="J203" s="26"/>
      <c r="L203" s="26"/>
      <c r="Q203" s="26"/>
    </row>
    <row r="204">
      <c r="A204" s="26"/>
      <c r="E204" s="26"/>
      <c r="F204" s="28"/>
      <c r="J204" s="26"/>
      <c r="L204" s="26"/>
      <c r="Q204" s="26"/>
    </row>
    <row r="205">
      <c r="A205" s="26"/>
      <c r="E205" s="26"/>
      <c r="F205" s="28"/>
      <c r="J205" s="26"/>
      <c r="L205" s="26"/>
      <c r="Q205" s="26"/>
    </row>
    <row r="206">
      <c r="A206" s="26"/>
      <c r="E206" s="26"/>
      <c r="F206" s="28"/>
      <c r="J206" s="26"/>
      <c r="L206" s="26"/>
      <c r="Q206" s="26"/>
    </row>
    <row r="207">
      <c r="A207" s="26"/>
      <c r="E207" s="26"/>
      <c r="F207" s="28"/>
      <c r="J207" s="26"/>
      <c r="L207" s="26"/>
      <c r="Q207" s="26"/>
    </row>
    <row r="208">
      <c r="A208" s="26"/>
      <c r="E208" s="26"/>
      <c r="F208" s="28"/>
      <c r="J208" s="26"/>
      <c r="L208" s="26"/>
      <c r="Q208" s="26"/>
    </row>
    <row r="209">
      <c r="A209" s="26"/>
      <c r="E209" s="26"/>
      <c r="F209" s="28"/>
      <c r="J209" s="26"/>
      <c r="L209" s="26"/>
      <c r="Q209" s="26"/>
    </row>
    <row r="210">
      <c r="A210" s="26"/>
      <c r="E210" s="26"/>
      <c r="F210" s="28"/>
      <c r="J210" s="26"/>
      <c r="L210" s="26"/>
      <c r="Q210" s="26"/>
    </row>
    <row r="211">
      <c r="A211" s="26"/>
      <c r="E211" s="26"/>
      <c r="F211" s="28"/>
      <c r="J211" s="26"/>
      <c r="L211" s="26"/>
      <c r="Q211" s="26"/>
    </row>
    <row r="212">
      <c r="A212" s="26"/>
      <c r="E212" s="26"/>
      <c r="F212" s="28"/>
      <c r="J212" s="26"/>
      <c r="L212" s="26"/>
      <c r="Q212" s="26"/>
    </row>
    <row r="213">
      <c r="A213" s="26"/>
      <c r="E213" s="26"/>
      <c r="F213" s="28"/>
      <c r="J213" s="26"/>
      <c r="L213" s="26"/>
      <c r="Q213" s="26"/>
    </row>
    <row r="214">
      <c r="A214" s="26"/>
      <c r="E214" s="26"/>
      <c r="F214" s="28"/>
      <c r="J214" s="26"/>
      <c r="L214" s="26"/>
      <c r="Q214" s="26"/>
    </row>
    <row r="215">
      <c r="A215" s="26"/>
      <c r="E215" s="26"/>
      <c r="F215" s="28"/>
      <c r="J215" s="26"/>
      <c r="L215" s="26"/>
      <c r="Q215" s="26"/>
    </row>
    <row r="216">
      <c r="A216" s="26"/>
      <c r="E216" s="26"/>
      <c r="F216" s="28"/>
      <c r="J216" s="26"/>
      <c r="L216" s="26"/>
      <c r="Q216" s="26"/>
    </row>
    <row r="217">
      <c r="A217" s="26"/>
      <c r="E217" s="26"/>
      <c r="F217" s="28"/>
      <c r="J217" s="26"/>
      <c r="L217" s="26"/>
      <c r="Q217" s="26"/>
    </row>
    <row r="218">
      <c r="A218" s="26"/>
      <c r="E218" s="26"/>
      <c r="F218" s="28"/>
      <c r="J218" s="26"/>
      <c r="L218" s="26"/>
      <c r="Q218" s="26"/>
    </row>
    <row r="219">
      <c r="A219" s="26"/>
      <c r="E219" s="26"/>
      <c r="F219" s="28"/>
      <c r="J219" s="26"/>
      <c r="L219" s="26"/>
      <c r="Q219" s="26"/>
    </row>
    <row r="220">
      <c r="A220" s="26"/>
      <c r="E220" s="26"/>
      <c r="F220" s="28"/>
      <c r="J220" s="26"/>
      <c r="L220" s="26"/>
      <c r="Q220" s="26"/>
    </row>
    <row r="221">
      <c r="A221" s="26"/>
      <c r="E221" s="26"/>
      <c r="F221" s="28"/>
      <c r="J221" s="26"/>
      <c r="L221" s="26"/>
      <c r="Q221" s="26"/>
    </row>
    <row r="222">
      <c r="A222" s="26"/>
      <c r="E222" s="26"/>
      <c r="F222" s="28"/>
      <c r="J222" s="26"/>
      <c r="L222" s="26"/>
      <c r="Q222" s="26"/>
    </row>
    <row r="223">
      <c r="A223" s="26"/>
      <c r="E223" s="26"/>
      <c r="F223" s="28"/>
      <c r="J223" s="26"/>
      <c r="L223" s="26"/>
      <c r="Q223" s="26"/>
    </row>
    <row r="224">
      <c r="A224" s="26"/>
      <c r="E224" s="26"/>
      <c r="F224" s="28"/>
      <c r="J224" s="26"/>
      <c r="L224" s="26"/>
      <c r="Q224" s="26"/>
    </row>
    <row r="225">
      <c r="A225" s="26"/>
      <c r="E225" s="26"/>
      <c r="F225" s="28"/>
      <c r="J225" s="26"/>
      <c r="L225" s="26"/>
      <c r="Q225" s="26"/>
    </row>
    <row r="226">
      <c r="A226" s="26"/>
      <c r="E226" s="26"/>
      <c r="F226" s="28"/>
      <c r="J226" s="26"/>
      <c r="L226" s="26"/>
      <c r="Q226" s="26"/>
    </row>
    <row r="227">
      <c r="A227" s="26"/>
      <c r="E227" s="26"/>
      <c r="F227" s="28"/>
      <c r="J227" s="26"/>
      <c r="L227" s="26"/>
      <c r="Q227" s="26"/>
    </row>
    <row r="228">
      <c r="A228" s="26"/>
      <c r="E228" s="26"/>
      <c r="F228" s="28"/>
      <c r="J228" s="26"/>
      <c r="L228" s="26"/>
      <c r="Q228" s="26"/>
    </row>
    <row r="229">
      <c r="A229" s="26"/>
      <c r="E229" s="26"/>
      <c r="F229" s="28"/>
      <c r="J229" s="26"/>
      <c r="L229" s="26"/>
      <c r="Q229" s="26"/>
    </row>
    <row r="230">
      <c r="A230" s="26"/>
      <c r="E230" s="26"/>
      <c r="F230" s="28"/>
      <c r="J230" s="26"/>
      <c r="L230" s="26"/>
      <c r="Q230" s="26"/>
    </row>
    <row r="231">
      <c r="A231" s="26"/>
      <c r="E231" s="26"/>
      <c r="F231" s="28"/>
      <c r="J231" s="26"/>
      <c r="L231" s="26"/>
      <c r="Q231" s="26"/>
    </row>
    <row r="232">
      <c r="A232" s="26"/>
      <c r="E232" s="26"/>
      <c r="F232" s="28"/>
      <c r="J232" s="26"/>
      <c r="L232" s="26"/>
      <c r="Q232" s="26"/>
    </row>
    <row r="233">
      <c r="A233" s="26"/>
      <c r="E233" s="26"/>
      <c r="F233" s="28"/>
      <c r="J233" s="26"/>
      <c r="L233" s="26"/>
      <c r="Q233" s="26"/>
    </row>
    <row r="234">
      <c r="A234" s="26"/>
      <c r="E234" s="26"/>
      <c r="F234" s="28"/>
      <c r="J234" s="26"/>
      <c r="L234" s="26"/>
      <c r="Q234" s="26"/>
    </row>
    <row r="235">
      <c r="A235" s="26"/>
      <c r="E235" s="26"/>
      <c r="F235" s="28"/>
      <c r="J235" s="26"/>
      <c r="L235" s="26"/>
      <c r="Q235" s="26"/>
    </row>
    <row r="236">
      <c r="A236" s="26"/>
      <c r="E236" s="26"/>
      <c r="F236" s="28"/>
      <c r="J236" s="26"/>
      <c r="L236" s="26"/>
      <c r="Q236" s="26"/>
    </row>
    <row r="237">
      <c r="A237" s="26"/>
      <c r="E237" s="26"/>
      <c r="F237" s="28"/>
      <c r="J237" s="26"/>
      <c r="L237" s="26"/>
      <c r="Q237" s="26"/>
    </row>
    <row r="238">
      <c r="A238" s="26"/>
      <c r="E238" s="26"/>
      <c r="F238" s="28"/>
      <c r="J238" s="26"/>
      <c r="L238" s="26"/>
      <c r="Q238" s="26"/>
    </row>
    <row r="239">
      <c r="A239" s="26"/>
      <c r="E239" s="26"/>
      <c r="F239" s="28"/>
      <c r="J239" s="26"/>
      <c r="L239" s="26"/>
      <c r="Q239" s="26"/>
    </row>
    <row r="240">
      <c r="A240" s="26"/>
      <c r="E240" s="26"/>
      <c r="F240" s="28"/>
      <c r="J240" s="26"/>
      <c r="L240" s="26"/>
      <c r="Q240" s="26"/>
    </row>
    <row r="241">
      <c r="A241" s="26"/>
      <c r="E241" s="26"/>
      <c r="F241" s="28"/>
      <c r="J241" s="26"/>
      <c r="L241" s="26"/>
      <c r="Q241" s="26"/>
    </row>
    <row r="242">
      <c r="A242" s="26"/>
      <c r="E242" s="26"/>
      <c r="F242" s="28"/>
      <c r="J242" s="26"/>
      <c r="L242" s="26"/>
      <c r="Q242" s="26"/>
    </row>
    <row r="243">
      <c r="A243" s="26"/>
      <c r="E243" s="26"/>
      <c r="F243" s="28"/>
      <c r="J243" s="26"/>
      <c r="L243" s="26"/>
      <c r="Q243" s="26"/>
    </row>
    <row r="244">
      <c r="A244" s="26"/>
      <c r="E244" s="26"/>
      <c r="F244" s="28"/>
      <c r="J244" s="26"/>
      <c r="L244" s="26"/>
      <c r="Q244" s="26"/>
    </row>
    <row r="245">
      <c r="A245" s="26"/>
      <c r="E245" s="26"/>
      <c r="F245" s="28"/>
      <c r="J245" s="26"/>
      <c r="L245" s="26"/>
      <c r="Q245" s="26"/>
    </row>
    <row r="246">
      <c r="A246" s="26"/>
      <c r="E246" s="26"/>
      <c r="F246" s="28"/>
      <c r="J246" s="26"/>
      <c r="L246" s="26"/>
      <c r="Q246" s="26"/>
    </row>
    <row r="247">
      <c r="A247" s="26"/>
      <c r="E247" s="26"/>
      <c r="F247" s="28"/>
      <c r="J247" s="26"/>
      <c r="L247" s="26"/>
      <c r="Q247" s="26"/>
    </row>
    <row r="248">
      <c r="A248" s="26"/>
      <c r="E248" s="26"/>
      <c r="F248" s="28"/>
      <c r="J248" s="26"/>
      <c r="L248" s="26"/>
      <c r="Q248" s="26"/>
    </row>
    <row r="249">
      <c r="A249" s="26"/>
      <c r="E249" s="26"/>
      <c r="F249" s="28"/>
      <c r="J249" s="26"/>
      <c r="L249" s="26"/>
      <c r="Q249" s="26"/>
    </row>
    <row r="250">
      <c r="A250" s="26"/>
      <c r="E250" s="26"/>
      <c r="F250" s="28"/>
      <c r="J250" s="26"/>
      <c r="L250" s="26"/>
      <c r="Q250" s="26"/>
    </row>
    <row r="251">
      <c r="A251" s="26"/>
      <c r="E251" s="26"/>
      <c r="F251" s="28"/>
      <c r="J251" s="26"/>
      <c r="L251" s="26"/>
      <c r="Q251" s="26"/>
    </row>
    <row r="252">
      <c r="A252" s="26"/>
      <c r="E252" s="26"/>
      <c r="F252" s="28"/>
      <c r="J252" s="26"/>
      <c r="L252" s="26"/>
      <c r="Q252" s="26"/>
    </row>
    <row r="253">
      <c r="A253" s="26"/>
      <c r="E253" s="26"/>
      <c r="F253" s="28"/>
      <c r="J253" s="26"/>
      <c r="L253" s="26"/>
      <c r="Q253" s="26"/>
    </row>
    <row r="254">
      <c r="A254" s="26"/>
      <c r="E254" s="26"/>
      <c r="F254" s="28"/>
      <c r="J254" s="26"/>
      <c r="L254" s="26"/>
      <c r="Q254" s="26"/>
    </row>
    <row r="255">
      <c r="A255" s="26"/>
      <c r="E255" s="26"/>
      <c r="F255" s="28"/>
      <c r="J255" s="26"/>
      <c r="L255" s="26"/>
      <c r="Q255" s="26"/>
    </row>
    <row r="256">
      <c r="A256" s="26"/>
      <c r="E256" s="26"/>
      <c r="F256" s="28"/>
      <c r="J256" s="26"/>
      <c r="L256" s="26"/>
      <c r="Q256" s="26"/>
    </row>
    <row r="257">
      <c r="A257" s="26"/>
      <c r="E257" s="26"/>
      <c r="F257" s="28"/>
      <c r="J257" s="26"/>
      <c r="L257" s="26"/>
      <c r="Q257" s="26"/>
    </row>
    <row r="258">
      <c r="A258" s="26"/>
      <c r="E258" s="26"/>
      <c r="F258" s="28"/>
      <c r="J258" s="26"/>
      <c r="L258" s="26"/>
      <c r="Q258" s="26"/>
    </row>
    <row r="259">
      <c r="A259" s="26"/>
      <c r="E259" s="26"/>
      <c r="F259" s="28"/>
      <c r="J259" s="26"/>
      <c r="L259" s="26"/>
      <c r="Q259" s="26"/>
    </row>
    <row r="260">
      <c r="A260" s="26"/>
      <c r="E260" s="26"/>
      <c r="F260" s="28"/>
      <c r="J260" s="26"/>
      <c r="L260" s="26"/>
      <c r="Q260" s="26"/>
    </row>
    <row r="261">
      <c r="A261" s="26"/>
      <c r="E261" s="26"/>
      <c r="F261" s="28"/>
      <c r="J261" s="26"/>
      <c r="L261" s="26"/>
      <c r="Q261" s="26"/>
    </row>
    <row r="262">
      <c r="A262" s="26"/>
      <c r="E262" s="26"/>
      <c r="F262" s="28"/>
      <c r="J262" s="26"/>
      <c r="L262" s="26"/>
      <c r="Q262" s="26"/>
    </row>
    <row r="263">
      <c r="A263" s="26"/>
      <c r="E263" s="26"/>
      <c r="F263" s="28"/>
      <c r="J263" s="26"/>
      <c r="L263" s="26"/>
      <c r="Q263" s="26"/>
    </row>
    <row r="264">
      <c r="A264" s="26"/>
      <c r="E264" s="26"/>
      <c r="F264" s="28"/>
      <c r="J264" s="26"/>
      <c r="L264" s="26"/>
      <c r="Q264" s="26"/>
    </row>
    <row r="265">
      <c r="A265" s="26"/>
      <c r="E265" s="26"/>
      <c r="F265" s="28"/>
      <c r="J265" s="26"/>
      <c r="L265" s="26"/>
      <c r="Q265" s="26"/>
    </row>
    <row r="266">
      <c r="A266" s="26"/>
      <c r="E266" s="26"/>
      <c r="F266" s="28"/>
      <c r="J266" s="26"/>
      <c r="L266" s="26"/>
      <c r="Q266" s="26"/>
    </row>
    <row r="267">
      <c r="A267" s="26"/>
      <c r="E267" s="26"/>
      <c r="F267" s="28"/>
      <c r="J267" s="26"/>
      <c r="L267" s="26"/>
      <c r="Q267" s="26"/>
    </row>
    <row r="268">
      <c r="A268" s="26"/>
      <c r="E268" s="26"/>
      <c r="F268" s="28"/>
      <c r="J268" s="26"/>
      <c r="L268" s="26"/>
      <c r="Q268" s="26"/>
    </row>
    <row r="269">
      <c r="A269" s="26"/>
      <c r="E269" s="26"/>
      <c r="F269" s="28"/>
      <c r="J269" s="26"/>
      <c r="L269" s="26"/>
      <c r="Q269" s="26"/>
    </row>
    <row r="270">
      <c r="A270" s="26"/>
      <c r="E270" s="26"/>
      <c r="F270" s="28"/>
      <c r="J270" s="26"/>
      <c r="L270" s="26"/>
      <c r="Q270" s="26"/>
    </row>
    <row r="271">
      <c r="A271" s="26"/>
      <c r="E271" s="26"/>
      <c r="F271" s="28"/>
      <c r="J271" s="26"/>
      <c r="L271" s="26"/>
      <c r="Q271" s="26"/>
    </row>
    <row r="272">
      <c r="A272" s="26"/>
      <c r="E272" s="26"/>
      <c r="F272" s="28"/>
      <c r="J272" s="26"/>
      <c r="L272" s="26"/>
      <c r="Q272" s="26"/>
    </row>
    <row r="273">
      <c r="A273" s="26"/>
      <c r="E273" s="26"/>
      <c r="F273" s="28"/>
      <c r="J273" s="26"/>
      <c r="L273" s="26"/>
      <c r="Q273" s="26"/>
    </row>
    <row r="274">
      <c r="A274" s="26"/>
      <c r="E274" s="26"/>
      <c r="F274" s="28"/>
      <c r="J274" s="26"/>
      <c r="L274" s="26"/>
      <c r="Q274" s="26"/>
    </row>
    <row r="275">
      <c r="A275" s="26"/>
      <c r="E275" s="26"/>
      <c r="F275" s="28"/>
      <c r="J275" s="26"/>
      <c r="L275" s="26"/>
      <c r="Q275" s="26"/>
    </row>
    <row r="276">
      <c r="A276" s="26"/>
      <c r="E276" s="26"/>
      <c r="F276" s="28"/>
      <c r="J276" s="26"/>
      <c r="L276" s="26"/>
      <c r="Q276" s="26"/>
    </row>
    <row r="277">
      <c r="A277" s="26"/>
      <c r="E277" s="26"/>
      <c r="F277" s="28"/>
      <c r="J277" s="26"/>
      <c r="L277" s="26"/>
      <c r="Q277" s="26"/>
    </row>
    <row r="278">
      <c r="A278" s="26"/>
      <c r="E278" s="26"/>
      <c r="F278" s="28"/>
      <c r="J278" s="26"/>
      <c r="L278" s="26"/>
      <c r="Q278" s="26"/>
    </row>
    <row r="279">
      <c r="A279" s="26"/>
      <c r="E279" s="26"/>
      <c r="F279" s="28"/>
      <c r="J279" s="26"/>
      <c r="L279" s="26"/>
      <c r="Q279" s="26"/>
    </row>
    <row r="280">
      <c r="A280" s="26"/>
      <c r="E280" s="26"/>
      <c r="F280" s="28"/>
      <c r="J280" s="26"/>
      <c r="L280" s="26"/>
      <c r="Q280" s="26"/>
    </row>
    <row r="281">
      <c r="A281" s="26"/>
      <c r="E281" s="26"/>
      <c r="F281" s="28"/>
      <c r="J281" s="26"/>
      <c r="L281" s="26"/>
      <c r="Q281" s="26"/>
    </row>
    <row r="282">
      <c r="A282" s="26"/>
      <c r="E282" s="26"/>
      <c r="F282" s="28"/>
      <c r="J282" s="26"/>
      <c r="L282" s="26"/>
      <c r="Q282" s="26"/>
    </row>
    <row r="283">
      <c r="A283" s="26"/>
      <c r="E283" s="26"/>
      <c r="F283" s="28"/>
      <c r="J283" s="26"/>
      <c r="L283" s="26"/>
      <c r="Q283" s="26"/>
    </row>
    <row r="284">
      <c r="A284" s="26"/>
      <c r="E284" s="26"/>
      <c r="F284" s="28"/>
      <c r="J284" s="26"/>
      <c r="L284" s="26"/>
      <c r="Q284" s="26"/>
    </row>
    <row r="285">
      <c r="A285" s="26"/>
      <c r="E285" s="26"/>
      <c r="F285" s="28"/>
      <c r="J285" s="26"/>
      <c r="L285" s="26"/>
      <c r="Q285" s="26"/>
    </row>
    <row r="286">
      <c r="A286" s="26"/>
      <c r="E286" s="26"/>
      <c r="F286" s="28"/>
      <c r="J286" s="26"/>
      <c r="L286" s="26"/>
      <c r="Q286" s="26"/>
    </row>
    <row r="287">
      <c r="A287" s="26"/>
      <c r="E287" s="26"/>
      <c r="F287" s="28"/>
      <c r="J287" s="26"/>
      <c r="L287" s="26"/>
      <c r="Q287" s="26"/>
    </row>
    <row r="288">
      <c r="A288" s="26"/>
      <c r="E288" s="26"/>
      <c r="F288" s="28"/>
      <c r="J288" s="26"/>
      <c r="L288" s="26"/>
      <c r="Q288" s="26"/>
    </row>
    <row r="289">
      <c r="A289" s="26"/>
      <c r="E289" s="26"/>
      <c r="F289" s="28"/>
      <c r="J289" s="26"/>
      <c r="L289" s="26"/>
      <c r="Q289" s="26"/>
    </row>
    <row r="290">
      <c r="A290" s="26"/>
      <c r="E290" s="26"/>
      <c r="F290" s="28"/>
      <c r="J290" s="26"/>
      <c r="L290" s="26"/>
      <c r="Q290" s="26"/>
    </row>
    <row r="291">
      <c r="A291" s="26"/>
      <c r="E291" s="26"/>
      <c r="F291" s="28"/>
      <c r="J291" s="26"/>
      <c r="L291" s="26"/>
      <c r="Q291" s="26"/>
    </row>
    <row r="292">
      <c r="A292" s="26"/>
      <c r="E292" s="26"/>
      <c r="F292" s="28"/>
      <c r="J292" s="26"/>
      <c r="L292" s="26"/>
      <c r="Q292" s="26"/>
    </row>
    <row r="293">
      <c r="A293" s="26"/>
      <c r="E293" s="26"/>
      <c r="F293" s="28"/>
      <c r="J293" s="26"/>
      <c r="L293" s="26"/>
      <c r="Q293" s="26"/>
    </row>
    <row r="294">
      <c r="A294" s="26"/>
      <c r="E294" s="26"/>
      <c r="F294" s="28"/>
      <c r="J294" s="26"/>
      <c r="L294" s="26"/>
      <c r="Q294" s="26"/>
    </row>
    <row r="295">
      <c r="A295" s="26"/>
      <c r="E295" s="26"/>
      <c r="F295" s="28"/>
      <c r="J295" s="26"/>
      <c r="L295" s="26"/>
      <c r="Q295" s="26"/>
    </row>
    <row r="296">
      <c r="A296" s="26"/>
      <c r="E296" s="26"/>
      <c r="F296" s="28"/>
      <c r="J296" s="26"/>
      <c r="L296" s="26"/>
      <c r="Q296" s="26"/>
    </row>
    <row r="297">
      <c r="A297" s="26"/>
      <c r="E297" s="26"/>
      <c r="F297" s="28"/>
      <c r="J297" s="26"/>
      <c r="L297" s="26"/>
      <c r="Q297" s="26"/>
    </row>
    <row r="298">
      <c r="A298" s="26"/>
      <c r="E298" s="26"/>
      <c r="F298" s="28"/>
      <c r="J298" s="26"/>
      <c r="L298" s="26"/>
      <c r="Q298" s="26"/>
    </row>
    <row r="299">
      <c r="A299" s="26"/>
      <c r="E299" s="26"/>
      <c r="F299" s="28"/>
      <c r="J299" s="26"/>
      <c r="L299" s="26"/>
      <c r="Q299" s="26"/>
    </row>
    <row r="300">
      <c r="A300" s="26"/>
      <c r="E300" s="26"/>
      <c r="F300" s="28"/>
      <c r="J300" s="26"/>
      <c r="L300" s="26"/>
      <c r="Q300" s="26"/>
    </row>
    <row r="301">
      <c r="A301" s="26"/>
      <c r="E301" s="26"/>
      <c r="F301" s="28"/>
      <c r="J301" s="26"/>
      <c r="L301" s="26"/>
      <c r="Q301" s="26"/>
    </row>
    <row r="302">
      <c r="A302" s="26"/>
      <c r="E302" s="26"/>
      <c r="F302" s="28"/>
      <c r="J302" s="26"/>
      <c r="L302" s="26"/>
      <c r="Q302" s="26"/>
    </row>
    <row r="303">
      <c r="A303" s="26"/>
      <c r="E303" s="26"/>
      <c r="F303" s="28"/>
      <c r="J303" s="26"/>
      <c r="L303" s="26"/>
      <c r="Q303" s="26"/>
    </row>
    <row r="304">
      <c r="A304" s="26"/>
      <c r="E304" s="26"/>
      <c r="F304" s="28"/>
      <c r="J304" s="26"/>
      <c r="L304" s="26"/>
      <c r="Q304" s="26"/>
    </row>
    <row r="305">
      <c r="A305" s="26"/>
      <c r="E305" s="26"/>
      <c r="F305" s="28"/>
      <c r="J305" s="26"/>
      <c r="L305" s="26"/>
      <c r="Q305" s="26"/>
    </row>
    <row r="306">
      <c r="A306" s="26"/>
      <c r="E306" s="26"/>
      <c r="F306" s="28"/>
      <c r="J306" s="26"/>
      <c r="L306" s="26"/>
      <c r="Q306" s="26"/>
    </row>
    <row r="307">
      <c r="A307" s="26"/>
      <c r="E307" s="26"/>
      <c r="F307" s="28"/>
      <c r="J307" s="26"/>
      <c r="L307" s="26"/>
      <c r="Q307" s="26"/>
    </row>
    <row r="308">
      <c r="A308" s="26"/>
      <c r="E308" s="26"/>
      <c r="F308" s="28"/>
      <c r="J308" s="26"/>
      <c r="L308" s="26"/>
      <c r="Q308" s="26"/>
    </row>
    <row r="309">
      <c r="A309" s="26"/>
      <c r="E309" s="26"/>
      <c r="F309" s="28"/>
      <c r="J309" s="26"/>
      <c r="L309" s="26"/>
      <c r="Q309" s="26"/>
    </row>
    <row r="310">
      <c r="A310" s="26"/>
      <c r="E310" s="26"/>
      <c r="F310" s="28"/>
      <c r="J310" s="26"/>
      <c r="L310" s="26"/>
      <c r="Q310" s="26"/>
    </row>
    <row r="311">
      <c r="A311" s="26"/>
      <c r="E311" s="26"/>
      <c r="F311" s="28"/>
      <c r="J311" s="26"/>
      <c r="L311" s="26"/>
      <c r="Q311" s="26"/>
    </row>
    <row r="312">
      <c r="A312" s="26"/>
      <c r="E312" s="26"/>
      <c r="F312" s="28"/>
      <c r="J312" s="26"/>
      <c r="L312" s="26"/>
      <c r="Q312" s="26"/>
    </row>
    <row r="313">
      <c r="A313" s="26"/>
      <c r="E313" s="26"/>
      <c r="F313" s="28"/>
      <c r="J313" s="26"/>
      <c r="L313" s="26"/>
      <c r="Q313" s="26"/>
    </row>
    <row r="314">
      <c r="A314" s="26"/>
      <c r="E314" s="26"/>
      <c r="F314" s="28"/>
      <c r="J314" s="26"/>
      <c r="L314" s="26"/>
      <c r="Q314" s="26"/>
    </row>
    <row r="315">
      <c r="A315" s="26"/>
      <c r="E315" s="26"/>
      <c r="F315" s="28"/>
      <c r="J315" s="26"/>
      <c r="L315" s="26"/>
      <c r="Q315" s="26"/>
    </row>
    <row r="316">
      <c r="A316" s="26"/>
      <c r="E316" s="26"/>
      <c r="F316" s="28"/>
      <c r="J316" s="26"/>
      <c r="L316" s="26"/>
      <c r="Q316" s="26"/>
    </row>
    <row r="317">
      <c r="A317" s="26"/>
      <c r="E317" s="26"/>
      <c r="F317" s="28"/>
      <c r="J317" s="26"/>
      <c r="L317" s="26"/>
      <c r="Q317" s="26"/>
    </row>
    <row r="318">
      <c r="A318" s="26"/>
      <c r="E318" s="26"/>
      <c r="F318" s="28"/>
      <c r="J318" s="26"/>
      <c r="L318" s="26"/>
      <c r="Q318" s="26"/>
    </row>
    <row r="319">
      <c r="A319" s="26"/>
      <c r="E319" s="26"/>
      <c r="F319" s="28"/>
      <c r="J319" s="26"/>
      <c r="L319" s="26"/>
      <c r="Q319" s="26"/>
    </row>
    <row r="320">
      <c r="A320" s="26"/>
      <c r="E320" s="26"/>
      <c r="F320" s="28"/>
      <c r="J320" s="26"/>
      <c r="L320" s="26"/>
      <c r="Q320" s="26"/>
    </row>
    <row r="321">
      <c r="A321" s="26"/>
      <c r="E321" s="26"/>
      <c r="F321" s="28"/>
      <c r="J321" s="26"/>
      <c r="L321" s="26"/>
      <c r="Q321" s="26"/>
    </row>
    <row r="322">
      <c r="A322" s="26"/>
      <c r="E322" s="26"/>
      <c r="F322" s="28"/>
      <c r="J322" s="26"/>
      <c r="L322" s="26"/>
      <c r="Q322" s="26"/>
    </row>
    <row r="323">
      <c r="A323" s="26"/>
      <c r="E323" s="26"/>
      <c r="F323" s="28"/>
      <c r="J323" s="26"/>
      <c r="L323" s="26"/>
      <c r="Q323" s="26"/>
    </row>
    <row r="324">
      <c r="A324" s="26"/>
      <c r="E324" s="26"/>
      <c r="F324" s="28"/>
      <c r="J324" s="26"/>
      <c r="L324" s="26"/>
      <c r="Q324" s="26"/>
    </row>
    <row r="325">
      <c r="A325" s="26"/>
      <c r="E325" s="26"/>
      <c r="F325" s="28"/>
      <c r="J325" s="26"/>
      <c r="L325" s="26"/>
      <c r="Q325" s="26"/>
    </row>
    <row r="326">
      <c r="A326" s="26"/>
      <c r="E326" s="26"/>
      <c r="F326" s="28"/>
      <c r="J326" s="26"/>
      <c r="L326" s="26"/>
      <c r="Q326" s="26"/>
    </row>
    <row r="327">
      <c r="A327" s="26"/>
      <c r="E327" s="26"/>
      <c r="F327" s="28"/>
      <c r="J327" s="26"/>
      <c r="L327" s="26"/>
      <c r="Q327" s="26"/>
    </row>
    <row r="328">
      <c r="A328" s="26"/>
      <c r="E328" s="26"/>
      <c r="F328" s="28"/>
      <c r="J328" s="26"/>
      <c r="L328" s="26"/>
      <c r="Q328" s="26"/>
    </row>
    <row r="329">
      <c r="A329" s="26"/>
      <c r="E329" s="26"/>
      <c r="F329" s="28"/>
      <c r="J329" s="26"/>
      <c r="L329" s="26"/>
      <c r="Q329" s="26"/>
    </row>
    <row r="330">
      <c r="A330" s="26"/>
      <c r="E330" s="26"/>
      <c r="F330" s="28"/>
      <c r="J330" s="26"/>
      <c r="L330" s="26"/>
      <c r="Q330" s="26"/>
    </row>
    <row r="331">
      <c r="A331" s="26"/>
      <c r="E331" s="26"/>
      <c r="F331" s="28"/>
      <c r="J331" s="26"/>
      <c r="L331" s="26"/>
      <c r="Q331" s="26"/>
    </row>
    <row r="332">
      <c r="A332" s="26"/>
      <c r="E332" s="26"/>
      <c r="F332" s="28"/>
      <c r="J332" s="26"/>
      <c r="L332" s="26"/>
      <c r="Q332" s="26"/>
    </row>
    <row r="333">
      <c r="A333" s="26"/>
      <c r="E333" s="26"/>
      <c r="F333" s="28"/>
      <c r="J333" s="26"/>
      <c r="L333" s="26"/>
      <c r="Q333" s="26"/>
    </row>
    <row r="334">
      <c r="A334" s="26"/>
      <c r="E334" s="26"/>
      <c r="F334" s="28"/>
      <c r="J334" s="26"/>
      <c r="L334" s="26"/>
      <c r="Q334" s="26"/>
    </row>
    <row r="335">
      <c r="A335" s="26"/>
      <c r="E335" s="26"/>
      <c r="F335" s="28"/>
      <c r="J335" s="26"/>
      <c r="L335" s="26"/>
      <c r="Q335" s="26"/>
    </row>
    <row r="336">
      <c r="A336" s="26"/>
      <c r="E336" s="26"/>
      <c r="F336" s="28"/>
      <c r="J336" s="26"/>
      <c r="L336" s="26"/>
      <c r="Q336" s="26"/>
    </row>
    <row r="337">
      <c r="A337" s="26"/>
      <c r="E337" s="26"/>
      <c r="F337" s="28"/>
      <c r="J337" s="26"/>
      <c r="L337" s="26"/>
      <c r="Q337" s="26"/>
    </row>
    <row r="338">
      <c r="A338" s="26"/>
      <c r="E338" s="26"/>
      <c r="F338" s="28"/>
      <c r="J338" s="26"/>
      <c r="L338" s="26"/>
      <c r="Q338" s="26"/>
    </row>
    <row r="339">
      <c r="A339" s="26"/>
      <c r="E339" s="26"/>
      <c r="F339" s="28"/>
      <c r="J339" s="26"/>
      <c r="L339" s="26"/>
      <c r="Q339" s="26"/>
    </row>
    <row r="340">
      <c r="A340" s="26"/>
      <c r="E340" s="26"/>
      <c r="F340" s="28"/>
      <c r="J340" s="26"/>
      <c r="L340" s="26"/>
      <c r="Q340" s="26"/>
    </row>
    <row r="341">
      <c r="A341" s="26"/>
      <c r="E341" s="26"/>
      <c r="F341" s="28"/>
      <c r="J341" s="26"/>
      <c r="L341" s="26"/>
      <c r="Q341" s="26"/>
    </row>
    <row r="342">
      <c r="A342" s="26"/>
      <c r="E342" s="26"/>
      <c r="F342" s="28"/>
      <c r="J342" s="26"/>
      <c r="L342" s="26"/>
      <c r="Q342" s="26"/>
    </row>
    <row r="343">
      <c r="A343" s="26"/>
      <c r="E343" s="26"/>
      <c r="F343" s="28"/>
      <c r="J343" s="26"/>
      <c r="L343" s="26"/>
      <c r="Q343" s="26"/>
    </row>
    <row r="344">
      <c r="A344" s="26"/>
      <c r="E344" s="26"/>
      <c r="F344" s="28"/>
      <c r="J344" s="26"/>
      <c r="L344" s="26"/>
      <c r="Q344" s="26"/>
    </row>
    <row r="345">
      <c r="A345" s="26"/>
      <c r="E345" s="26"/>
      <c r="F345" s="28"/>
      <c r="J345" s="26"/>
      <c r="L345" s="26"/>
      <c r="Q345" s="26"/>
    </row>
    <row r="346">
      <c r="A346" s="26"/>
      <c r="E346" s="26"/>
      <c r="F346" s="28"/>
      <c r="J346" s="26"/>
      <c r="L346" s="26"/>
      <c r="Q346" s="26"/>
    </row>
    <row r="347">
      <c r="A347" s="26"/>
      <c r="E347" s="26"/>
      <c r="F347" s="28"/>
      <c r="J347" s="26"/>
      <c r="L347" s="26"/>
      <c r="Q347" s="26"/>
    </row>
    <row r="348">
      <c r="A348" s="26"/>
      <c r="E348" s="26"/>
      <c r="F348" s="28"/>
      <c r="J348" s="26"/>
      <c r="L348" s="26"/>
      <c r="Q348" s="26"/>
    </row>
    <row r="349">
      <c r="A349" s="26"/>
      <c r="E349" s="26"/>
      <c r="F349" s="28"/>
      <c r="J349" s="26"/>
      <c r="L349" s="26"/>
      <c r="Q349" s="26"/>
    </row>
    <row r="350">
      <c r="A350" s="26"/>
      <c r="E350" s="26"/>
      <c r="F350" s="28"/>
      <c r="J350" s="26"/>
      <c r="L350" s="26"/>
      <c r="Q350" s="26"/>
    </row>
    <row r="351">
      <c r="A351" s="26"/>
      <c r="E351" s="26"/>
      <c r="F351" s="28"/>
      <c r="J351" s="26"/>
      <c r="L351" s="26"/>
      <c r="Q351" s="26"/>
    </row>
    <row r="352">
      <c r="A352" s="26"/>
      <c r="E352" s="26"/>
      <c r="F352" s="28"/>
      <c r="J352" s="26"/>
      <c r="L352" s="26"/>
      <c r="Q352" s="26"/>
    </row>
    <row r="353">
      <c r="A353" s="26"/>
      <c r="E353" s="26"/>
      <c r="F353" s="28"/>
      <c r="J353" s="26"/>
      <c r="L353" s="26"/>
      <c r="Q353" s="26"/>
    </row>
    <row r="354">
      <c r="A354" s="26"/>
      <c r="E354" s="26"/>
      <c r="F354" s="28"/>
      <c r="J354" s="26"/>
      <c r="L354" s="26"/>
      <c r="Q354" s="26"/>
    </row>
    <row r="355">
      <c r="A355" s="26"/>
      <c r="E355" s="26"/>
      <c r="F355" s="28"/>
      <c r="J355" s="26"/>
      <c r="L355" s="26"/>
      <c r="Q355" s="26"/>
    </row>
    <row r="356">
      <c r="A356" s="26"/>
      <c r="E356" s="26"/>
      <c r="F356" s="28"/>
      <c r="J356" s="26"/>
      <c r="L356" s="26"/>
      <c r="Q356" s="26"/>
    </row>
    <row r="357">
      <c r="A357" s="26"/>
      <c r="E357" s="26"/>
      <c r="F357" s="28"/>
      <c r="J357" s="26"/>
      <c r="L357" s="26"/>
      <c r="Q357" s="26"/>
    </row>
    <row r="358">
      <c r="A358" s="26"/>
      <c r="E358" s="26"/>
      <c r="F358" s="28"/>
      <c r="J358" s="26"/>
      <c r="L358" s="26"/>
      <c r="Q358" s="26"/>
    </row>
    <row r="359">
      <c r="A359" s="26"/>
      <c r="E359" s="26"/>
      <c r="F359" s="28"/>
      <c r="J359" s="26"/>
      <c r="L359" s="26"/>
      <c r="Q359" s="26"/>
    </row>
    <row r="360">
      <c r="A360" s="26"/>
      <c r="E360" s="26"/>
      <c r="F360" s="28"/>
      <c r="J360" s="26"/>
      <c r="L360" s="26"/>
      <c r="Q360" s="26"/>
    </row>
    <row r="361">
      <c r="A361" s="26"/>
      <c r="E361" s="26"/>
      <c r="F361" s="28"/>
      <c r="J361" s="26"/>
      <c r="L361" s="26"/>
      <c r="Q361" s="26"/>
    </row>
    <row r="362">
      <c r="A362" s="26"/>
      <c r="E362" s="26"/>
      <c r="F362" s="28"/>
      <c r="J362" s="26"/>
      <c r="L362" s="26"/>
      <c r="Q362" s="26"/>
    </row>
    <row r="363">
      <c r="A363" s="26"/>
      <c r="E363" s="26"/>
      <c r="F363" s="28"/>
      <c r="J363" s="26"/>
      <c r="L363" s="26"/>
      <c r="Q363" s="26"/>
    </row>
    <row r="364">
      <c r="A364" s="26"/>
      <c r="E364" s="26"/>
      <c r="F364" s="28"/>
      <c r="J364" s="26"/>
      <c r="L364" s="26"/>
      <c r="Q364" s="26"/>
    </row>
    <row r="365">
      <c r="A365" s="26"/>
      <c r="E365" s="26"/>
      <c r="F365" s="28"/>
      <c r="J365" s="26"/>
      <c r="L365" s="26"/>
      <c r="Q365" s="26"/>
    </row>
    <row r="366">
      <c r="A366" s="26"/>
      <c r="E366" s="26"/>
      <c r="F366" s="28"/>
      <c r="J366" s="26"/>
      <c r="L366" s="26"/>
      <c r="Q366" s="26"/>
    </row>
    <row r="367">
      <c r="A367" s="26"/>
      <c r="E367" s="26"/>
      <c r="F367" s="28"/>
      <c r="J367" s="26"/>
      <c r="L367" s="26"/>
      <c r="Q367" s="26"/>
    </row>
    <row r="368">
      <c r="A368" s="26"/>
      <c r="E368" s="26"/>
      <c r="F368" s="28"/>
      <c r="J368" s="26"/>
      <c r="L368" s="26"/>
      <c r="Q368" s="26"/>
    </row>
    <row r="369">
      <c r="A369" s="26"/>
      <c r="E369" s="26"/>
      <c r="F369" s="28"/>
      <c r="J369" s="26"/>
      <c r="L369" s="26"/>
      <c r="Q369" s="26"/>
    </row>
    <row r="370">
      <c r="A370" s="26"/>
      <c r="E370" s="26"/>
      <c r="F370" s="28"/>
      <c r="J370" s="26"/>
      <c r="L370" s="26"/>
      <c r="Q370" s="26"/>
    </row>
    <row r="371">
      <c r="A371" s="26"/>
      <c r="E371" s="26"/>
      <c r="F371" s="28"/>
      <c r="J371" s="26"/>
      <c r="L371" s="26"/>
      <c r="Q371" s="26"/>
    </row>
    <row r="372">
      <c r="A372" s="26"/>
      <c r="E372" s="26"/>
      <c r="F372" s="28"/>
      <c r="J372" s="26"/>
      <c r="L372" s="26"/>
      <c r="Q372" s="26"/>
    </row>
    <row r="373">
      <c r="A373" s="26"/>
      <c r="E373" s="26"/>
      <c r="F373" s="28"/>
      <c r="J373" s="26"/>
      <c r="L373" s="26"/>
      <c r="Q373" s="26"/>
    </row>
    <row r="374">
      <c r="A374" s="26"/>
      <c r="E374" s="26"/>
      <c r="F374" s="28"/>
      <c r="J374" s="26"/>
      <c r="L374" s="26"/>
      <c r="Q374" s="26"/>
    </row>
    <row r="375">
      <c r="A375" s="26"/>
      <c r="E375" s="26"/>
      <c r="F375" s="28"/>
      <c r="J375" s="26"/>
      <c r="L375" s="26"/>
      <c r="Q375" s="26"/>
    </row>
    <row r="376">
      <c r="A376" s="26"/>
      <c r="E376" s="26"/>
      <c r="F376" s="28"/>
      <c r="J376" s="26"/>
      <c r="L376" s="26"/>
      <c r="Q376" s="26"/>
    </row>
    <row r="377">
      <c r="A377" s="26"/>
      <c r="E377" s="26"/>
      <c r="F377" s="28"/>
      <c r="J377" s="26"/>
      <c r="L377" s="26"/>
      <c r="Q377" s="26"/>
    </row>
    <row r="378">
      <c r="A378" s="26"/>
      <c r="E378" s="26"/>
      <c r="F378" s="28"/>
      <c r="J378" s="26"/>
      <c r="L378" s="26"/>
      <c r="Q378" s="26"/>
    </row>
    <row r="379">
      <c r="A379" s="26"/>
      <c r="E379" s="26"/>
      <c r="F379" s="28"/>
      <c r="J379" s="26"/>
      <c r="L379" s="26"/>
      <c r="Q379" s="26"/>
    </row>
    <row r="380">
      <c r="A380" s="26"/>
      <c r="E380" s="26"/>
      <c r="F380" s="28"/>
      <c r="J380" s="26"/>
      <c r="L380" s="26"/>
      <c r="Q380" s="26"/>
    </row>
    <row r="381">
      <c r="A381" s="26"/>
      <c r="E381" s="26"/>
      <c r="F381" s="28"/>
      <c r="J381" s="26"/>
      <c r="L381" s="26"/>
      <c r="Q381" s="26"/>
    </row>
    <row r="382">
      <c r="A382" s="26"/>
      <c r="E382" s="26"/>
      <c r="F382" s="28"/>
      <c r="J382" s="26"/>
      <c r="L382" s="26"/>
      <c r="Q382" s="26"/>
    </row>
    <row r="383">
      <c r="A383" s="26"/>
      <c r="E383" s="26"/>
      <c r="F383" s="28"/>
      <c r="J383" s="26"/>
      <c r="L383" s="26"/>
      <c r="Q383" s="26"/>
    </row>
    <row r="384">
      <c r="A384" s="26"/>
      <c r="E384" s="26"/>
      <c r="F384" s="28"/>
      <c r="J384" s="26"/>
      <c r="L384" s="26"/>
      <c r="Q384" s="26"/>
    </row>
    <row r="385">
      <c r="A385" s="26"/>
      <c r="E385" s="26"/>
      <c r="F385" s="28"/>
      <c r="J385" s="26"/>
      <c r="L385" s="26"/>
      <c r="Q385" s="26"/>
    </row>
    <row r="386">
      <c r="A386" s="26"/>
      <c r="E386" s="26"/>
      <c r="F386" s="28"/>
      <c r="J386" s="26"/>
      <c r="L386" s="26"/>
      <c r="Q386" s="26"/>
    </row>
    <row r="387">
      <c r="A387" s="26"/>
      <c r="E387" s="26"/>
      <c r="F387" s="28"/>
      <c r="J387" s="26"/>
      <c r="L387" s="26"/>
      <c r="Q387" s="26"/>
    </row>
    <row r="388">
      <c r="A388" s="26"/>
      <c r="E388" s="26"/>
      <c r="F388" s="28"/>
      <c r="J388" s="26"/>
      <c r="L388" s="26"/>
      <c r="Q388" s="26"/>
    </row>
    <row r="389">
      <c r="A389" s="26"/>
      <c r="E389" s="26"/>
      <c r="F389" s="28"/>
      <c r="J389" s="26"/>
      <c r="L389" s="26"/>
      <c r="Q389" s="26"/>
    </row>
    <row r="390">
      <c r="A390" s="26"/>
      <c r="E390" s="26"/>
      <c r="F390" s="28"/>
      <c r="J390" s="26"/>
      <c r="L390" s="26"/>
      <c r="Q390" s="26"/>
    </row>
    <row r="391">
      <c r="A391" s="26"/>
      <c r="E391" s="26"/>
      <c r="F391" s="28"/>
      <c r="J391" s="26"/>
      <c r="L391" s="26"/>
      <c r="Q391" s="26"/>
    </row>
    <row r="392">
      <c r="A392" s="26"/>
      <c r="E392" s="26"/>
      <c r="F392" s="28"/>
      <c r="J392" s="26"/>
      <c r="L392" s="26"/>
      <c r="Q392" s="26"/>
    </row>
    <row r="393">
      <c r="A393" s="26"/>
      <c r="E393" s="26"/>
      <c r="F393" s="28"/>
      <c r="J393" s="26"/>
      <c r="L393" s="26"/>
      <c r="Q393" s="26"/>
    </row>
    <row r="394">
      <c r="A394" s="26"/>
      <c r="E394" s="26"/>
      <c r="F394" s="28"/>
      <c r="J394" s="26"/>
      <c r="L394" s="26"/>
      <c r="Q394" s="26"/>
    </row>
    <row r="395">
      <c r="A395" s="26"/>
      <c r="E395" s="26"/>
      <c r="F395" s="28"/>
      <c r="J395" s="26"/>
      <c r="L395" s="26"/>
      <c r="Q395" s="26"/>
    </row>
    <row r="396">
      <c r="A396" s="26"/>
      <c r="E396" s="26"/>
      <c r="F396" s="28"/>
      <c r="J396" s="26"/>
      <c r="L396" s="26"/>
      <c r="Q396" s="26"/>
    </row>
    <row r="397">
      <c r="A397" s="26"/>
      <c r="E397" s="26"/>
      <c r="F397" s="28"/>
      <c r="J397" s="26"/>
      <c r="L397" s="26"/>
      <c r="Q397" s="26"/>
    </row>
    <row r="398">
      <c r="A398" s="26"/>
      <c r="E398" s="26"/>
      <c r="F398" s="28"/>
      <c r="J398" s="26"/>
      <c r="L398" s="26"/>
      <c r="Q398" s="26"/>
    </row>
    <row r="399">
      <c r="A399" s="26"/>
      <c r="E399" s="26"/>
      <c r="F399" s="28"/>
      <c r="J399" s="26"/>
      <c r="L399" s="26"/>
      <c r="Q399" s="26"/>
    </row>
    <row r="400">
      <c r="A400" s="26"/>
      <c r="E400" s="26"/>
      <c r="F400" s="28"/>
      <c r="J400" s="26"/>
      <c r="L400" s="26"/>
      <c r="Q400" s="26"/>
    </row>
    <row r="401">
      <c r="A401" s="26"/>
      <c r="E401" s="26"/>
      <c r="F401" s="28"/>
      <c r="J401" s="26"/>
      <c r="L401" s="26"/>
      <c r="Q401" s="26"/>
    </row>
    <row r="402">
      <c r="A402" s="26"/>
      <c r="E402" s="26"/>
      <c r="F402" s="28"/>
      <c r="J402" s="26"/>
      <c r="L402" s="26"/>
      <c r="Q402" s="26"/>
    </row>
    <row r="403">
      <c r="A403" s="26"/>
      <c r="E403" s="26"/>
      <c r="F403" s="28"/>
      <c r="J403" s="26"/>
      <c r="L403" s="26"/>
      <c r="Q403" s="26"/>
    </row>
    <row r="404">
      <c r="A404" s="26"/>
      <c r="E404" s="26"/>
      <c r="F404" s="28"/>
      <c r="J404" s="26"/>
      <c r="L404" s="26"/>
      <c r="Q404" s="26"/>
    </row>
    <row r="405">
      <c r="A405" s="26"/>
      <c r="E405" s="26"/>
      <c r="F405" s="28"/>
      <c r="J405" s="26"/>
      <c r="L405" s="26"/>
      <c r="Q405" s="26"/>
    </row>
    <row r="406">
      <c r="A406" s="26"/>
      <c r="E406" s="26"/>
      <c r="F406" s="28"/>
      <c r="J406" s="26"/>
      <c r="L406" s="26"/>
      <c r="Q406" s="26"/>
    </row>
    <row r="407">
      <c r="A407" s="26"/>
      <c r="E407" s="26"/>
      <c r="F407" s="28"/>
      <c r="J407" s="26"/>
      <c r="L407" s="26"/>
      <c r="Q407" s="26"/>
    </row>
    <row r="408">
      <c r="A408" s="26"/>
      <c r="E408" s="26"/>
      <c r="F408" s="28"/>
      <c r="J408" s="26"/>
      <c r="L408" s="26"/>
      <c r="Q408" s="26"/>
    </row>
    <row r="409">
      <c r="A409" s="26"/>
      <c r="E409" s="26"/>
      <c r="F409" s="28"/>
      <c r="J409" s="26"/>
      <c r="L409" s="26"/>
      <c r="Q409" s="26"/>
    </row>
    <row r="410">
      <c r="A410" s="26"/>
      <c r="E410" s="26"/>
      <c r="F410" s="28"/>
      <c r="J410" s="26"/>
      <c r="L410" s="26"/>
      <c r="Q410" s="26"/>
    </row>
    <row r="411">
      <c r="A411" s="26"/>
      <c r="E411" s="26"/>
      <c r="F411" s="28"/>
      <c r="J411" s="26"/>
      <c r="L411" s="26"/>
      <c r="Q411" s="26"/>
    </row>
    <row r="412">
      <c r="A412" s="26"/>
      <c r="E412" s="26"/>
      <c r="F412" s="28"/>
      <c r="J412" s="26"/>
      <c r="L412" s="26"/>
      <c r="Q412" s="26"/>
    </row>
    <row r="413">
      <c r="A413" s="26"/>
      <c r="E413" s="26"/>
      <c r="F413" s="28"/>
      <c r="J413" s="26"/>
      <c r="L413" s="26"/>
      <c r="Q413" s="26"/>
    </row>
    <row r="414">
      <c r="A414" s="26"/>
      <c r="E414" s="26"/>
      <c r="F414" s="28"/>
      <c r="J414" s="26"/>
      <c r="L414" s="26"/>
      <c r="Q414" s="26"/>
    </row>
    <row r="415">
      <c r="A415" s="26"/>
      <c r="E415" s="26"/>
      <c r="F415" s="28"/>
      <c r="J415" s="26"/>
      <c r="L415" s="26"/>
      <c r="Q415" s="26"/>
    </row>
    <row r="416">
      <c r="A416" s="26"/>
      <c r="E416" s="26"/>
      <c r="F416" s="28"/>
      <c r="J416" s="26"/>
      <c r="L416" s="26"/>
      <c r="Q416" s="26"/>
    </row>
    <row r="417">
      <c r="A417" s="26"/>
      <c r="E417" s="26"/>
      <c r="F417" s="28"/>
      <c r="J417" s="26"/>
      <c r="L417" s="26"/>
      <c r="Q417" s="26"/>
    </row>
    <row r="418">
      <c r="A418" s="26"/>
      <c r="E418" s="26"/>
      <c r="F418" s="28"/>
      <c r="J418" s="26"/>
      <c r="L418" s="26"/>
      <c r="Q418" s="26"/>
    </row>
    <row r="419">
      <c r="A419" s="26"/>
      <c r="E419" s="26"/>
      <c r="F419" s="28"/>
      <c r="J419" s="26"/>
      <c r="L419" s="26"/>
      <c r="Q419" s="26"/>
    </row>
    <row r="420">
      <c r="A420" s="26"/>
      <c r="E420" s="26"/>
      <c r="F420" s="28"/>
      <c r="J420" s="26"/>
      <c r="L420" s="26"/>
      <c r="Q420" s="26"/>
    </row>
    <row r="421">
      <c r="A421" s="26"/>
      <c r="E421" s="26"/>
      <c r="F421" s="28"/>
      <c r="J421" s="26"/>
      <c r="L421" s="26"/>
      <c r="Q421" s="26"/>
    </row>
    <row r="422">
      <c r="A422" s="26"/>
      <c r="E422" s="26"/>
      <c r="F422" s="28"/>
      <c r="J422" s="26"/>
      <c r="L422" s="26"/>
      <c r="Q422" s="26"/>
    </row>
    <row r="423">
      <c r="A423" s="26"/>
      <c r="E423" s="26"/>
      <c r="F423" s="28"/>
      <c r="J423" s="26"/>
      <c r="L423" s="26"/>
      <c r="Q423" s="26"/>
    </row>
    <row r="424">
      <c r="A424" s="26"/>
      <c r="E424" s="26"/>
      <c r="F424" s="28"/>
      <c r="J424" s="26"/>
      <c r="L424" s="26"/>
      <c r="Q424" s="26"/>
    </row>
    <row r="425">
      <c r="A425" s="26"/>
      <c r="E425" s="26"/>
      <c r="F425" s="28"/>
      <c r="J425" s="26"/>
      <c r="L425" s="26"/>
      <c r="Q425" s="26"/>
    </row>
    <row r="426">
      <c r="A426" s="26"/>
      <c r="E426" s="26"/>
      <c r="F426" s="28"/>
      <c r="J426" s="26"/>
      <c r="L426" s="26"/>
      <c r="Q426" s="26"/>
    </row>
    <row r="427">
      <c r="A427" s="26"/>
      <c r="E427" s="26"/>
      <c r="F427" s="28"/>
      <c r="J427" s="26"/>
      <c r="L427" s="26"/>
      <c r="Q427" s="26"/>
    </row>
    <row r="428">
      <c r="A428" s="26"/>
      <c r="E428" s="26"/>
      <c r="F428" s="28"/>
      <c r="J428" s="26"/>
      <c r="L428" s="26"/>
      <c r="Q428" s="26"/>
    </row>
    <row r="429">
      <c r="A429" s="26"/>
      <c r="E429" s="26"/>
      <c r="F429" s="28"/>
      <c r="J429" s="26"/>
      <c r="L429" s="26"/>
      <c r="Q429" s="26"/>
    </row>
    <row r="430">
      <c r="A430" s="26"/>
      <c r="E430" s="26"/>
      <c r="F430" s="28"/>
      <c r="J430" s="26"/>
      <c r="L430" s="26"/>
      <c r="Q430" s="26"/>
    </row>
    <row r="431">
      <c r="A431" s="26"/>
      <c r="E431" s="26"/>
      <c r="F431" s="28"/>
      <c r="J431" s="26"/>
      <c r="L431" s="26"/>
      <c r="Q431" s="26"/>
    </row>
    <row r="432">
      <c r="A432" s="26"/>
      <c r="E432" s="26"/>
      <c r="F432" s="28"/>
      <c r="J432" s="26"/>
      <c r="L432" s="26"/>
      <c r="Q432" s="26"/>
    </row>
    <row r="433">
      <c r="A433" s="26"/>
      <c r="E433" s="26"/>
      <c r="F433" s="28"/>
      <c r="J433" s="26"/>
      <c r="L433" s="26"/>
      <c r="Q433" s="26"/>
    </row>
    <row r="434">
      <c r="A434" s="26"/>
      <c r="E434" s="26"/>
      <c r="F434" s="28"/>
      <c r="J434" s="26"/>
      <c r="L434" s="26"/>
      <c r="Q434" s="26"/>
    </row>
    <row r="435">
      <c r="A435" s="26"/>
      <c r="E435" s="26"/>
      <c r="F435" s="28"/>
      <c r="J435" s="26"/>
      <c r="L435" s="26"/>
      <c r="Q435" s="26"/>
    </row>
    <row r="436">
      <c r="A436" s="26"/>
      <c r="E436" s="26"/>
      <c r="F436" s="28"/>
      <c r="J436" s="26"/>
      <c r="L436" s="26"/>
      <c r="Q436" s="26"/>
    </row>
    <row r="437">
      <c r="A437" s="26"/>
      <c r="E437" s="26"/>
      <c r="F437" s="28"/>
      <c r="J437" s="26"/>
      <c r="L437" s="26"/>
      <c r="Q437" s="26"/>
    </row>
    <row r="438">
      <c r="A438" s="26"/>
      <c r="E438" s="26"/>
      <c r="F438" s="28"/>
      <c r="J438" s="26"/>
      <c r="L438" s="26"/>
      <c r="Q438" s="26"/>
    </row>
    <row r="439">
      <c r="A439" s="26"/>
      <c r="E439" s="26"/>
      <c r="F439" s="28"/>
      <c r="J439" s="26"/>
      <c r="L439" s="26"/>
      <c r="Q439" s="26"/>
    </row>
    <row r="440">
      <c r="A440" s="26"/>
      <c r="E440" s="26"/>
      <c r="F440" s="28"/>
      <c r="J440" s="26"/>
      <c r="L440" s="26"/>
      <c r="Q440" s="26"/>
    </row>
    <row r="441">
      <c r="A441" s="26"/>
      <c r="E441" s="26"/>
      <c r="F441" s="28"/>
      <c r="J441" s="26"/>
      <c r="L441" s="26"/>
      <c r="Q441" s="26"/>
    </row>
    <row r="442">
      <c r="A442" s="26"/>
      <c r="E442" s="26"/>
      <c r="F442" s="28"/>
      <c r="J442" s="26"/>
      <c r="L442" s="26"/>
      <c r="Q442" s="26"/>
    </row>
    <row r="443">
      <c r="A443" s="26"/>
      <c r="E443" s="26"/>
      <c r="F443" s="28"/>
      <c r="J443" s="26"/>
      <c r="L443" s="26"/>
      <c r="Q443" s="26"/>
    </row>
    <row r="444">
      <c r="A444" s="26"/>
      <c r="E444" s="26"/>
      <c r="F444" s="28"/>
      <c r="J444" s="26"/>
      <c r="L444" s="26"/>
      <c r="Q444" s="26"/>
    </row>
    <row r="445">
      <c r="A445" s="26"/>
      <c r="E445" s="26"/>
      <c r="F445" s="28"/>
      <c r="J445" s="26"/>
      <c r="L445" s="26"/>
      <c r="Q445" s="26"/>
    </row>
    <row r="446">
      <c r="A446" s="26"/>
      <c r="E446" s="26"/>
      <c r="F446" s="28"/>
      <c r="J446" s="26"/>
      <c r="L446" s="26"/>
      <c r="Q446" s="26"/>
    </row>
    <row r="447">
      <c r="A447" s="26"/>
      <c r="E447" s="26"/>
      <c r="F447" s="28"/>
      <c r="J447" s="26"/>
      <c r="L447" s="26"/>
      <c r="Q447" s="26"/>
    </row>
    <row r="448">
      <c r="A448" s="26"/>
      <c r="E448" s="26"/>
      <c r="F448" s="28"/>
      <c r="J448" s="26"/>
      <c r="L448" s="26"/>
      <c r="Q448" s="26"/>
    </row>
    <row r="449">
      <c r="A449" s="26"/>
      <c r="E449" s="26"/>
      <c r="F449" s="28"/>
      <c r="J449" s="26"/>
      <c r="L449" s="26"/>
      <c r="Q449" s="26"/>
    </row>
    <row r="450">
      <c r="A450" s="26"/>
      <c r="E450" s="26"/>
      <c r="F450" s="28"/>
      <c r="J450" s="26"/>
      <c r="L450" s="26"/>
      <c r="Q450" s="26"/>
    </row>
    <row r="451">
      <c r="A451" s="26"/>
      <c r="E451" s="26"/>
      <c r="F451" s="28"/>
      <c r="J451" s="26"/>
      <c r="L451" s="26"/>
      <c r="Q451" s="26"/>
    </row>
    <row r="452">
      <c r="A452" s="26"/>
      <c r="E452" s="26"/>
      <c r="F452" s="28"/>
      <c r="J452" s="26"/>
      <c r="L452" s="26"/>
      <c r="Q452" s="26"/>
    </row>
    <row r="453">
      <c r="A453" s="26"/>
      <c r="E453" s="26"/>
      <c r="F453" s="28"/>
      <c r="J453" s="26"/>
      <c r="L453" s="26"/>
      <c r="Q453" s="26"/>
    </row>
    <row r="454">
      <c r="A454" s="26"/>
      <c r="E454" s="26"/>
      <c r="F454" s="28"/>
      <c r="J454" s="26"/>
      <c r="L454" s="26"/>
      <c r="Q454" s="26"/>
    </row>
    <row r="455">
      <c r="A455" s="26"/>
      <c r="E455" s="26"/>
      <c r="F455" s="28"/>
      <c r="J455" s="26"/>
      <c r="L455" s="26"/>
      <c r="Q455" s="26"/>
    </row>
    <row r="456">
      <c r="A456" s="26"/>
      <c r="E456" s="26"/>
      <c r="F456" s="28"/>
      <c r="J456" s="26"/>
      <c r="L456" s="26"/>
      <c r="Q456" s="26"/>
    </row>
    <row r="457">
      <c r="A457" s="26"/>
      <c r="E457" s="26"/>
      <c r="F457" s="28"/>
      <c r="J457" s="26"/>
      <c r="L457" s="26"/>
      <c r="Q457" s="26"/>
    </row>
    <row r="458">
      <c r="A458" s="26"/>
      <c r="E458" s="26"/>
      <c r="F458" s="28"/>
      <c r="J458" s="26"/>
      <c r="L458" s="26"/>
      <c r="Q458" s="26"/>
    </row>
    <row r="459">
      <c r="A459" s="26"/>
      <c r="E459" s="26"/>
      <c r="F459" s="28"/>
      <c r="J459" s="26"/>
      <c r="L459" s="26"/>
      <c r="Q459" s="26"/>
    </row>
    <row r="460">
      <c r="A460" s="26"/>
      <c r="E460" s="26"/>
      <c r="F460" s="28"/>
      <c r="J460" s="26"/>
      <c r="L460" s="26"/>
      <c r="Q460" s="26"/>
    </row>
    <row r="461">
      <c r="A461" s="26"/>
      <c r="E461" s="26"/>
      <c r="F461" s="28"/>
      <c r="J461" s="26"/>
      <c r="L461" s="26"/>
      <c r="Q461" s="26"/>
    </row>
    <row r="462">
      <c r="A462" s="26"/>
      <c r="E462" s="26"/>
      <c r="F462" s="28"/>
      <c r="J462" s="26"/>
      <c r="L462" s="26"/>
      <c r="Q462" s="26"/>
    </row>
    <row r="463">
      <c r="A463" s="26"/>
      <c r="E463" s="26"/>
      <c r="F463" s="28"/>
      <c r="J463" s="26"/>
      <c r="L463" s="26"/>
      <c r="Q463" s="26"/>
    </row>
    <row r="464">
      <c r="A464" s="26"/>
      <c r="E464" s="26"/>
      <c r="F464" s="28"/>
      <c r="J464" s="26"/>
      <c r="L464" s="26"/>
      <c r="Q464" s="26"/>
    </row>
    <row r="465">
      <c r="A465" s="26"/>
      <c r="E465" s="26"/>
      <c r="F465" s="28"/>
      <c r="J465" s="26"/>
      <c r="L465" s="26"/>
      <c r="Q465" s="26"/>
    </row>
    <row r="466">
      <c r="A466" s="26"/>
      <c r="E466" s="26"/>
      <c r="F466" s="28"/>
      <c r="J466" s="26"/>
      <c r="L466" s="26"/>
      <c r="Q466" s="26"/>
    </row>
    <row r="467">
      <c r="A467" s="26"/>
      <c r="E467" s="26"/>
      <c r="F467" s="28"/>
      <c r="J467" s="26"/>
      <c r="L467" s="26"/>
      <c r="Q467" s="26"/>
    </row>
    <row r="468">
      <c r="A468" s="26"/>
      <c r="E468" s="26"/>
      <c r="F468" s="28"/>
      <c r="J468" s="26"/>
      <c r="L468" s="26"/>
      <c r="Q468" s="26"/>
    </row>
    <row r="469">
      <c r="A469" s="26"/>
      <c r="E469" s="26"/>
      <c r="F469" s="28"/>
      <c r="J469" s="26"/>
      <c r="L469" s="26"/>
      <c r="Q469" s="26"/>
    </row>
    <row r="470">
      <c r="A470" s="26"/>
      <c r="E470" s="26"/>
      <c r="F470" s="28"/>
      <c r="J470" s="26"/>
      <c r="L470" s="26"/>
      <c r="Q470" s="26"/>
    </row>
    <row r="471">
      <c r="A471" s="26"/>
      <c r="E471" s="26"/>
      <c r="F471" s="28"/>
      <c r="J471" s="26"/>
      <c r="L471" s="26"/>
      <c r="Q471" s="26"/>
    </row>
    <row r="472">
      <c r="A472" s="26"/>
      <c r="E472" s="26"/>
      <c r="F472" s="28"/>
      <c r="J472" s="26"/>
      <c r="L472" s="26"/>
      <c r="Q472" s="26"/>
    </row>
    <row r="473">
      <c r="A473" s="26"/>
      <c r="E473" s="26"/>
      <c r="F473" s="28"/>
      <c r="J473" s="26"/>
      <c r="L473" s="26"/>
      <c r="Q473" s="26"/>
    </row>
    <row r="474">
      <c r="A474" s="26"/>
      <c r="E474" s="26"/>
      <c r="F474" s="28"/>
      <c r="J474" s="26"/>
      <c r="L474" s="26"/>
      <c r="Q474" s="26"/>
    </row>
    <row r="475">
      <c r="A475" s="26"/>
      <c r="E475" s="26"/>
      <c r="F475" s="28"/>
      <c r="J475" s="26"/>
      <c r="L475" s="26"/>
      <c r="Q475" s="26"/>
    </row>
    <row r="476">
      <c r="A476" s="26"/>
      <c r="E476" s="26"/>
      <c r="F476" s="28"/>
      <c r="J476" s="26"/>
      <c r="L476" s="26"/>
      <c r="Q476" s="26"/>
    </row>
    <row r="477">
      <c r="A477" s="26"/>
      <c r="E477" s="26"/>
      <c r="F477" s="28"/>
      <c r="J477" s="26"/>
      <c r="L477" s="26"/>
      <c r="Q477" s="26"/>
    </row>
    <row r="478">
      <c r="A478" s="26"/>
      <c r="E478" s="26"/>
      <c r="F478" s="28"/>
      <c r="J478" s="26"/>
      <c r="L478" s="26"/>
      <c r="Q478" s="26"/>
    </row>
    <row r="479">
      <c r="A479" s="26"/>
      <c r="E479" s="26"/>
      <c r="F479" s="28"/>
      <c r="J479" s="26"/>
      <c r="L479" s="26"/>
      <c r="Q479" s="26"/>
    </row>
    <row r="480">
      <c r="A480" s="26"/>
      <c r="E480" s="26"/>
      <c r="F480" s="28"/>
      <c r="J480" s="26"/>
      <c r="L480" s="26"/>
      <c r="Q480" s="26"/>
    </row>
    <row r="481">
      <c r="A481" s="26"/>
      <c r="E481" s="26"/>
      <c r="F481" s="28"/>
      <c r="J481" s="26"/>
      <c r="L481" s="26"/>
      <c r="Q481" s="26"/>
    </row>
    <row r="482">
      <c r="A482" s="26"/>
      <c r="E482" s="26"/>
      <c r="F482" s="28"/>
      <c r="J482" s="26"/>
      <c r="L482" s="26"/>
      <c r="Q482" s="26"/>
    </row>
    <row r="483">
      <c r="A483" s="26"/>
      <c r="E483" s="26"/>
      <c r="F483" s="28"/>
      <c r="J483" s="26"/>
      <c r="L483" s="26"/>
      <c r="Q483" s="26"/>
    </row>
    <row r="484">
      <c r="A484" s="26"/>
      <c r="E484" s="26"/>
      <c r="F484" s="28"/>
      <c r="J484" s="26"/>
      <c r="L484" s="26"/>
      <c r="Q484" s="26"/>
    </row>
    <row r="485">
      <c r="A485" s="26"/>
      <c r="E485" s="26"/>
      <c r="F485" s="28"/>
      <c r="J485" s="26"/>
      <c r="L485" s="26"/>
      <c r="Q485" s="26"/>
    </row>
    <row r="486">
      <c r="A486" s="26"/>
      <c r="E486" s="26"/>
      <c r="F486" s="28"/>
      <c r="J486" s="26"/>
      <c r="L486" s="26"/>
      <c r="Q486" s="26"/>
    </row>
    <row r="487">
      <c r="A487" s="26"/>
      <c r="E487" s="26"/>
      <c r="F487" s="28"/>
      <c r="J487" s="26"/>
      <c r="L487" s="26"/>
      <c r="Q487" s="26"/>
    </row>
    <row r="488">
      <c r="A488" s="26"/>
      <c r="E488" s="26"/>
      <c r="F488" s="28"/>
      <c r="J488" s="26"/>
      <c r="L488" s="26"/>
      <c r="Q488" s="26"/>
    </row>
    <row r="489">
      <c r="A489" s="26"/>
      <c r="E489" s="26"/>
      <c r="F489" s="28"/>
      <c r="J489" s="26"/>
      <c r="L489" s="26"/>
      <c r="Q489" s="26"/>
    </row>
    <row r="490">
      <c r="A490" s="26"/>
      <c r="E490" s="26"/>
      <c r="F490" s="28"/>
      <c r="J490" s="26"/>
      <c r="L490" s="26"/>
      <c r="Q490" s="26"/>
    </row>
    <row r="491">
      <c r="A491" s="26"/>
      <c r="E491" s="26"/>
      <c r="F491" s="28"/>
      <c r="J491" s="26"/>
      <c r="L491" s="26"/>
      <c r="Q491" s="26"/>
    </row>
    <row r="492">
      <c r="A492" s="26"/>
      <c r="E492" s="26"/>
      <c r="F492" s="28"/>
      <c r="J492" s="26"/>
      <c r="L492" s="26"/>
      <c r="Q492" s="26"/>
    </row>
    <row r="493">
      <c r="A493" s="26"/>
      <c r="E493" s="26"/>
      <c r="F493" s="28"/>
      <c r="J493" s="26"/>
      <c r="L493" s="26"/>
      <c r="Q493" s="26"/>
    </row>
    <row r="494">
      <c r="A494" s="26"/>
      <c r="E494" s="26"/>
      <c r="F494" s="28"/>
      <c r="J494" s="26"/>
      <c r="L494" s="26"/>
      <c r="Q494" s="26"/>
    </row>
    <row r="495">
      <c r="A495" s="26"/>
      <c r="E495" s="26"/>
      <c r="F495" s="28"/>
      <c r="J495" s="26"/>
      <c r="L495" s="26"/>
      <c r="Q495" s="26"/>
    </row>
    <row r="496">
      <c r="A496" s="26"/>
      <c r="E496" s="26"/>
      <c r="F496" s="28"/>
      <c r="J496" s="26"/>
      <c r="L496" s="26"/>
      <c r="Q496" s="26"/>
    </row>
    <row r="497">
      <c r="A497" s="26"/>
      <c r="E497" s="26"/>
      <c r="F497" s="28"/>
      <c r="J497" s="26"/>
      <c r="L497" s="26"/>
      <c r="Q497" s="26"/>
    </row>
    <row r="498">
      <c r="A498" s="26"/>
      <c r="E498" s="26"/>
      <c r="F498" s="28"/>
      <c r="J498" s="26"/>
      <c r="L498" s="26"/>
      <c r="Q498" s="26"/>
    </row>
    <row r="499">
      <c r="A499" s="26"/>
      <c r="E499" s="26"/>
      <c r="F499" s="28"/>
      <c r="J499" s="26"/>
      <c r="L499" s="26"/>
      <c r="Q499" s="26"/>
    </row>
    <row r="500">
      <c r="A500" s="26"/>
      <c r="E500" s="26"/>
      <c r="F500" s="28"/>
      <c r="J500" s="26"/>
      <c r="L500" s="26"/>
      <c r="Q500" s="26"/>
    </row>
    <row r="501">
      <c r="A501" s="26"/>
      <c r="E501" s="26"/>
      <c r="F501" s="28"/>
      <c r="J501" s="26"/>
      <c r="L501" s="26"/>
      <c r="Q501" s="26"/>
    </row>
    <row r="502">
      <c r="A502" s="26"/>
      <c r="E502" s="26"/>
      <c r="F502" s="28"/>
      <c r="J502" s="26"/>
      <c r="L502" s="26"/>
      <c r="Q502" s="26"/>
    </row>
    <row r="503">
      <c r="A503" s="26"/>
      <c r="E503" s="26"/>
      <c r="F503" s="28"/>
      <c r="J503" s="26"/>
      <c r="L503" s="26"/>
      <c r="Q503" s="26"/>
    </row>
    <row r="504">
      <c r="A504" s="26"/>
      <c r="E504" s="26"/>
      <c r="F504" s="28"/>
      <c r="J504" s="26"/>
      <c r="L504" s="26"/>
      <c r="Q504" s="26"/>
    </row>
    <row r="505">
      <c r="A505" s="26"/>
      <c r="E505" s="26"/>
      <c r="F505" s="28"/>
      <c r="J505" s="26"/>
      <c r="L505" s="26"/>
      <c r="Q505" s="26"/>
    </row>
    <row r="506">
      <c r="A506" s="26"/>
      <c r="E506" s="26"/>
      <c r="F506" s="28"/>
      <c r="J506" s="26"/>
      <c r="L506" s="26"/>
      <c r="Q506" s="26"/>
    </row>
    <row r="507">
      <c r="A507" s="26"/>
      <c r="E507" s="26"/>
      <c r="F507" s="28"/>
      <c r="J507" s="26"/>
      <c r="L507" s="26"/>
      <c r="Q507" s="26"/>
    </row>
    <row r="508">
      <c r="A508" s="26"/>
      <c r="E508" s="26"/>
      <c r="F508" s="28"/>
      <c r="J508" s="26"/>
      <c r="L508" s="26"/>
      <c r="Q508" s="26"/>
    </row>
    <row r="509">
      <c r="A509" s="26"/>
      <c r="E509" s="26"/>
      <c r="F509" s="28"/>
      <c r="J509" s="26"/>
      <c r="L509" s="26"/>
      <c r="Q509" s="26"/>
    </row>
    <row r="510">
      <c r="A510" s="26"/>
      <c r="E510" s="26"/>
      <c r="F510" s="28"/>
      <c r="J510" s="26"/>
      <c r="L510" s="26"/>
      <c r="Q510" s="26"/>
    </row>
    <row r="511">
      <c r="A511" s="26"/>
      <c r="E511" s="26"/>
      <c r="F511" s="28"/>
      <c r="J511" s="26"/>
      <c r="L511" s="26"/>
      <c r="Q511" s="26"/>
    </row>
    <row r="512">
      <c r="A512" s="26"/>
      <c r="E512" s="26"/>
      <c r="F512" s="28"/>
      <c r="J512" s="26"/>
      <c r="L512" s="26"/>
      <c r="Q512" s="26"/>
    </row>
    <row r="513">
      <c r="A513" s="26"/>
      <c r="E513" s="26"/>
      <c r="F513" s="28"/>
      <c r="J513" s="26"/>
      <c r="L513" s="26"/>
      <c r="Q513" s="26"/>
    </row>
    <row r="514">
      <c r="A514" s="26"/>
      <c r="E514" s="26"/>
      <c r="F514" s="28"/>
      <c r="J514" s="26"/>
      <c r="L514" s="26"/>
      <c r="Q514" s="26"/>
    </row>
    <row r="515">
      <c r="A515" s="26"/>
      <c r="E515" s="26"/>
      <c r="F515" s="28"/>
      <c r="J515" s="26"/>
      <c r="L515" s="26"/>
      <c r="Q515" s="26"/>
    </row>
    <row r="516">
      <c r="A516" s="26"/>
      <c r="E516" s="26"/>
      <c r="F516" s="28"/>
      <c r="J516" s="26"/>
      <c r="L516" s="26"/>
      <c r="Q516" s="26"/>
    </row>
    <row r="517">
      <c r="A517" s="26"/>
      <c r="E517" s="26"/>
      <c r="F517" s="28"/>
      <c r="J517" s="26"/>
      <c r="L517" s="26"/>
      <c r="Q517" s="26"/>
    </row>
    <row r="518">
      <c r="A518" s="26"/>
      <c r="E518" s="26"/>
      <c r="F518" s="28"/>
      <c r="J518" s="26"/>
      <c r="L518" s="26"/>
      <c r="Q518" s="26"/>
    </row>
    <row r="519">
      <c r="A519" s="26"/>
      <c r="E519" s="26"/>
      <c r="F519" s="28"/>
      <c r="J519" s="26"/>
      <c r="L519" s="26"/>
      <c r="Q519" s="26"/>
    </row>
    <row r="520">
      <c r="A520" s="26"/>
      <c r="E520" s="26"/>
      <c r="F520" s="28"/>
      <c r="J520" s="26"/>
      <c r="L520" s="26"/>
      <c r="Q520" s="26"/>
    </row>
    <row r="521">
      <c r="A521" s="26"/>
      <c r="E521" s="26"/>
      <c r="F521" s="28"/>
      <c r="J521" s="26"/>
      <c r="L521" s="26"/>
      <c r="Q521" s="26"/>
    </row>
    <row r="522">
      <c r="A522" s="26"/>
      <c r="E522" s="26"/>
      <c r="F522" s="28"/>
      <c r="J522" s="26"/>
      <c r="L522" s="26"/>
      <c r="Q522" s="26"/>
    </row>
    <row r="523">
      <c r="A523" s="26"/>
      <c r="E523" s="26"/>
      <c r="F523" s="28"/>
      <c r="J523" s="26"/>
      <c r="L523" s="26"/>
      <c r="Q523" s="26"/>
    </row>
    <row r="524">
      <c r="A524" s="26"/>
      <c r="E524" s="26"/>
      <c r="F524" s="28"/>
      <c r="J524" s="26"/>
      <c r="L524" s="26"/>
      <c r="Q524" s="26"/>
    </row>
    <row r="525">
      <c r="A525" s="26"/>
      <c r="E525" s="26"/>
      <c r="F525" s="28"/>
      <c r="J525" s="26"/>
      <c r="L525" s="26"/>
      <c r="Q525" s="26"/>
    </row>
    <row r="526">
      <c r="A526" s="26"/>
      <c r="E526" s="26"/>
      <c r="F526" s="28"/>
      <c r="J526" s="26"/>
      <c r="L526" s="26"/>
      <c r="Q526" s="26"/>
    </row>
    <row r="527">
      <c r="A527" s="26"/>
      <c r="E527" s="26"/>
      <c r="F527" s="28"/>
      <c r="J527" s="26"/>
      <c r="L527" s="26"/>
      <c r="Q527" s="26"/>
    </row>
    <row r="528">
      <c r="A528" s="26"/>
      <c r="E528" s="26"/>
      <c r="F528" s="28"/>
      <c r="J528" s="26"/>
      <c r="L528" s="26"/>
      <c r="Q528" s="26"/>
    </row>
    <row r="529">
      <c r="A529" s="26"/>
      <c r="E529" s="26"/>
      <c r="F529" s="28"/>
      <c r="J529" s="26"/>
      <c r="L529" s="26"/>
      <c r="Q529" s="26"/>
    </row>
    <row r="530">
      <c r="A530" s="26"/>
      <c r="E530" s="26"/>
      <c r="F530" s="28"/>
      <c r="J530" s="26"/>
      <c r="L530" s="26"/>
      <c r="Q530" s="26"/>
    </row>
    <row r="531">
      <c r="A531" s="26"/>
      <c r="E531" s="26"/>
      <c r="F531" s="28"/>
      <c r="J531" s="26"/>
      <c r="L531" s="26"/>
      <c r="Q531" s="26"/>
    </row>
    <row r="532">
      <c r="A532" s="26"/>
      <c r="E532" s="26"/>
      <c r="F532" s="28"/>
      <c r="J532" s="26"/>
      <c r="L532" s="26"/>
      <c r="Q532" s="26"/>
    </row>
    <row r="533">
      <c r="A533" s="26"/>
      <c r="E533" s="26"/>
      <c r="F533" s="28"/>
      <c r="J533" s="26"/>
      <c r="L533" s="26"/>
      <c r="Q533" s="26"/>
    </row>
    <row r="534">
      <c r="A534" s="26"/>
      <c r="E534" s="26"/>
      <c r="F534" s="28"/>
      <c r="J534" s="26"/>
      <c r="L534" s="26"/>
      <c r="Q534" s="26"/>
    </row>
    <row r="535">
      <c r="A535" s="26"/>
      <c r="E535" s="26"/>
      <c r="F535" s="28"/>
      <c r="J535" s="26"/>
      <c r="L535" s="26"/>
      <c r="Q535" s="26"/>
    </row>
    <row r="536">
      <c r="A536" s="26"/>
      <c r="E536" s="26"/>
      <c r="F536" s="28"/>
      <c r="J536" s="26"/>
      <c r="L536" s="26"/>
      <c r="Q536" s="26"/>
    </row>
    <row r="537">
      <c r="A537" s="26"/>
      <c r="E537" s="26"/>
      <c r="F537" s="28"/>
      <c r="J537" s="26"/>
      <c r="L537" s="26"/>
      <c r="Q537" s="26"/>
    </row>
    <row r="538">
      <c r="A538" s="26"/>
      <c r="E538" s="26"/>
      <c r="F538" s="28"/>
      <c r="J538" s="26"/>
      <c r="L538" s="26"/>
      <c r="Q538" s="26"/>
    </row>
    <row r="539">
      <c r="A539" s="26"/>
      <c r="E539" s="26"/>
      <c r="F539" s="28"/>
      <c r="J539" s="26"/>
      <c r="L539" s="26"/>
      <c r="Q539" s="26"/>
    </row>
    <row r="540">
      <c r="A540" s="26"/>
      <c r="E540" s="26"/>
      <c r="F540" s="28"/>
      <c r="J540" s="26"/>
      <c r="L540" s="26"/>
      <c r="Q540" s="26"/>
    </row>
    <row r="541">
      <c r="A541" s="26"/>
      <c r="E541" s="26"/>
      <c r="F541" s="28"/>
      <c r="J541" s="26"/>
      <c r="L541" s="26"/>
      <c r="Q541" s="26"/>
    </row>
    <row r="542">
      <c r="A542" s="26"/>
      <c r="E542" s="26"/>
      <c r="F542" s="28"/>
      <c r="J542" s="26"/>
      <c r="L542" s="26"/>
      <c r="Q542" s="26"/>
    </row>
    <row r="543">
      <c r="A543" s="26"/>
      <c r="E543" s="26"/>
      <c r="F543" s="28"/>
      <c r="J543" s="26"/>
      <c r="L543" s="26"/>
      <c r="Q543" s="26"/>
    </row>
    <row r="544">
      <c r="A544" s="26"/>
      <c r="E544" s="26"/>
      <c r="F544" s="28"/>
      <c r="J544" s="26"/>
      <c r="L544" s="26"/>
      <c r="Q544" s="26"/>
    </row>
    <row r="545">
      <c r="A545" s="26"/>
      <c r="E545" s="26"/>
      <c r="F545" s="28"/>
      <c r="J545" s="26"/>
      <c r="L545" s="26"/>
      <c r="Q545" s="26"/>
    </row>
    <row r="546">
      <c r="A546" s="26"/>
      <c r="E546" s="26"/>
      <c r="F546" s="28"/>
      <c r="J546" s="26"/>
      <c r="L546" s="26"/>
      <c r="Q546" s="26"/>
    </row>
    <row r="547">
      <c r="A547" s="26"/>
      <c r="E547" s="26"/>
      <c r="F547" s="28"/>
      <c r="J547" s="26"/>
      <c r="L547" s="26"/>
      <c r="Q547" s="26"/>
    </row>
    <row r="548">
      <c r="A548" s="26"/>
      <c r="E548" s="26"/>
      <c r="F548" s="28"/>
      <c r="J548" s="26"/>
      <c r="L548" s="26"/>
      <c r="Q548" s="26"/>
    </row>
    <row r="549">
      <c r="A549" s="26"/>
      <c r="E549" s="26"/>
      <c r="F549" s="28"/>
      <c r="J549" s="26"/>
      <c r="L549" s="26"/>
      <c r="Q549" s="26"/>
    </row>
    <row r="550">
      <c r="A550" s="26"/>
      <c r="E550" s="26"/>
      <c r="F550" s="28"/>
      <c r="J550" s="26"/>
      <c r="L550" s="26"/>
      <c r="Q550" s="26"/>
    </row>
    <row r="551">
      <c r="A551" s="26"/>
      <c r="E551" s="26"/>
      <c r="F551" s="28"/>
      <c r="J551" s="26"/>
      <c r="L551" s="26"/>
      <c r="Q551" s="26"/>
    </row>
    <row r="552">
      <c r="A552" s="26"/>
      <c r="E552" s="26"/>
      <c r="F552" s="28"/>
      <c r="J552" s="26"/>
      <c r="L552" s="26"/>
      <c r="Q552" s="26"/>
    </row>
    <row r="553">
      <c r="A553" s="26"/>
      <c r="E553" s="26"/>
      <c r="F553" s="28"/>
      <c r="J553" s="26"/>
      <c r="L553" s="26"/>
      <c r="Q553" s="26"/>
    </row>
    <row r="554">
      <c r="A554" s="26"/>
      <c r="E554" s="26"/>
      <c r="F554" s="28"/>
      <c r="J554" s="26"/>
      <c r="L554" s="26"/>
      <c r="Q554" s="26"/>
    </row>
    <row r="555">
      <c r="A555" s="26"/>
      <c r="E555" s="26"/>
      <c r="F555" s="28"/>
      <c r="J555" s="26"/>
      <c r="L555" s="26"/>
      <c r="Q555" s="26"/>
    </row>
    <row r="556">
      <c r="A556" s="26"/>
      <c r="E556" s="26"/>
      <c r="F556" s="28"/>
      <c r="J556" s="26"/>
      <c r="L556" s="26"/>
      <c r="Q556" s="26"/>
    </row>
    <row r="557">
      <c r="A557" s="26"/>
      <c r="E557" s="26"/>
      <c r="F557" s="28"/>
      <c r="J557" s="26"/>
      <c r="L557" s="26"/>
      <c r="Q557" s="26"/>
    </row>
    <row r="558">
      <c r="A558" s="26"/>
      <c r="E558" s="26"/>
      <c r="F558" s="28"/>
      <c r="J558" s="26"/>
      <c r="L558" s="26"/>
      <c r="Q558" s="26"/>
    </row>
    <row r="559">
      <c r="A559" s="26"/>
      <c r="E559" s="26"/>
      <c r="F559" s="28"/>
      <c r="J559" s="26"/>
      <c r="L559" s="26"/>
      <c r="Q559" s="26"/>
    </row>
    <row r="560">
      <c r="A560" s="26"/>
      <c r="E560" s="26"/>
      <c r="F560" s="28"/>
      <c r="J560" s="26"/>
      <c r="L560" s="26"/>
      <c r="Q560" s="26"/>
    </row>
    <row r="561">
      <c r="A561" s="26"/>
      <c r="E561" s="26"/>
      <c r="F561" s="28"/>
      <c r="J561" s="26"/>
      <c r="L561" s="26"/>
      <c r="Q561" s="26"/>
    </row>
    <row r="562">
      <c r="A562" s="26"/>
      <c r="E562" s="26"/>
      <c r="F562" s="28"/>
      <c r="J562" s="26"/>
      <c r="L562" s="26"/>
      <c r="Q562" s="26"/>
    </row>
    <row r="563">
      <c r="A563" s="26"/>
      <c r="E563" s="26"/>
      <c r="F563" s="28"/>
      <c r="J563" s="26"/>
      <c r="L563" s="26"/>
      <c r="Q563" s="26"/>
    </row>
    <row r="564">
      <c r="A564" s="26"/>
      <c r="E564" s="26"/>
      <c r="F564" s="28"/>
      <c r="J564" s="26"/>
      <c r="L564" s="26"/>
      <c r="Q564" s="26"/>
    </row>
    <row r="565">
      <c r="A565" s="26"/>
      <c r="E565" s="26"/>
      <c r="F565" s="28"/>
      <c r="J565" s="26"/>
      <c r="L565" s="26"/>
      <c r="Q565" s="26"/>
    </row>
    <row r="566">
      <c r="A566" s="26"/>
      <c r="E566" s="26"/>
      <c r="F566" s="28"/>
      <c r="J566" s="26"/>
      <c r="L566" s="26"/>
      <c r="Q566" s="26"/>
    </row>
    <row r="567">
      <c r="A567" s="26"/>
      <c r="E567" s="26"/>
      <c r="F567" s="28"/>
      <c r="J567" s="26"/>
      <c r="L567" s="26"/>
      <c r="Q567" s="26"/>
    </row>
    <row r="568">
      <c r="A568" s="26"/>
      <c r="E568" s="26"/>
      <c r="F568" s="28"/>
      <c r="J568" s="26"/>
      <c r="L568" s="26"/>
      <c r="Q568" s="26"/>
    </row>
    <row r="569">
      <c r="A569" s="26"/>
      <c r="E569" s="26"/>
      <c r="F569" s="28"/>
      <c r="J569" s="26"/>
      <c r="L569" s="26"/>
      <c r="Q569" s="26"/>
    </row>
    <row r="570">
      <c r="A570" s="26"/>
      <c r="E570" s="26"/>
      <c r="F570" s="28"/>
      <c r="J570" s="26"/>
      <c r="L570" s="26"/>
      <c r="Q570" s="26"/>
    </row>
    <row r="571">
      <c r="A571" s="26"/>
      <c r="E571" s="26"/>
      <c r="F571" s="28"/>
      <c r="J571" s="26"/>
      <c r="L571" s="26"/>
      <c r="Q571" s="26"/>
    </row>
    <row r="572">
      <c r="A572" s="26"/>
      <c r="E572" s="26"/>
      <c r="F572" s="28"/>
      <c r="J572" s="26"/>
      <c r="L572" s="26"/>
      <c r="Q572" s="26"/>
    </row>
    <row r="573">
      <c r="A573" s="26"/>
      <c r="E573" s="26"/>
      <c r="F573" s="28"/>
      <c r="J573" s="26"/>
      <c r="L573" s="26"/>
      <c r="Q573" s="26"/>
    </row>
    <row r="574">
      <c r="A574" s="26"/>
      <c r="E574" s="26"/>
      <c r="F574" s="28"/>
      <c r="J574" s="26"/>
      <c r="L574" s="26"/>
      <c r="Q574" s="26"/>
    </row>
    <row r="575">
      <c r="A575" s="26"/>
      <c r="E575" s="26"/>
      <c r="F575" s="28"/>
      <c r="J575" s="26"/>
      <c r="L575" s="26"/>
      <c r="Q575" s="26"/>
    </row>
    <row r="576">
      <c r="A576" s="26"/>
      <c r="E576" s="26"/>
      <c r="F576" s="28"/>
      <c r="J576" s="26"/>
      <c r="L576" s="26"/>
      <c r="Q576" s="26"/>
    </row>
    <row r="577">
      <c r="A577" s="26"/>
      <c r="E577" s="26"/>
      <c r="F577" s="28"/>
      <c r="J577" s="26"/>
      <c r="L577" s="26"/>
      <c r="Q577" s="26"/>
    </row>
    <row r="578">
      <c r="A578" s="26"/>
      <c r="E578" s="26"/>
      <c r="F578" s="28"/>
      <c r="J578" s="26"/>
      <c r="L578" s="26"/>
      <c r="Q578" s="26"/>
    </row>
    <row r="579">
      <c r="A579" s="26"/>
      <c r="E579" s="26"/>
      <c r="F579" s="28"/>
      <c r="J579" s="26"/>
      <c r="L579" s="26"/>
      <c r="Q579" s="26"/>
    </row>
    <row r="580">
      <c r="A580" s="26"/>
      <c r="E580" s="26"/>
      <c r="F580" s="28"/>
      <c r="J580" s="26"/>
      <c r="L580" s="26"/>
      <c r="Q580" s="26"/>
    </row>
    <row r="581">
      <c r="A581" s="26"/>
      <c r="E581" s="26"/>
      <c r="F581" s="28"/>
      <c r="J581" s="26"/>
      <c r="L581" s="26"/>
      <c r="Q581" s="26"/>
    </row>
    <row r="582">
      <c r="A582" s="26"/>
      <c r="E582" s="26"/>
      <c r="F582" s="28"/>
      <c r="J582" s="26"/>
      <c r="L582" s="26"/>
      <c r="Q582" s="26"/>
    </row>
    <row r="583">
      <c r="A583" s="26"/>
      <c r="E583" s="26"/>
      <c r="F583" s="28"/>
      <c r="J583" s="26"/>
      <c r="L583" s="26"/>
      <c r="Q583" s="26"/>
    </row>
    <row r="584">
      <c r="A584" s="26"/>
      <c r="E584" s="26"/>
      <c r="F584" s="28"/>
      <c r="J584" s="26"/>
      <c r="L584" s="26"/>
      <c r="Q584" s="26"/>
    </row>
    <row r="585">
      <c r="A585" s="26"/>
      <c r="E585" s="26"/>
      <c r="F585" s="28"/>
      <c r="J585" s="26"/>
      <c r="L585" s="26"/>
      <c r="Q585" s="26"/>
    </row>
    <row r="586">
      <c r="A586" s="26"/>
      <c r="E586" s="26"/>
      <c r="F586" s="28"/>
      <c r="J586" s="26"/>
      <c r="L586" s="26"/>
      <c r="Q586" s="26"/>
    </row>
    <row r="587">
      <c r="A587" s="26"/>
      <c r="E587" s="26"/>
      <c r="F587" s="28"/>
      <c r="J587" s="26"/>
      <c r="L587" s="26"/>
      <c r="Q587" s="26"/>
    </row>
    <row r="588">
      <c r="A588" s="26"/>
      <c r="E588" s="26"/>
      <c r="F588" s="28"/>
      <c r="J588" s="26"/>
      <c r="L588" s="26"/>
      <c r="Q588" s="26"/>
    </row>
    <row r="589">
      <c r="A589" s="26"/>
      <c r="E589" s="26"/>
      <c r="F589" s="28"/>
      <c r="J589" s="26"/>
      <c r="L589" s="26"/>
      <c r="Q589" s="26"/>
    </row>
    <row r="590">
      <c r="A590" s="26"/>
      <c r="E590" s="26"/>
      <c r="F590" s="28"/>
      <c r="J590" s="26"/>
      <c r="L590" s="26"/>
      <c r="Q590" s="26"/>
    </row>
    <row r="591">
      <c r="A591" s="26"/>
      <c r="E591" s="26"/>
      <c r="F591" s="28"/>
      <c r="J591" s="26"/>
      <c r="L591" s="26"/>
      <c r="Q591" s="26"/>
    </row>
    <row r="592">
      <c r="A592" s="26"/>
      <c r="E592" s="26"/>
      <c r="F592" s="28"/>
      <c r="J592" s="26"/>
      <c r="L592" s="26"/>
      <c r="Q592" s="26"/>
    </row>
    <row r="593">
      <c r="A593" s="26"/>
      <c r="E593" s="26"/>
      <c r="F593" s="28"/>
      <c r="J593" s="26"/>
      <c r="L593" s="26"/>
      <c r="Q593" s="26"/>
    </row>
    <row r="594">
      <c r="A594" s="26"/>
      <c r="E594" s="26"/>
      <c r="F594" s="28"/>
      <c r="J594" s="26"/>
      <c r="L594" s="26"/>
      <c r="Q594" s="26"/>
    </row>
    <row r="595">
      <c r="A595" s="26"/>
      <c r="E595" s="26"/>
      <c r="F595" s="28"/>
      <c r="J595" s="26"/>
      <c r="L595" s="26"/>
      <c r="Q595" s="26"/>
    </row>
    <row r="596">
      <c r="A596" s="26"/>
      <c r="E596" s="26"/>
      <c r="F596" s="28"/>
      <c r="J596" s="26"/>
      <c r="L596" s="26"/>
      <c r="Q596" s="26"/>
    </row>
    <row r="597">
      <c r="A597" s="26"/>
      <c r="E597" s="26"/>
      <c r="F597" s="28"/>
      <c r="J597" s="26"/>
      <c r="L597" s="26"/>
      <c r="Q597" s="26"/>
    </row>
    <row r="598">
      <c r="A598" s="26"/>
      <c r="E598" s="26"/>
      <c r="F598" s="28"/>
      <c r="J598" s="26"/>
      <c r="L598" s="26"/>
      <c r="Q598" s="26"/>
    </row>
    <row r="599">
      <c r="A599" s="26"/>
      <c r="E599" s="26"/>
      <c r="F599" s="28"/>
      <c r="J599" s="26"/>
      <c r="L599" s="26"/>
      <c r="Q599" s="26"/>
    </row>
    <row r="600">
      <c r="A600" s="26"/>
      <c r="E600" s="26"/>
      <c r="F600" s="28"/>
      <c r="J600" s="26"/>
      <c r="L600" s="26"/>
      <c r="Q600" s="26"/>
    </row>
    <row r="601">
      <c r="A601" s="26"/>
      <c r="E601" s="26"/>
      <c r="F601" s="28"/>
      <c r="J601" s="26"/>
      <c r="L601" s="26"/>
      <c r="Q601" s="26"/>
    </row>
    <row r="602">
      <c r="A602" s="26"/>
      <c r="E602" s="26"/>
      <c r="F602" s="28"/>
      <c r="J602" s="26"/>
      <c r="L602" s="26"/>
      <c r="Q602" s="26"/>
    </row>
    <row r="603">
      <c r="A603" s="26"/>
      <c r="E603" s="26"/>
      <c r="F603" s="28"/>
      <c r="J603" s="26"/>
      <c r="L603" s="26"/>
      <c r="Q603" s="26"/>
    </row>
    <row r="604">
      <c r="A604" s="26"/>
      <c r="E604" s="26"/>
      <c r="F604" s="28"/>
      <c r="J604" s="26"/>
      <c r="L604" s="26"/>
      <c r="Q604" s="26"/>
    </row>
    <row r="605">
      <c r="A605" s="26"/>
      <c r="E605" s="26"/>
      <c r="F605" s="28"/>
      <c r="J605" s="26"/>
      <c r="L605" s="26"/>
      <c r="Q605" s="26"/>
    </row>
    <row r="606">
      <c r="A606" s="26"/>
      <c r="E606" s="26"/>
      <c r="F606" s="28"/>
      <c r="J606" s="26"/>
      <c r="L606" s="26"/>
      <c r="Q606" s="26"/>
    </row>
    <row r="607">
      <c r="A607" s="26"/>
      <c r="E607" s="26"/>
      <c r="F607" s="28"/>
      <c r="J607" s="26"/>
      <c r="L607" s="26"/>
      <c r="Q607" s="26"/>
    </row>
    <row r="608">
      <c r="A608" s="26"/>
      <c r="E608" s="26"/>
      <c r="F608" s="28"/>
      <c r="J608" s="26"/>
      <c r="L608" s="26"/>
      <c r="Q608" s="26"/>
    </row>
    <row r="609">
      <c r="A609" s="26"/>
      <c r="E609" s="26"/>
      <c r="F609" s="28"/>
      <c r="J609" s="26"/>
      <c r="L609" s="26"/>
      <c r="Q609" s="26"/>
    </row>
    <row r="610">
      <c r="A610" s="26"/>
      <c r="E610" s="26"/>
      <c r="F610" s="28"/>
      <c r="J610" s="26"/>
      <c r="L610" s="26"/>
      <c r="Q610" s="26"/>
    </row>
    <row r="611">
      <c r="A611" s="26"/>
      <c r="E611" s="26"/>
      <c r="F611" s="28"/>
      <c r="J611" s="26"/>
      <c r="L611" s="26"/>
      <c r="Q611" s="26"/>
    </row>
    <row r="612">
      <c r="A612" s="26"/>
      <c r="E612" s="26"/>
      <c r="F612" s="28"/>
      <c r="J612" s="26"/>
      <c r="L612" s="26"/>
      <c r="Q612" s="26"/>
    </row>
    <row r="613">
      <c r="A613" s="26"/>
      <c r="E613" s="26"/>
      <c r="F613" s="28"/>
      <c r="J613" s="26"/>
      <c r="L613" s="26"/>
      <c r="Q613" s="26"/>
    </row>
    <row r="614">
      <c r="A614" s="26"/>
      <c r="E614" s="26"/>
      <c r="F614" s="28"/>
      <c r="J614" s="26"/>
      <c r="L614" s="26"/>
      <c r="Q614" s="26"/>
    </row>
    <row r="615">
      <c r="A615" s="26"/>
      <c r="E615" s="26"/>
      <c r="F615" s="28"/>
      <c r="J615" s="26"/>
      <c r="L615" s="26"/>
      <c r="Q615" s="26"/>
    </row>
    <row r="616">
      <c r="A616" s="26"/>
      <c r="E616" s="26"/>
      <c r="F616" s="28"/>
      <c r="J616" s="26"/>
      <c r="L616" s="26"/>
      <c r="Q616" s="26"/>
    </row>
    <row r="617">
      <c r="A617" s="26"/>
      <c r="E617" s="26"/>
      <c r="F617" s="28"/>
      <c r="J617" s="26"/>
      <c r="L617" s="26"/>
      <c r="Q617" s="26"/>
    </row>
    <row r="618">
      <c r="A618" s="26"/>
      <c r="E618" s="26"/>
      <c r="F618" s="28"/>
      <c r="J618" s="26"/>
      <c r="L618" s="26"/>
      <c r="Q618" s="26"/>
    </row>
    <row r="619">
      <c r="A619" s="26"/>
      <c r="E619" s="26"/>
      <c r="F619" s="28"/>
      <c r="J619" s="26"/>
      <c r="L619" s="26"/>
      <c r="Q619" s="26"/>
    </row>
    <row r="620">
      <c r="A620" s="26"/>
      <c r="E620" s="26"/>
      <c r="F620" s="28"/>
      <c r="J620" s="26"/>
      <c r="L620" s="26"/>
      <c r="Q620" s="26"/>
    </row>
    <row r="621">
      <c r="A621" s="26"/>
      <c r="E621" s="26"/>
      <c r="F621" s="28"/>
      <c r="J621" s="26"/>
      <c r="L621" s="26"/>
      <c r="Q621" s="26"/>
    </row>
    <row r="622">
      <c r="A622" s="26"/>
      <c r="E622" s="26"/>
      <c r="F622" s="28"/>
      <c r="J622" s="26"/>
      <c r="L622" s="26"/>
      <c r="Q622" s="26"/>
    </row>
    <row r="623">
      <c r="A623" s="26"/>
      <c r="E623" s="26"/>
      <c r="F623" s="28"/>
      <c r="J623" s="26"/>
      <c r="L623" s="26"/>
      <c r="Q623" s="26"/>
    </row>
    <row r="624">
      <c r="A624" s="26"/>
      <c r="E624" s="26"/>
      <c r="F624" s="28"/>
      <c r="J624" s="26"/>
      <c r="L624" s="26"/>
      <c r="Q624" s="26"/>
    </row>
    <row r="625">
      <c r="A625" s="26"/>
      <c r="E625" s="26"/>
      <c r="F625" s="28"/>
      <c r="J625" s="26"/>
      <c r="L625" s="26"/>
      <c r="Q625" s="26"/>
    </row>
    <row r="626">
      <c r="A626" s="26"/>
      <c r="E626" s="26"/>
      <c r="F626" s="28"/>
      <c r="J626" s="26"/>
      <c r="L626" s="26"/>
      <c r="Q626" s="26"/>
    </row>
    <row r="627">
      <c r="A627" s="26"/>
      <c r="E627" s="26"/>
      <c r="F627" s="28"/>
      <c r="J627" s="26"/>
      <c r="L627" s="26"/>
      <c r="Q627" s="26"/>
    </row>
    <row r="628">
      <c r="A628" s="26"/>
      <c r="E628" s="26"/>
      <c r="F628" s="28"/>
      <c r="J628" s="26"/>
      <c r="L628" s="26"/>
      <c r="Q628" s="26"/>
    </row>
    <row r="629">
      <c r="A629" s="26"/>
      <c r="E629" s="26"/>
      <c r="F629" s="28"/>
      <c r="J629" s="26"/>
      <c r="L629" s="26"/>
      <c r="Q629" s="26"/>
    </row>
    <row r="630">
      <c r="A630" s="26"/>
      <c r="E630" s="26"/>
      <c r="F630" s="28"/>
      <c r="J630" s="26"/>
      <c r="L630" s="26"/>
      <c r="Q630" s="26"/>
    </row>
    <row r="631">
      <c r="A631" s="26"/>
      <c r="E631" s="26"/>
      <c r="F631" s="28"/>
      <c r="J631" s="26"/>
      <c r="L631" s="26"/>
      <c r="Q631" s="26"/>
    </row>
    <row r="632">
      <c r="A632" s="26"/>
      <c r="E632" s="26"/>
      <c r="F632" s="28"/>
      <c r="J632" s="26"/>
      <c r="L632" s="26"/>
      <c r="Q632" s="26"/>
    </row>
    <row r="633">
      <c r="A633" s="26"/>
      <c r="E633" s="26"/>
      <c r="F633" s="28"/>
      <c r="J633" s="26"/>
      <c r="L633" s="26"/>
      <c r="Q633" s="26"/>
    </row>
    <row r="634">
      <c r="A634" s="26"/>
      <c r="E634" s="26"/>
      <c r="F634" s="28"/>
      <c r="J634" s="26"/>
      <c r="L634" s="26"/>
      <c r="Q634" s="26"/>
    </row>
    <row r="635">
      <c r="A635" s="26"/>
      <c r="E635" s="26"/>
      <c r="F635" s="28"/>
      <c r="J635" s="26"/>
      <c r="L635" s="26"/>
      <c r="Q635" s="26"/>
    </row>
    <row r="636">
      <c r="A636" s="26"/>
      <c r="E636" s="26"/>
      <c r="F636" s="28"/>
      <c r="J636" s="26"/>
      <c r="L636" s="26"/>
      <c r="Q636" s="26"/>
    </row>
    <row r="637">
      <c r="A637" s="26"/>
      <c r="E637" s="26"/>
      <c r="F637" s="28"/>
      <c r="J637" s="26"/>
      <c r="L637" s="26"/>
      <c r="Q637" s="26"/>
    </row>
    <row r="638">
      <c r="A638" s="26"/>
      <c r="E638" s="26"/>
      <c r="F638" s="28"/>
      <c r="J638" s="26"/>
      <c r="L638" s="26"/>
      <c r="Q638" s="26"/>
    </row>
    <row r="639">
      <c r="A639" s="26"/>
      <c r="E639" s="26"/>
      <c r="F639" s="28"/>
      <c r="J639" s="26"/>
      <c r="L639" s="26"/>
      <c r="Q639" s="26"/>
    </row>
    <row r="640">
      <c r="A640" s="26"/>
      <c r="E640" s="26"/>
      <c r="F640" s="28"/>
      <c r="J640" s="26"/>
      <c r="L640" s="26"/>
      <c r="Q640" s="26"/>
    </row>
    <row r="641">
      <c r="A641" s="26"/>
      <c r="E641" s="26"/>
      <c r="F641" s="28"/>
      <c r="J641" s="26"/>
      <c r="L641" s="26"/>
      <c r="Q641" s="26"/>
    </row>
    <row r="642">
      <c r="A642" s="26"/>
      <c r="E642" s="26"/>
      <c r="F642" s="28"/>
      <c r="J642" s="26"/>
      <c r="L642" s="26"/>
      <c r="Q642" s="26"/>
    </row>
    <row r="643">
      <c r="A643" s="26"/>
      <c r="E643" s="26"/>
      <c r="F643" s="28"/>
      <c r="J643" s="26"/>
      <c r="L643" s="26"/>
      <c r="Q643" s="26"/>
    </row>
    <row r="644">
      <c r="A644" s="26"/>
      <c r="E644" s="26"/>
      <c r="F644" s="28"/>
      <c r="J644" s="26"/>
      <c r="L644" s="26"/>
      <c r="Q644" s="26"/>
    </row>
    <row r="645">
      <c r="A645" s="26"/>
      <c r="E645" s="26"/>
      <c r="F645" s="28"/>
      <c r="J645" s="26"/>
      <c r="L645" s="26"/>
      <c r="Q645" s="26"/>
    </row>
    <row r="646">
      <c r="A646" s="26"/>
      <c r="E646" s="26"/>
      <c r="F646" s="28"/>
      <c r="J646" s="26"/>
      <c r="L646" s="26"/>
      <c r="Q646" s="26"/>
    </row>
    <row r="647">
      <c r="A647" s="26"/>
      <c r="E647" s="26"/>
      <c r="F647" s="28"/>
      <c r="J647" s="26"/>
      <c r="L647" s="26"/>
      <c r="Q647" s="26"/>
    </row>
    <row r="648">
      <c r="A648" s="26"/>
      <c r="E648" s="26"/>
      <c r="F648" s="28"/>
      <c r="J648" s="26"/>
      <c r="L648" s="26"/>
      <c r="Q648" s="26"/>
    </row>
    <row r="649">
      <c r="A649" s="26"/>
      <c r="E649" s="26"/>
      <c r="F649" s="28"/>
      <c r="J649" s="26"/>
      <c r="L649" s="26"/>
      <c r="Q649" s="26"/>
    </row>
    <row r="650">
      <c r="A650" s="26"/>
      <c r="E650" s="26"/>
      <c r="F650" s="28"/>
      <c r="J650" s="26"/>
      <c r="L650" s="26"/>
      <c r="Q650" s="26"/>
    </row>
    <row r="651">
      <c r="A651" s="26"/>
      <c r="E651" s="26"/>
      <c r="F651" s="28"/>
      <c r="J651" s="26"/>
      <c r="L651" s="26"/>
      <c r="Q651" s="26"/>
    </row>
    <row r="652">
      <c r="A652" s="26"/>
      <c r="E652" s="26"/>
      <c r="F652" s="28"/>
      <c r="J652" s="26"/>
      <c r="L652" s="26"/>
      <c r="Q652" s="26"/>
    </row>
    <row r="653">
      <c r="A653" s="26"/>
      <c r="E653" s="26"/>
      <c r="F653" s="28"/>
      <c r="J653" s="26"/>
      <c r="L653" s="26"/>
      <c r="Q653" s="26"/>
    </row>
    <row r="654">
      <c r="A654" s="26"/>
      <c r="E654" s="26"/>
      <c r="F654" s="28"/>
      <c r="J654" s="26"/>
      <c r="L654" s="26"/>
      <c r="Q654" s="26"/>
    </row>
    <row r="655">
      <c r="A655" s="26"/>
      <c r="E655" s="26"/>
      <c r="F655" s="28"/>
      <c r="J655" s="26"/>
      <c r="L655" s="26"/>
      <c r="Q655" s="26"/>
    </row>
    <row r="656">
      <c r="A656" s="26"/>
      <c r="E656" s="26"/>
      <c r="F656" s="28"/>
      <c r="J656" s="26"/>
      <c r="L656" s="26"/>
      <c r="Q656" s="26"/>
    </row>
    <row r="657">
      <c r="A657" s="26"/>
      <c r="E657" s="26"/>
      <c r="F657" s="28"/>
      <c r="J657" s="26"/>
      <c r="L657" s="26"/>
      <c r="Q657" s="26"/>
    </row>
    <row r="658">
      <c r="A658" s="26"/>
      <c r="E658" s="26"/>
      <c r="F658" s="28"/>
      <c r="J658" s="26"/>
      <c r="L658" s="26"/>
      <c r="Q658" s="26"/>
    </row>
    <row r="659">
      <c r="A659" s="26"/>
      <c r="E659" s="26"/>
      <c r="F659" s="28"/>
      <c r="J659" s="26"/>
      <c r="L659" s="26"/>
      <c r="Q659" s="26"/>
    </row>
    <row r="660">
      <c r="A660" s="26"/>
      <c r="E660" s="26"/>
      <c r="F660" s="28"/>
      <c r="J660" s="26"/>
      <c r="L660" s="26"/>
      <c r="Q660" s="26"/>
    </row>
    <row r="661">
      <c r="A661" s="26"/>
      <c r="E661" s="26"/>
      <c r="F661" s="28"/>
      <c r="J661" s="26"/>
      <c r="L661" s="26"/>
      <c r="Q661" s="26"/>
    </row>
    <row r="662">
      <c r="A662" s="26"/>
      <c r="E662" s="26"/>
      <c r="F662" s="28"/>
      <c r="J662" s="26"/>
      <c r="L662" s="26"/>
      <c r="Q662" s="26"/>
    </row>
    <row r="663">
      <c r="A663" s="26"/>
      <c r="E663" s="26"/>
      <c r="F663" s="28"/>
      <c r="J663" s="26"/>
      <c r="L663" s="26"/>
      <c r="Q663" s="26"/>
    </row>
    <row r="664">
      <c r="A664" s="26"/>
      <c r="E664" s="26"/>
      <c r="F664" s="28"/>
      <c r="J664" s="26"/>
      <c r="L664" s="26"/>
      <c r="Q664" s="26"/>
    </row>
    <row r="665">
      <c r="A665" s="26"/>
      <c r="E665" s="26"/>
      <c r="F665" s="28"/>
      <c r="J665" s="26"/>
      <c r="L665" s="26"/>
      <c r="Q665" s="26"/>
    </row>
    <row r="666">
      <c r="A666" s="26"/>
      <c r="E666" s="26"/>
      <c r="F666" s="28"/>
      <c r="J666" s="26"/>
      <c r="L666" s="26"/>
      <c r="Q666" s="26"/>
    </row>
    <row r="667">
      <c r="A667" s="26"/>
      <c r="E667" s="26"/>
      <c r="F667" s="28"/>
      <c r="J667" s="26"/>
      <c r="L667" s="26"/>
      <c r="Q667" s="26"/>
    </row>
    <row r="668">
      <c r="A668" s="26"/>
      <c r="E668" s="26"/>
      <c r="F668" s="28"/>
      <c r="J668" s="26"/>
      <c r="L668" s="26"/>
      <c r="Q668" s="26"/>
    </row>
    <row r="669">
      <c r="A669" s="26"/>
      <c r="E669" s="26"/>
      <c r="F669" s="28"/>
      <c r="J669" s="26"/>
      <c r="L669" s="26"/>
      <c r="Q669" s="26"/>
    </row>
    <row r="670">
      <c r="A670" s="26"/>
      <c r="E670" s="26"/>
      <c r="F670" s="28"/>
      <c r="J670" s="26"/>
      <c r="L670" s="26"/>
      <c r="Q670" s="26"/>
    </row>
    <row r="671">
      <c r="A671" s="26"/>
      <c r="E671" s="26"/>
      <c r="F671" s="28"/>
      <c r="J671" s="26"/>
      <c r="L671" s="26"/>
      <c r="Q671" s="26"/>
    </row>
    <row r="672">
      <c r="A672" s="26"/>
      <c r="E672" s="26"/>
      <c r="F672" s="28"/>
      <c r="J672" s="26"/>
      <c r="L672" s="26"/>
      <c r="Q672" s="26"/>
    </row>
    <row r="673">
      <c r="A673" s="26"/>
      <c r="E673" s="26"/>
      <c r="F673" s="28"/>
      <c r="J673" s="26"/>
      <c r="L673" s="26"/>
      <c r="Q673" s="26"/>
    </row>
    <row r="674">
      <c r="A674" s="26"/>
      <c r="E674" s="26"/>
      <c r="F674" s="28"/>
      <c r="J674" s="26"/>
      <c r="L674" s="26"/>
      <c r="Q674" s="26"/>
    </row>
    <row r="675">
      <c r="A675" s="26"/>
      <c r="E675" s="26"/>
      <c r="F675" s="28"/>
      <c r="J675" s="26"/>
      <c r="L675" s="26"/>
      <c r="Q675" s="26"/>
    </row>
    <row r="676">
      <c r="A676" s="26"/>
      <c r="E676" s="26"/>
      <c r="F676" s="28"/>
      <c r="J676" s="26"/>
      <c r="L676" s="26"/>
      <c r="Q676" s="26"/>
    </row>
    <row r="677">
      <c r="A677" s="26"/>
      <c r="E677" s="26"/>
      <c r="F677" s="28"/>
      <c r="J677" s="26"/>
      <c r="L677" s="26"/>
      <c r="Q677" s="26"/>
    </row>
    <row r="678">
      <c r="A678" s="26"/>
      <c r="E678" s="26"/>
      <c r="F678" s="28"/>
      <c r="J678" s="26"/>
      <c r="L678" s="26"/>
      <c r="Q678" s="26"/>
    </row>
    <row r="679">
      <c r="A679" s="26"/>
      <c r="E679" s="26"/>
      <c r="F679" s="28"/>
      <c r="J679" s="26"/>
      <c r="L679" s="26"/>
      <c r="Q679" s="26"/>
    </row>
    <row r="680">
      <c r="A680" s="26"/>
      <c r="E680" s="26"/>
      <c r="F680" s="28"/>
      <c r="J680" s="26"/>
      <c r="L680" s="26"/>
      <c r="Q680" s="26"/>
    </row>
    <row r="681">
      <c r="A681" s="26"/>
      <c r="E681" s="26"/>
      <c r="F681" s="28"/>
      <c r="J681" s="26"/>
      <c r="L681" s="26"/>
      <c r="Q681" s="26"/>
    </row>
    <row r="682">
      <c r="A682" s="26"/>
      <c r="E682" s="26"/>
      <c r="F682" s="28"/>
      <c r="J682" s="26"/>
      <c r="L682" s="26"/>
      <c r="Q682" s="26"/>
    </row>
    <row r="683">
      <c r="A683" s="26"/>
      <c r="E683" s="26"/>
      <c r="F683" s="28"/>
      <c r="J683" s="26"/>
      <c r="L683" s="26"/>
      <c r="Q683" s="26"/>
    </row>
    <row r="684">
      <c r="A684" s="26"/>
      <c r="E684" s="26"/>
      <c r="F684" s="28"/>
      <c r="J684" s="26"/>
      <c r="L684" s="26"/>
      <c r="Q684" s="26"/>
    </row>
    <row r="685">
      <c r="A685" s="26"/>
      <c r="E685" s="26"/>
      <c r="F685" s="28"/>
      <c r="J685" s="26"/>
      <c r="L685" s="26"/>
      <c r="Q685" s="26"/>
    </row>
    <row r="686">
      <c r="A686" s="26"/>
      <c r="E686" s="26"/>
      <c r="F686" s="28"/>
      <c r="J686" s="26"/>
      <c r="L686" s="26"/>
      <c r="Q686" s="26"/>
    </row>
    <row r="687">
      <c r="A687" s="26"/>
      <c r="E687" s="26"/>
      <c r="F687" s="28"/>
      <c r="J687" s="26"/>
      <c r="L687" s="26"/>
      <c r="Q687" s="26"/>
    </row>
    <row r="688">
      <c r="A688" s="26"/>
      <c r="E688" s="26"/>
      <c r="F688" s="28"/>
      <c r="J688" s="26"/>
      <c r="L688" s="26"/>
      <c r="Q688" s="26"/>
    </row>
    <row r="689">
      <c r="A689" s="26"/>
      <c r="E689" s="26"/>
      <c r="F689" s="28"/>
      <c r="J689" s="26"/>
      <c r="L689" s="26"/>
      <c r="Q689" s="26"/>
    </row>
    <row r="690">
      <c r="A690" s="26"/>
      <c r="E690" s="26"/>
      <c r="F690" s="28"/>
      <c r="J690" s="26"/>
      <c r="L690" s="26"/>
      <c r="Q690" s="26"/>
    </row>
    <row r="691">
      <c r="A691" s="26"/>
      <c r="E691" s="26"/>
      <c r="F691" s="28"/>
      <c r="J691" s="26"/>
      <c r="L691" s="26"/>
      <c r="Q691" s="26"/>
    </row>
    <row r="692">
      <c r="A692" s="26"/>
      <c r="E692" s="26"/>
      <c r="F692" s="28"/>
      <c r="J692" s="26"/>
      <c r="L692" s="26"/>
      <c r="Q692" s="26"/>
    </row>
    <row r="693">
      <c r="A693" s="26"/>
      <c r="E693" s="26"/>
      <c r="F693" s="28"/>
      <c r="J693" s="26"/>
      <c r="L693" s="26"/>
      <c r="Q693" s="26"/>
    </row>
    <row r="694">
      <c r="A694" s="26"/>
      <c r="E694" s="26"/>
      <c r="F694" s="28"/>
      <c r="J694" s="26"/>
      <c r="L694" s="26"/>
      <c r="Q694" s="26"/>
    </row>
    <row r="695">
      <c r="A695" s="26"/>
      <c r="E695" s="26"/>
      <c r="F695" s="28"/>
      <c r="J695" s="26"/>
      <c r="L695" s="26"/>
      <c r="Q695" s="26"/>
    </row>
    <row r="696">
      <c r="A696" s="26"/>
      <c r="E696" s="26"/>
      <c r="F696" s="28"/>
      <c r="J696" s="26"/>
      <c r="L696" s="26"/>
      <c r="Q696" s="26"/>
    </row>
    <row r="697">
      <c r="A697" s="26"/>
      <c r="E697" s="26"/>
      <c r="F697" s="28"/>
      <c r="J697" s="26"/>
      <c r="L697" s="26"/>
      <c r="Q697" s="26"/>
    </row>
    <row r="698">
      <c r="A698" s="26"/>
      <c r="E698" s="26"/>
      <c r="F698" s="28"/>
      <c r="J698" s="26"/>
      <c r="L698" s="26"/>
      <c r="Q698" s="26"/>
    </row>
    <row r="699">
      <c r="A699" s="26"/>
      <c r="E699" s="26"/>
      <c r="F699" s="28"/>
      <c r="J699" s="26"/>
      <c r="L699" s="26"/>
      <c r="Q699" s="26"/>
    </row>
    <row r="700">
      <c r="A700" s="26"/>
      <c r="E700" s="26"/>
      <c r="F700" s="28"/>
      <c r="J700" s="26"/>
      <c r="L700" s="26"/>
      <c r="Q700" s="26"/>
    </row>
    <row r="701">
      <c r="A701" s="26"/>
      <c r="E701" s="26"/>
      <c r="F701" s="28"/>
      <c r="J701" s="26"/>
      <c r="L701" s="26"/>
      <c r="Q701" s="26"/>
    </row>
    <row r="702">
      <c r="A702" s="26"/>
      <c r="E702" s="26"/>
      <c r="F702" s="28"/>
      <c r="J702" s="26"/>
      <c r="L702" s="26"/>
      <c r="Q702" s="26"/>
    </row>
    <row r="703">
      <c r="A703" s="26"/>
      <c r="E703" s="26"/>
      <c r="F703" s="28"/>
      <c r="J703" s="26"/>
      <c r="L703" s="26"/>
      <c r="Q703" s="26"/>
    </row>
    <row r="704">
      <c r="A704" s="26"/>
      <c r="E704" s="26"/>
      <c r="F704" s="28"/>
      <c r="J704" s="26"/>
      <c r="L704" s="26"/>
      <c r="Q704" s="26"/>
    </row>
    <row r="705">
      <c r="A705" s="26"/>
      <c r="E705" s="26"/>
      <c r="F705" s="28"/>
      <c r="J705" s="26"/>
      <c r="L705" s="26"/>
      <c r="Q705" s="26"/>
    </row>
    <row r="706">
      <c r="A706" s="26"/>
      <c r="E706" s="26"/>
      <c r="F706" s="28"/>
      <c r="J706" s="26"/>
      <c r="L706" s="26"/>
      <c r="Q706" s="26"/>
    </row>
    <row r="707">
      <c r="A707" s="26"/>
      <c r="E707" s="26"/>
      <c r="F707" s="28"/>
      <c r="J707" s="26"/>
      <c r="L707" s="26"/>
      <c r="Q707" s="26"/>
    </row>
    <row r="708">
      <c r="A708" s="26"/>
      <c r="E708" s="26"/>
      <c r="F708" s="28"/>
      <c r="J708" s="26"/>
      <c r="L708" s="26"/>
      <c r="Q708" s="26"/>
    </row>
    <row r="709">
      <c r="A709" s="26"/>
      <c r="E709" s="26"/>
      <c r="F709" s="28"/>
      <c r="J709" s="26"/>
      <c r="L709" s="26"/>
      <c r="Q709" s="26"/>
    </row>
    <row r="710">
      <c r="A710" s="26"/>
      <c r="E710" s="26"/>
      <c r="F710" s="28"/>
      <c r="J710" s="26"/>
      <c r="L710" s="26"/>
      <c r="Q710" s="26"/>
    </row>
    <row r="711">
      <c r="A711" s="26"/>
      <c r="E711" s="26"/>
      <c r="F711" s="28"/>
      <c r="J711" s="26"/>
      <c r="L711" s="26"/>
      <c r="Q711" s="26"/>
    </row>
    <row r="712">
      <c r="A712" s="26"/>
      <c r="E712" s="26"/>
      <c r="F712" s="28"/>
      <c r="J712" s="26"/>
      <c r="L712" s="26"/>
      <c r="Q712" s="26"/>
    </row>
    <row r="713">
      <c r="A713" s="26"/>
      <c r="E713" s="26"/>
      <c r="F713" s="28"/>
      <c r="J713" s="26"/>
      <c r="L713" s="26"/>
      <c r="Q713" s="26"/>
    </row>
    <row r="714">
      <c r="A714" s="26"/>
      <c r="E714" s="26"/>
      <c r="F714" s="28"/>
      <c r="J714" s="26"/>
      <c r="L714" s="26"/>
      <c r="Q714" s="26"/>
    </row>
    <row r="715">
      <c r="A715" s="26"/>
      <c r="E715" s="26"/>
      <c r="F715" s="28"/>
      <c r="J715" s="26"/>
      <c r="L715" s="26"/>
      <c r="Q715" s="26"/>
    </row>
    <row r="716">
      <c r="A716" s="26"/>
      <c r="E716" s="26"/>
      <c r="F716" s="28"/>
      <c r="J716" s="26"/>
      <c r="L716" s="26"/>
      <c r="Q716" s="26"/>
    </row>
    <row r="717">
      <c r="A717" s="26"/>
      <c r="E717" s="26"/>
      <c r="F717" s="28"/>
      <c r="J717" s="26"/>
      <c r="L717" s="26"/>
      <c r="Q717" s="26"/>
    </row>
    <row r="718">
      <c r="A718" s="26"/>
      <c r="E718" s="26"/>
      <c r="F718" s="28"/>
      <c r="J718" s="26"/>
      <c r="L718" s="26"/>
      <c r="Q718" s="26"/>
    </row>
    <row r="719">
      <c r="A719" s="26"/>
      <c r="E719" s="26"/>
      <c r="F719" s="28"/>
      <c r="J719" s="26"/>
      <c r="L719" s="26"/>
      <c r="Q719" s="26"/>
    </row>
    <row r="720">
      <c r="A720" s="26"/>
      <c r="E720" s="26"/>
      <c r="F720" s="28"/>
      <c r="J720" s="26"/>
      <c r="L720" s="26"/>
      <c r="Q720" s="26"/>
    </row>
    <row r="721">
      <c r="A721" s="26"/>
      <c r="E721" s="26"/>
      <c r="F721" s="28"/>
      <c r="J721" s="26"/>
      <c r="L721" s="26"/>
      <c r="Q721" s="26"/>
    </row>
    <row r="722">
      <c r="A722" s="26"/>
      <c r="E722" s="26"/>
      <c r="F722" s="28"/>
      <c r="J722" s="26"/>
      <c r="L722" s="26"/>
      <c r="Q722" s="26"/>
    </row>
    <row r="723">
      <c r="A723" s="26"/>
      <c r="E723" s="26"/>
      <c r="F723" s="28"/>
      <c r="J723" s="26"/>
      <c r="L723" s="26"/>
      <c r="Q723" s="26"/>
    </row>
    <row r="724">
      <c r="A724" s="26"/>
      <c r="E724" s="26"/>
      <c r="F724" s="28"/>
      <c r="J724" s="26"/>
      <c r="L724" s="26"/>
      <c r="Q724" s="26"/>
    </row>
    <row r="725">
      <c r="A725" s="26"/>
      <c r="E725" s="26"/>
      <c r="F725" s="28"/>
      <c r="J725" s="26"/>
      <c r="L725" s="26"/>
      <c r="Q725" s="26"/>
    </row>
    <row r="726">
      <c r="A726" s="26"/>
      <c r="E726" s="26"/>
      <c r="F726" s="28"/>
      <c r="J726" s="26"/>
      <c r="L726" s="26"/>
      <c r="Q726" s="26"/>
    </row>
    <row r="727">
      <c r="A727" s="26"/>
      <c r="E727" s="26"/>
      <c r="F727" s="28"/>
      <c r="J727" s="26"/>
      <c r="L727" s="26"/>
      <c r="Q727" s="26"/>
    </row>
    <row r="728">
      <c r="A728" s="26"/>
      <c r="E728" s="26"/>
      <c r="F728" s="28"/>
      <c r="J728" s="26"/>
      <c r="L728" s="26"/>
      <c r="Q728" s="26"/>
    </row>
    <row r="729">
      <c r="A729" s="26"/>
      <c r="E729" s="26"/>
      <c r="F729" s="28"/>
      <c r="J729" s="26"/>
      <c r="L729" s="26"/>
      <c r="Q729" s="26"/>
    </row>
    <row r="730">
      <c r="A730" s="26"/>
      <c r="E730" s="26"/>
      <c r="F730" s="28"/>
      <c r="J730" s="26"/>
      <c r="L730" s="26"/>
      <c r="Q730" s="26"/>
    </row>
    <row r="731">
      <c r="A731" s="26"/>
      <c r="E731" s="26"/>
      <c r="F731" s="28"/>
      <c r="J731" s="26"/>
      <c r="L731" s="26"/>
      <c r="Q731" s="26"/>
    </row>
    <row r="732">
      <c r="A732" s="26"/>
      <c r="E732" s="26"/>
      <c r="F732" s="28"/>
      <c r="J732" s="26"/>
      <c r="L732" s="26"/>
      <c r="Q732" s="26"/>
    </row>
    <row r="733">
      <c r="A733" s="26"/>
      <c r="E733" s="26"/>
      <c r="F733" s="28"/>
      <c r="J733" s="26"/>
      <c r="L733" s="26"/>
      <c r="Q733" s="26"/>
    </row>
    <row r="734">
      <c r="A734" s="26"/>
      <c r="E734" s="26"/>
      <c r="F734" s="28"/>
      <c r="J734" s="26"/>
      <c r="L734" s="26"/>
      <c r="Q734" s="26"/>
    </row>
    <row r="735">
      <c r="A735" s="26"/>
      <c r="E735" s="26"/>
      <c r="F735" s="28"/>
      <c r="J735" s="26"/>
      <c r="L735" s="26"/>
      <c r="Q735" s="26"/>
    </row>
    <row r="736">
      <c r="A736" s="26"/>
      <c r="E736" s="26"/>
      <c r="F736" s="28"/>
      <c r="J736" s="26"/>
      <c r="L736" s="26"/>
      <c r="Q736" s="26"/>
    </row>
    <row r="737">
      <c r="A737" s="26"/>
      <c r="E737" s="26"/>
      <c r="F737" s="28"/>
      <c r="J737" s="26"/>
      <c r="L737" s="26"/>
      <c r="Q737" s="26"/>
    </row>
    <row r="738">
      <c r="A738" s="26"/>
      <c r="E738" s="26"/>
      <c r="F738" s="28"/>
      <c r="J738" s="26"/>
      <c r="L738" s="26"/>
      <c r="Q738" s="26"/>
    </row>
    <row r="739">
      <c r="A739" s="26"/>
      <c r="E739" s="26"/>
      <c r="F739" s="28"/>
      <c r="J739" s="26"/>
      <c r="L739" s="26"/>
      <c r="Q739" s="26"/>
    </row>
    <row r="740">
      <c r="A740" s="26"/>
      <c r="E740" s="26"/>
      <c r="F740" s="28"/>
      <c r="J740" s="26"/>
      <c r="L740" s="26"/>
      <c r="Q740" s="26"/>
    </row>
    <row r="741">
      <c r="A741" s="26"/>
      <c r="E741" s="26"/>
      <c r="F741" s="28"/>
      <c r="J741" s="26"/>
      <c r="L741" s="26"/>
      <c r="Q741" s="26"/>
    </row>
    <row r="742">
      <c r="A742" s="26"/>
      <c r="E742" s="26"/>
      <c r="F742" s="28"/>
      <c r="J742" s="26"/>
      <c r="L742" s="26"/>
      <c r="Q742" s="26"/>
    </row>
    <row r="743">
      <c r="A743" s="26"/>
      <c r="E743" s="26"/>
      <c r="F743" s="28"/>
      <c r="J743" s="26"/>
      <c r="L743" s="26"/>
      <c r="Q743" s="26"/>
    </row>
    <row r="744">
      <c r="A744" s="26"/>
      <c r="E744" s="26"/>
      <c r="F744" s="28"/>
      <c r="J744" s="26"/>
      <c r="L744" s="26"/>
      <c r="Q744" s="26"/>
    </row>
    <row r="745">
      <c r="A745" s="26"/>
      <c r="E745" s="26"/>
      <c r="F745" s="28"/>
      <c r="J745" s="26"/>
      <c r="L745" s="26"/>
      <c r="Q745" s="26"/>
    </row>
    <row r="746">
      <c r="A746" s="26"/>
      <c r="E746" s="26"/>
      <c r="F746" s="28"/>
      <c r="J746" s="26"/>
      <c r="L746" s="26"/>
      <c r="Q746" s="26"/>
    </row>
    <row r="747">
      <c r="A747" s="26"/>
      <c r="E747" s="26"/>
      <c r="F747" s="28"/>
      <c r="J747" s="26"/>
      <c r="L747" s="26"/>
      <c r="Q747" s="26"/>
    </row>
    <row r="748">
      <c r="A748" s="26"/>
      <c r="E748" s="26"/>
      <c r="F748" s="28"/>
      <c r="J748" s="26"/>
      <c r="L748" s="26"/>
      <c r="Q748" s="26"/>
    </row>
    <row r="749">
      <c r="A749" s="26"/>
      <c r="E749" s="26"/>
      <c r="F749" s="28"/>
      <c r="J749" s="26"/>
      <c r="L749" s="26"/>
      <c r="Q749" s="26"/>
    </row>
    <row r="750">
      <c r="A750" s="26"/>
      <c r="E750" s="26"/>
      <c r="F750" s="28"/>
      <c r="J750" s="26"/>
      <c r="L750" s="26"/>
      <c r="Q750" s="26"/>
    </row>
    <row r="751">
      <c r="A751" s="26"/>
      <c r="E751" s="26"/>
      <c r="F751" s="28"/>
      <c r="J751" s="26"/>
      <c r="L751" s="26"/>
      <c r="Q751" s="26"/>
    </row>
    <row r="752">
      <c r="A752" s="26"/>
      <c r="E752" s="26"/>
      <c r="F752" s="28"/>
      <c r="J752" s="26"/>
      <c r="L752" s="26"/>
      <c r="Q752" s="26"/>
    </row>
    <row r="753">
      <c r="A753" s="26"/>
      <c r="E753" s="26"/>
      <c r="F753" s="28"/>
      <c r="J753" s="26"/>
      <c r="L753" s="26"/>
      <c r="Q753" s="26"/>
    </row>
    <row r="754">
      <c r="A754" s="26"/>
      <c r="E754" s="26"/>
      <c r="F754" s="28"/>
      <c r="J754" s="26"/>
      <c r="L754" s="26"/>
      <c r="Q754" s="26"/>
    </row>
    <row r="755">
      <c r="A755" s="26"/>
      <c r="E755" s="26"/>
      <c r="F755" s="28"/>
      <c r="J755" s="26"/>
      <c r="L755" s="26"/>
      <c r="Q755" s="26"/>
    </row>
    <row r="756">
      <c r="A756" s="26"/>
      <c r="E756" s="26"/>
      <c r="F756" s="28"/>
      <c r="J756" s="26"/>
      <c r="L756" s="26"/>
      <c r="Q756" s="26"/>
    </row>
    <row r="757">
      <c r="A757" s="26"/>
      <c r="E757" s="26"/>
      <c r="F757" s="28"/>
      <c r="J757" s="26"/>
      <c r="L757" s="26"/>
      <c r="Q757" s="26"/>
    </row>
    <row r="758">
      <c r="A758" s="26"/>
      <c r="E758" s="26"/>
      <c r="F758" s="28"/>
      <c r="J758" s="26"/>
      <c r="L758" s="26"/>
      <c r="Q758" s="26"/>
    </row>
    <row r="759">
      <c r="A759" s="26"/>
      <c r="E759" s="26"/>
      <c r="F759" s="28"/>
      <c r="J759" s="26"/>
      <c r="L759" s="26"/>
      <c r="Q759" s="26"/>
    </row>
    <row r="760">
      <c r="A760" s="26"/>
      <c r="E760" s="26"/>
      <c r="F760" s="28"/>
      <c r="J760" s="26"/>
      <c r="L760" s="26"/>
      <c r="Q760" s="26"/>
    </row>
    <row r="761">
      <c r="A761" s="26"/>
      <c r="E761" s="26"/>
      <c r="F761" s="28"/>
      <c r="J761" s="26"/>
      <c r="L761" s="26"/>
      <c r="Q761" s="26"/>
    </row>
    <row r="762">
      <c r="A762" s="26"/>
      <c r="E762" s="26"/>
      <c r="F762" s="28"/>
      <c r="J762" s="26"/>
      <c r="L762" s="26"/>
      <c r="Q762" s="26"/>
    </row>
    <row r="763">
      <c r="A763" s="26"/>
      <c r="E763" s="26"/>
      <c r="F763" s="28"/>
      <c r="J763" s="26"/>
      <c r="L763" s="26"/>
      <c r="Q763" s="26"/>
    </row>
    <row r="764">
      <c r="A764" s="26"/>
      <c r="E764" s="26"/>
      <c r="F764" s="28"/>
      <c r="J764" s="26"/>
      <c r="L764" s="26"/>
      <c r="Q764" s="26"/>
    </row>
    <row r="765">
      <c r="A765" s="26"/>
      <c r="E765" s="26"/>
      <c r="F765" s="28"/>
      <c r="J765" s="26"/>
      <c r="L765" s="26"/>
      <c r="Q765" s="26"/>
    </row>
    <row r="766">
      <c r="A766" s="26"/>
      <c r="E766" s="26"/>
      <c r="F766" s="28"/>
      <c r="J766" s="26"/>
      <c r="L766" s="26"/>
      <c r="Q766" s="26"/>
    </row>
    <row r="767">
      <c r="A767" s="26"/>
      <c r="E767" s="26"/>
      <c r="F767" s="28"/>
      <c r="J767" s="26"/>
      <c r="L767" s="26"/>
      <c r="Q767" s="26"/>
    </row>
    <row r="768">
      <c r="A768" s="26"/>
      <c r="E768" s="26"/>
      <c r="F768" s="28"/>
      <c r="J768" s="26"/>
      <c r="L768" s="26"/>
      <c r="Q768" s="26"/>
    </row>
    <row r="769">
      <c r="A769" s="26"/>
      <c r="E769" s="26"/>
      <c r="F769" s="28"/>
      <c r="J769" s="26"/>
      <c r="L769" s="26"/>
      <c r="Q769" s="26"/>
    </row>
    <row r="770">
      <c r="A770" s="26"/>
      <c r="E770" s="26"/>
      <c r="F770" s="28"/>
      <c r="J770" s="26"/>
      <c r="L770" s="26"/>
      <c r="Q770" s="26"/>
    </row>
    <row r="771">
      <c r="A771" s="26"/>
      <c r="E771" s="26"/>
      <c r="F771" s="28"/>
      <c r="J771" s="26"/>
      <c r="L771" s="26"/>
      <c r="Q771" s="26"/>
    </row>
    <row r="772">
      <c r="A772" s="26"/>
      <c r="E772" s="26"/>
      <c r="F772" s="28"/>
      <c r="J772" s="26"/>
      <c r="L772" s="26"/>
      <c r="Q772" s="26"/>
    </row>
    <row r="773">
      <c r="A773" s="26"/>
      <c r="E773" s="26"/>
      <c r="F773" s="28"/>
      <c r="J773" s="26"/>
      <c r="L773" s="26"/>
      <c r="Q773" s="26"/>
    </row>
    <row r="774">
      <c r="A774" s="26"/>
      <c r="E774" s="26"/>
      <c r="F774" s="28"/>
      <c r="J774" s="26"/>
      <c r="L774" s="26"/>
      <c r="Q774" s="26"/>
    </row>
    <row r="775">
      <c r="A775" s="26"/>
      <c r="E775" s="26"/>
      <c r="F775" s="28"/>
      <c r="J775" s="26"/>
      <c r="L775" s="26"/>
      <c r="Q775" s="26"/>
    </row>
    <row r="776">
      <c r="A776" s="26"/>
      <c r="E776" s="26"/>
      <c r="F776" s="28"/>
      <c r="J776" s="26"/>
      <c r="L776" s="26"/>
      <c r="Q776" s="26"/>
    </row>
    <row r="777">
      <c r="A777" s="26"/>
      <c r="E777" s="26"/>
      <c r="F777" s="28"/>
      <c r="J777" s="26"/>
      <c r="L777" s="26"/>
      <c r="Q777" s="26"/>
    </row>
    <row r="778">
      <c r="A778" s="26"/>
      <c r="E778" s="26"/>
      <c r="F778" s="28"/>
      <c r="J778" s="26"/>
      <c r="L778" s="26"/>
      <c r="Q778" s="26"/>
    </row>
    <row r="779">
      <c r="A779" s="26"/>
      <c r="E779" s="26"/>
      <c r="F779" s="28"/>
      <c r="J779" s="26"/>
      <c r="L779" s="26"/>
      <c r="Q779" s="26"/>
    </row>
    <row r="780">
      <c r="A780" s="26"/>
      <c r="E780" s="26"/>
      <c r="F780" s="28"/>
      <c r="J780" s="26"/>
      <c r="L780" s="26"/>
      <c r="Q780" s="26"/>
    </row>
    <row r="781">
      <c r="A781" s="26"/>
      <c r="E781" s="26"/>
      <c r="F781" s="28"/>
      <c r="J781" s="26"/>
      <c r="L781" s="26"/>
      <c r="Q781" s="26"/>
    </row>
    <row r="782">
      <c r="A782" s="26"/>
      <c r="E782" s="26"/>
      <c r="F782" s="28"/>
      <c r="J782" s="26"/>
      <c r="L782" s="26"/>
      <c r="Q782" s="26"/>
    </row>
    <row r="783">
      <c r="A783" s="26"/>
      <c r="E783" s="26"/>
      <c r="F783" s="28"/>
      <c r="J783" s="26"/>
      <c r="L783" s="26"/>
      <c r="Q783" s="26"/>
    </row>
    <row r="784">
      <c r="A784" s="26"/>
      <c r="E784" s="26"/>
      <c r="F784" s="28"/>
      <c r="J784" s="26"/>
      <c r="L784" s="26"/>
      <c r="Q784" s="26"/>
    </row>
    <row r="785">
      <c r="A785" s="26"/>
      <c r="E785" s="26"/>
      <c r="F785" s="28"/>
      <c r="J785" s="26"/>
      <c r="L785" s="26"/>
      <c r="Q785" s="26"/>
    </row>
    <row r="786">
      <c r="A786" s="26"/>
      <c r="E786" s="26"/>
      <c r="F786" s="28"/>
      <c r="J786" s="26"/>
      <c r="L786" s="26"/>
      <c r="Q786" s="26"/>
    </row>
    <row r="787">
      <c r="A787" s="26"/>
      <c r="E787" s="26"/>
      <c r="F787" s="28"/>
      <c r="J787" s="26"/>
      <c r="L787" s="26"/>
      <c r="Q787" s="26"/>
    </row>
    <row r="788">
      <c r="A788" s="26"/>
      <c r="E788" s="26"/>
      <c r="F788" s="28"/>
      <c r="J788" s="26"/>
      <c r="L788" s="26"/>
      <c r="Q788" s="26"/>
    </row>
    <row r="789">
      <c r="A789" s="26"/>
      <c r="E789" s="26"/>
      <c r="F789" s="28"/>
      <c r="J789" s="26"/>
      <c r="L789" s="26"/>
      <c r="Q789" s="26"/>
    </row>
    <row r="790">
      <c r="A790" s="26"/>
      <c r="E790" s="26"/>
      <c r="F790" s="28"/>
      <c r="J790" s="26"/>
      <c r="L790" s="26"/>
      <c r="Q790" s="26"/>
    </row>
    <row r="791">
      <c r="A791" s="26"/>
      <c r="E791" s="26"/>
      <c r="F791" s="28"/>
      <c r="J791" s="26"/>
      <c r="L791" s="26"/>
      <c r="Q791" s="26"/>
    </row>
    <row r="792">
      <c r="A792" s="26"/>
      <c r="E792" s="26"/>
      <c r="F792" s="28"/>
      <c r="J792" s="26"/>
      <c r="L792" s="26"/>
      <c r="Q792" s="26"/>
    </row>
    <row r="793">
      <c r="A793" s="26"/>
      <c r="E793" s="26"/>
      <c r="F793" s="28"/>
      <c r="J793" s="26"/>
      <c r="L793" s="26"/>
      <c r="Q793" s="26"/>
    </row>
    <row r="794">
      <c r="A794" s="26"/>
      <c r="E794" s="26"/>
      <c r="F794" s="28"/>
      <c r="J794" s="26"/>
      <c r="L794" s="26"/>
      <c r="Q794" s="26"/>
    </row>
    <row r="795">
      <c r="A795" s="26"/>
      <c r="E795" s="26"/>
      <c r="F795" s="28"/>
      <c r="J795" s="26"/>
      <c r="L795" s="26"/>
      <c r="Q795" s="26"/>
    </row>
    <row r="796">
      <c r="A796" s="26"/>
      <c r="E796" s="26"/>
      <c r="F796" s="28"/>
      <c r="J796" s="26"/>
      <c r="L796" s="26"/>
      <c r="Q796" s="26"/>
    </row>
    <row r="797">
      <c r="A797" s="26"/>
      <c r="E797" s="26"/>
      <c r="F797" s="28"/>
      <c r="J797" s="26"/>
      <c r="L797" s="26"/>
      <c r="Q797" s="26"/>
    </row>
    <row r="798">
      <c r="A798" s="26"/>
      <c r="E798" s="26"/>
      <c r="F798" s="28"/>
      <c r="J798" s="26"/>
      <c r="L798" s="26"/>
      <c r="Q798" s="26"/>
    </row>
    <row r="799">
      <c r="A799" s="26"/>
      <c r="E799" s="26"/>
      <c r="F799" s="28"/>
      <c r="J799" s="26"/>
      <c r="L799" s="26"/>
      <c r="Q799" s="26"/>
    </row>
    <row r="800">
      <c r="A800" s="26"/>
      <c r="E800" s="26"/>
      <c r="F800" s="28"/>
      <c r="J800" s="26"/>
      <c r="L800" s="26"/>
      <c r="Q800" s="26"/>
    </row>
    <row r="801">
      <c r="A801" s="26"/>
      <c r="E801" s="26"/>
      <c r="F801" s="28"/>
      <c r="J801" s="26"/>
      <c r="L801" s="26"/>
      <c r="Q801" s="26"/>
    </row>
    <row r="802">
      <c r="A802" s="26"/>
      <c r="E802" s="26"/>
      <c r="F802" s="28"/>
      <c r="J802" s="26"/>
      <c r="L802" s="26"/>
      <c r="Q802" s="26"/>
    </row>
    <row r="803">
      <c r="A803" s="26"/>
      <c r="E803" s="26"/>
      <c r="F803" s="28"/>
      <c r="J803" s="26"/>
      <c r="L803" s="26"/>
      <c r="Q803" s="26"/>
    </row>
    <row r="804">
      <c r="A804" s="26"/>
      <c r="E804" s="26"/>
      <c r="F804" s="28"/>
      <c r="J804" s="26"/>
      <c r="L804" s="26"/>
      <c r="Q804" s="26"/>
    </row>
    <row r="805">
      <c r="A805" s="26"/>
      <c r="E805" s="26"/>
      <c r="F805" s="28"/>
      <c r="J805" s="26"/>
      <c r="L805" s="26"/>
      <c r="Q805" s="26"/>
    </row>
    <row r="806">
      <c r="A806" s="26"/>
      <c r="E806" s="26"/>
      <c r="F806" s="28"/>
      <c r="J806" s="26"/>
      <c r="L806" s="26"/>
      <c r="Q806" s="26"/>
    </row>
    <row r="807">
      <c r="A807" s="26"/>
      <c r="E807" s="26"/>
      <c r="F807" s="28"/>
      <c r="J807" s="26"/>
      <c r="L807" s="26"/>
      <c r="Q807" s="26"/>
    </row>
    <row r="808">
      <c r="A808" s="26"/>
      <c r="E808" s="26"/>
      <c r="F808" s="28"/>
      <c r="J808" s="26"/>
      <c r="L808" s="26"/>
      <c r="Q808" s="26"/>
    </row>
    <row r="809">
      <c r="A809" s="26"/>
      <c r="E809" s="26"/>
      <c r="F809" s="28"/>
      <c r="J809" s="26"/>
      <c r="L809" s="26"/>
      <c r="Q809" s="26"/>
    </row>
    <row r="810">
      <c r="A810" s="26"/>
      <c r="E810" s="26"/>
      <c r="F810" s="28"/>
      <c r="J810" s="26"/>
      <c r="L810" s="26"/>
      <c r="Q810" s="26"/>
    </row>
    <row r="811">
      <c r="A811" s="26"/>
      <c r="E811" s="26"/>
      <c r="F811" s="28"/>
      <c r="J811" s="26"/>
      <c r="L811" s="26"/>
      <c r="Q811" s="26"/>
    </row>
    <row r="812">
      <c r="A812" s="26"/>
      <c r="E812" s="26"/>
      <c r="F812" s="28"/>
      <c r="J812" s="26"/>
      <c r="L812" s="26"/>
      <c r="Q812" s="26"/>
    </row>
    <row r="813">
      <c r="A813" s="26"/>
      <c r="E813" s="26"/>
      <c r="F813" s="28"/>
      <c r="J813" s="26"/>
      <c r="L813" s="26"/>
      <c r="Q813" s="26"/>
    </row>
    <row r="814">
      <c r="A814" s="26"/>
      <c r="E814" s="26"/>
      <c r="F814" s="28"/>
      <c r="J814" s="26"/>
      <c r="L814" s="26"/>
      <c r="Q814" s="26"/>
    </row>
    <row r="815">
      <c r="A815" s="26"/>
      <c r="E815" s="26"/>
      <c r="F815" s="28"/>
      <c r="J815" s="26"/>
      <c r="L815" s="26"/>
      <c r="Q815" s="26"/>
    </row>
    <row r="816">
      <c r="A816" s="26"/>
      <c r="E816" s="26"/>
      <c r="F816" s="28"/>
      <c r="J816" s="26"/>
      <c r="L816" s="26"/>
      <c r="Q816" s="26"/>
    </row>
    <row r="817">
      <c r="A817" s="26"/>
      <c r="E817" s="26"/>
      <c r="F817" s="28"/>
      <c r="J817" s="26"/>
      <c r="L817" s="26"/>
      <c r="Q817" s="26"/>
    </row>
    <row r="818">
      <c r="A818" s="26"/>
      <c r="E818" s="26"/>
      <c r="F818" s="28"/>
      <c r="J818" s="26"/>
      <c r="L818" s="26"/>
      <c r="Q818" s="26"/>
    </row>
    <row r="819">
      <c r="A819" s="26"/>
      <c r="E819" s="26"/>
      <c r="F819" s="28"/>
      <c r="J819" s="26"/>
      <c r="L819" s="26"/>
      <c r="Q819" s="26"/>
    </row>
    <row r="820">
      <c r="A820" s="26"/>
      <c r="E820" s="26"/>
      <c r="F820" s="28"/>
      <c r="J820" s="26"/>
      <c r="L820" s="26"/>
      <c r="Q820" s="26"/>
    </row>
    <row r="821">
      <c r="A821" s="26"/>
      <c r="E821" s="26"/>
      <c r="F821" s="28"/>
      <c r="J821" s="26"/>
      <c r="L821" s="26"/>
      <c r="Q821" s="26"/>
    </row>
    <row r="822">
      <c r="A822" s="26"/>
      <c r="E822" s="26"/>
      <c r="F822" s="28"/>
      <c r="J822" s="26"/>
      <c r="L822" s="26"/>
      <c r="Q822" s="26"/>
    </row>
    <row r="823">
      <c r="A823" s="26"/>
      <c r="E823" s="26"/>
      <c r="F823" s="28"/>
      <c r="J823" s="26"/>
      <c r="L823" s="26"/>
      <c r="Q823" s="26"/>
    </row>
    <row r="824">
      <c r="A824" s="26"/>
      <c r="E824" s="26"/>
      <c r="F824" s="28"/>
      <c r="J824" s="26"/>
      <c r="L824" s="26"/>
      <c r="Q824" s="26"/>
    </row>
    <row r="825">
      <c r="A825" s="26"/>
      <c r="E825" s="26"/>
      <c r="F825" s="28"/>
      <c r="J825" s="26"/>
      <c r="L825" s="26"/>
      <c r="Q825" s="26"/>
    </row>
    <row r="826">
      <c r="A826" s="26"/>
      <c r="E826" s="26"/>
      <c r="F826" s="28"/>
      <c r="J826" s="26"/>
      <c r="L826" s="26"/>
      <c r="Q826" s="26"/>
    </row>
    <row r="827">
      <c r="A827" s="26"/>
      <c r="E827" s="26"/>
      <c r="F827" s="28"/>
      <c r="J827" s="26"/>
      <c r="L827" s="26"/>
      <c r="Q827" s="26"/>
    </row>
    <row r="828">
      <c r="A828" s="26"/>
      <c r="E828" s="26"/>
      <c r="F828" s="28"/>
      <c r="J828" s="26"/>
      <c r="L828" s="26"/>
      <c r="Q828" s="26"/>
    </row>
    <row r="829">
      <c r="A829" s="26"/>
      <c r="E829" s="26"/>
      <c r="F829" s="28"/>
      <c r="J829" s="26"/>
      <c r="L829" s="26"/>
      <c r="Q829" s="26"/>
    </row>
    <row r="830">
      <c r="A830" s="26"/>
      <c r="E830" s="26"/>
      <c r="F830" s="28"/>
      <c r="J830" s="26"/>
      <c r="L830" s="26"/>
      <c r="Q830" s="26"/>
    </row>
    <row r="831">
      <c r="A831" s="26"/>
      <c r="E831" s="26"/>
      <c r="F831" s="28"/>
      <c r="J831" s="26"/>
      <c r="L831" s="26"/>
      <c r="Q831" s="26"/>
    </row>
    <row r="832">
      <c r="A832" s="26"/>
      <c r="E832" s="26"/>
      <c r="F832" s="28"/>
      <c r="J832" s="26"/>
      <c r="L832" s="26"/>
      <c r="Q832" s="26"/>
    </row>
    <row r="833">
      <c r="A833" s="26"/>
      <c r="E833" s="26"/>
      <c r="F833" s="28"/>
      <c r="J833" s="26"/>
      <c r="L833" s="26"/>
      <c r="Q833" s="26"/>
    </row>
    <row r="834">
      <c r="A834" s="26"/>
      <c r="E834" s="26"/>
      <c r="F834" s="28"/>
      <c r="J834" s="26"/>
      <c r="L834" s="26"/>
      <c r="Q834" s="26"/>
    </row>
    <row r="835">
      <c r="A835" s="26"/>
      <c r="E835" s="26"/>
      <c r="F835" s="28"/>
      <c r="J835" s="26"/>
      <c r="L835" s="26"/>
      <c r="Q835" s="26"/>
    </row>
    <row r="836">
      <c r="A836" s="26"/>
      <c r="E836" s="26"/>
      <c r="F836" s="28"/>
      <c r="J836" s="26"/>
      <c r="L836" s="26"/>
      <c r="Q836" s="26"/>
    </row>
    <row r="837">
      <c r="A837" s="26"/>
      <c r="E837" s="26"/>
      <c r="F837" s="28"/>
      <c r="J837" s="26"/>
      <c r="L837" s="26"/>
      <c r="Q837" s="26"/>
    </row>
    <row r="838">
      <c r="A838" s="26"/>
      <c r="E838" s="26"/>
      <c r="F838" s="28"/>
      <c r="J838" s="26"/>
      <c r="L838" s="26"/>
      <c r="Q838" s="26"/>
    </row>
    <row r="839">
      <c r="A839" s="26"/>
      <c r="E839" s="26"/>
      <c r="F839" s="28"/>
      <c r="J839" s="26"/>
      <c r="L839" s="26"/>
      <c r="Q839" s="26"/>
    </row>
    <row r="840">
      <c r="A840" s="26"/>
      <c r="E840" s="26"/>
      <c r="F840" s="28"/>
      <c r="J840" s="26"/>
      <c r="L840" s="26"/>
      <c r="Q840" s="26"/>
    </row>
    <row r="841">
      <c r="A841" s="26"/>
      <c r="E841" s="26"/>
      <c r="F841" s="28"/>
      <c r="J841" s="26"/>
      <c r="L841" s="26"/>
      <c r="Q841" s="26"/>
    </row>
    <row r="842">
      <c r="A842" s="26"/>
      <c r="E842" s="26"/>
      <c r="F842" s="28"/>
      <c r="J842" s="26"/>
      <c r="L842" s="26"/>
      <c r="Q842" s="26"/>
    </row>
    <row r="843">
      <c r="A843" s="26"/>
      <c r="E843" s="26"/>
      <c r="F843" s="28"/>
      <c r="J843" s="26"/>
      <c r="L843" s="26"/>
      <c r="Q843" s="26"/>
    </row>
    <row r="844">
      <c r="A844" s="26"/>
      <c r="E844" s="26"/>
      <c r="F844" s="28"/>
      <c r="J844" s="26"/>
      <c r="L844" s="26"/>
      <c r="Q844" s="26"/>
    </row>
    <row r="845">
      <c r="A845" s="26"/>
      <c r="E845" s="26"/>
      <c r="F845" s="28"/>
      <c r="J845" s="26"/>
      <c r="L845" s="26"/>
      <c r="Q845" s="26"/>
    </row>
    <row r="846">
      <c r="A846" s="26"/>
      <c r="E846" s="26"/>
      <c r="F846" s="28"/>
      <c r="J846" s="26"/>
      <c r="L846" s="26"/>
      <c r="Q846" s="26"/>
    </row>
    <row r="847">
      <c r="A847" s="26"/>
      <c r="E847" s="26"/>
      <c r="F847" s="28"/>
      <c r="J847" s="26"/>
      <c r="L847" s="26"/>
      <c r="Q847" s="26"/>
    </row>
    <row r="848">
      <c r="A848" s="26"/>
      <c r="E848" s="26"/>
      <c r="F848" s="28"/>
      <c r="J848" s="26"/>
      <c r="L848" s="26"/>
      <c r="Q848" s="26"/>
    </row>
    <row r="849">
      <c r="A849" s="26"/>
      <c r="E849" s="26"/>
      <c r="F849" s="28"/>
      <c r="J849" s="26"/>
      <c r="L849" s="26"/>
      <c r="Q849" s="26"/>
    </row>
    <row r="850">
      <c r="A850" s="26"/>
      <c r="E850" s="26"/>
      <c r="F850" s="28"/>
      <c r="J850" s="26"/>
      <c r="L850" s="26"/>
      <c r="Q850" s="26"/>
    </row>
    <row r="851">
      <c r="A851" s="26"/>
      <c r="E851" s="26"/>
      <c r="F851" s="28"/>
      <c r="J851" s="26"/>
      <c r="L851" s="26"/>
      <c r="Q851" s="26"/>
    </row>
    <row r="852">
      <c r="A852" s="26"/>
      <c r="E852" s="26"/>
      <c r="F852" s="28"/>
      <c r="J852" s="26"/>
      <c r="L852" s="26"/>
      <c r="Q852" s="26"/>
    </row>
    <row r="853">
      <c r="A853" s="26"/>
      <c r="E853" s="26"/>
      <c r="F853" s="28"/>
      <c r="J853" s="26"/>
      <c r="L853" s="26"/>
      <c r="Q853" s="26"/>
    </row>
    <row r="854">
      <c r="A854" s="26"/>
      <c r="E854" s="26"/>
      <c r="F854" s="28"/>
      <c r="J854" s="26"/>
      <c r="L854" s="26"/>
      <c r="Q854" s="26"/>
    </row>
    <row r="855">
      <c r="A855" s="26"/>
      <c r="E855" s="26"/>
      <c r="F855" s="28"/>
      <c r="J855" s="26"/>
      <c r="L855" s="26"/>
      <c r="Q855" s="26"/>
    </row>
    <row r="856">
      <c r="A856" s="26"/>
      <c r="E856" s="26"/>
      <c r="F856" s="28"/>
      <c r="J856" s="26"/>
      <c r="L856" s="26"/>
      <c r="Q856" s="26"/>
    </row>
    <row r="857">
      <c r="A857" s="26"/>
      <c r="E857" s="26"/>
      <c r="F857" s="28"/>
      <c r="J857" s="26"/>
      <c r="L857" s="26"/>
      <c r="Q857" s="26"/>
    </row>
    <row r="858">
      <c r="A858" s="26"/>
      <c r="E858" s="26"/>
      <c r="F858" s="28"/>
      <c r="J858" s="26"/>
      <c r="L858" s="26"/>
      <c r="Q858" s="26"/>
    </row>
    <row r="859">
      <c r="A859" s="26"/>
      <c r="E859" s="26"/>
      <c r="F859" s="28"/>
      <c r="J859" s="26"/>
      <c r="L859" s="26"/>
      <c r="Q859" s="26"/>
    </row>
    <row r="860">
      <c r="A860" s="26"/>
      <c r="E860" s="26"/>
      <c r="F860" s="28"/>
      <c r="J860" s="26"/>
      <c r="L860" s="26"/>
      <c r="Q860" s="26"/>
    </row>
    <row r="861">
      <c r="A861" s="26"/>
      <c r="E861" s="26"/>
      <c r="F861" s="28"/>
      <c r="J861" s="26"/>
      <c r="L861" s="26"/>
      <c r="Q861" s="26"/>
    </row>
    <row r="862">
      <c r="A862" s="26"/>
      <c r="E862" s="26"/>
      <c r="F862" s="28"/>
      <c r="J862" s="26"/>
      <c r="L862" s="26"/>
      <c r="Q862" s="26"/>
    </row>
    <row r="863">
      <c r="A863" s="26"/>
      <c r="E863" s="26"/>
      <c r="F863" s="28"/>
      <c r="J863" s="26"/>
      <c r="L863" s="26"/>
      <c r="Q863" s="26"/>
    </row>
    <row r="864">
      <c r="A864" s="26"/>
      <c r="E864" s="26"/>
      <c r="F864" s="28"/>
      <c r="J864" s="26"/>
      <c r="L864" s="26"/>
      <c r="Q864" s="26"/>
    </row>
    <row r="865">
      <c r="A865" s="26"/>
      <c r="E865" s="26"/>
      <c r="F865" s="28"/>
      <c r="J865" s="26"/>
      <c r="L865" s="26"/>
      <c r="Q865" s="26"/>
    </row>
    <row r="866">
      <c r="A866" s="26"/>
      <c r="E866" s="26"/>
      <c r="F866" s="28"/>
      <c r="J866" s="26"/>
      <c r="L866" s="26"/>
      <c r="Q866" s="26"/>
    </row>
    <row r="867">
      <c r="A867" s="26"/>
      <c r="E867" s="26"/>
      <c r="F867" s="28"/>
      <c r="J867" s="26"/>
      <c r="L867" s="26"/>
      <c r="Q867" s="26"/>
    </row>
    <row r="868">
      <c r="A868" s="26"/>
      <c r="E868" s="26"/>
      <c r="F868" s="28"/>
      <c r="J868" s="26"/>
      <c r="L868" s="26"/>
      <c r="Q868" s="26"/>
    </row>
    <row r="869">
      <c r="A869" s="26"/>
      <c r="E869" s="26"/>
      <c r="F869" s="28"/>
      <c r="J869" s="26"/>
      <c r="L869" s="26"/>
      <c r="Q869" s="26"/>
    </row>
    <row r="870">
      <c r="A870" s="26"/>
      <c r="E870" s="26"/>
      <c r="F870" s="28"/>
      <c r="J870" s="26"/>
      <c r="L870" s="26"/>
      <c r="Q870" s="26"/>
    </row>
    <row r="871">
      <c r="A871" s="26"/>
      <c r="E871" s="26"/>
      <c r="F871" s="28"/>
      <c r="J871" s="26"/>
      <c r="L871" s="26"/>
      <c r="Q871" s="26"/>
    </row>
    <row r="872">
      <c r="A872" s="26"/>
      <c r="E872" s="26"/>
      <c r="F872" s="28"/>
      <c r="J872" s="26"/>
      <c r="L872" s="26"/>
      <c r="Q872" s="26"/>
    </row>
    <row r="873">
      <c r="A873" s="26"/>
      <c r="E873" s="26"/>
      <c r="F873" s="28"/>
      <c r="J873" s="26"/>
      <c r="L873" s="26"/>
      <c r="Q873" s="26"/>
    </row>
    <row r="874">
      <c r="A874" s="26"/>
      <c r="E874" s="26"/>
      <c r="F874" s="28"/>
      <c r="J874" s="26"/>
      <c r="L874" s="26"/>
      <c r="Q874" s="26"/>
    </row>
    <row r="875">
      <c r="A875" s="26"/>
      <c r="E875" s="26"/>
      <c r="F875" s="28"/>
      <c r="J875" s="26"/>
      <c r="L875" s="26"/>
      <c r="Q875" s="26"/>
    </row>
    <row r="876">
      <c r="A876" s="26"/>
      <c r="E876" s="26"/>
      <c r="F876" s="28"/>
      <c r="J876" s="26"/>
      <c r="L876" s="26"/>
      <c r="Q876" s="26"/>
    </row>
    <row r="877">
      <c r="A877" s="26"/>
      <c r="E877" s="26"/>
      <c r="F877" s="28"/>
      <c r="J877" s="26"/>
      <c r="L877" s="26"/>
      <c r="Q877" s="26"/>
    </row>
    <row r="878">
      <c r="A878" s="26"/>
      <c r="E878" s="26"/>
      <c r="F878" s="28"/>
      <c r="J878" s="26"/>
      <c r="L878" s="26"/>
      <c r="Q878" s="26"/>
    </row>
    <row r="879">
      <c r="A879" s="26"/>
      <c r="E879" s="26"/>
      <c r="F879" s="28"/>
      <c r="J879" s="26"/>
      <c r="L879" s="26"/>
      <c r="Q879" s="26"/>
    </row>
    <row r="880">
      <c r="A880" s="26"/>
      <c r="E880" s="26"/>
      <c r="F880" s="28"/>
      <c r="J880" s="26"/>
      <c r="L880" s="26"/>
      <c r="Q880" s="26"/>
    </row>
    <row r="881">
      <c r="A881" s="26"/>
      <c r="E881" s="26"/>
      <c r="F881" s="28"/>
      <c r="J881" s="26"/>
      <c r="L881" s="26"/>
      <c r="Q881" s="26"/>
    </row>
    <row r="882">
      <c r="A882" s="26"/>
      <c r="E882" s="26"/>
      <c r="F882" s="28"/>
      <c r="J882" s="26"/>
      <c r="L882" s="26"/>
      <c r="Q882" s="26"/>
    </row>
    <row r="883">
      <c r="A883" s="26"/>
      <c r="E883" s="26"/>
      <c r="F883" s="28"/>
      <c r="J883" s="26"/>
      <c r="L883" s="26"/>
      <c r="Q883" s="26"/>
    </row>
    <row r="884">
      <c r="A884" s="26"/>
      <c r="E884" s="26"/>
      <c r="F884" s="28"/>
      <c r="J884" s="26"/>
      <c r="L884" s="26"/>
      <c r="Q884" s="26"/>
    </row>
    <row r="885">
      <c r="A885" s="26"/>
      <c r="E885" s="26"/>
      <c r="F885" s="28"/>
      <c r="J885" s="26"/>
      <c r="L885" s="26"/>
      <c r="Q885" s="26"/>
    </row>
    <row r="886">
      <c r="A886" s="26"/>
      <c r="E886" s="26"/>
      <c r="F886" s="28"/>
      <c r="J886" s="26"/>
      <c r="L886" s="26"/>
      <c r="Q886" s="26"/>
    </row>
    <row r="887">
      <c r="A887" s="26"/>
      <c r="E887" s="26"/>
      <c r="F887" s="28"/>
      <c r="J887" s="26"/>
      <c r="L887" s="26"/>
      <c r="Q887" s="26"/>
    </row>
    <row r="888">
      <c r="A888" s="26"/>
      <c r="E888" s="26"/>
      <c r="F888" s="28"/>
      <c r="J888" s="26"/>
      <c r="L888" s="26"/>
      <c r="Q888" s="26"/>
    </row>
    <row r="889">
      <c r="A889" s="26"/>
      <c r="E889" s="26"/>
      <c r="F889" s="28"/>
      <c r="J889" s="26"/>
      <c r="L889" s="26"/>
      <c r="Q889" s="26"/>
    </row>
    <row r="890">
      <c r="A890" s="26"/>
      <c r="E890" s="26"/>
      <c r="F890" s="28"/>
      <c r="J890" s="26"/>
      <c r="L890" s="26"/>
      <c r="Q890" s="26"/>
    </row>
    <row r="891">
      <c r="A891" s="26"/>
      <c r="E891" s="26"/>
      <c r="F891" s="28"/>
      <c r="J891" s="26"/>
      <c r="L891" s="26"/>
      <c r="Q891" s="26"/>
    </row>
    <row r="892">
      <c r="A892" s="26"/>
      <c r="E892" s="26"/>
      <c r="F892" s="28"/>
      <c r="J892" s="26"/>
      <c r="L892" s="26"/>
      <c r="Q892" s="26"/>
    </row>
    <row r="893">
      <c r="A893" s="26"/>
      <c r="E893" s="26"/>
      <c r="F893" s="28"/>
      <c r="J893" s="26"/>
      <c r="L893" s="26"/>
      <c r="Q893" s="26"/>
    </row>
    <row r="894">
      <c r="A894" s="26"/>
      <c r="E894" s="26"/>
      <c r="F894" s="28"/>
      <c r="J894" s="26"/>
      <c r="L894" s="26"/>
      <c r="Q894" s="26"/>
    </row>
    <row r="895">
      <c r="A895" s="26"/>
      <c r="E895" s="26"/>
      <c r="F895" s="28"/>
      <c r="J895" s="26"/>
      <c r="L895" s="26"/>
      <c r="Q895" s="26"/>
    </row>
    <row r="896">
      <c r="A896" s="26"/>
      <c r="E896" s="26"/>
      <c r="F896" s="28"/>
      <c r="J896" s="26"/>
      <c r="L896" s="26"/>
      <c r="Q896" s="26"/>
    </row>
    <row r="897">
      <c r="A897" s="26"/>
      <c r="E897" s="26"/>
      <c r="F897" s="28"/>
      <c r="J897" s="26"/>
      <c r="L897" s="26"/>
      <c r="Q897" s="26"/>
    </row>
    <row r="898">
      <c r="A898" s="26"/>
      <c r="E898" s="26"/>
      <c r="F898" s="28"/>
      <c r="J898" s="26"/>
      <c r="L898" s="26"/>
      <c r="Q898" s="26"/>
    </row>
    <row r="899">
      <c r="A899" s="26"/>
      <c r="E899" s="26"/>
      <c r="F899" s="28"/>
      <c r="J899" s="26"/>
      <c r="L899" s="26"/>
      <c r="Q899" s="26"/>
    </row>
    <row r="900">
      <c r="A900" s="26"/>
      <c r="E900" s="26"/>
      <c r="F900" s="28"/>
      <c r="J900" s="26"/>
      <c r="L900" s="26"/>
      <c r="Q900" s="26"/>
    </row>
    <row r="901">
      <c r="A901" s="26"/>
      <c r="E901" s="26"/>
      <c r="F901" s="28"/>
      <c r="J901" s="26"/>
      <c r="L901" s="26"/>
      <c r="Q901" s="26"/>
    </row>
    <row r="902">
      <c r="A902" s="26"/>
      <c r="E902" s="26"/>
      <c r="F902" s="28"/>
      <c r="J902" s="26"/>
      <c r="L902" s="26"/>
      <c r="Q902" s="26"/>
    </row>
    <row r="903">
      <c r="A903" s="26"/>
      <c r="E903" s="26"/>
      <c r="F903" s="28"/>
      <c r="J903" s="26"/>
      <c r="L903" s="26"/>
      <c r="Q903" s="26"/>
    </row>
    <row r="904">
      <c r="A904" s="26"/>
      <c r="E904" s="26"/>
      <c r="F904" s="28"/>
      <c r="J904" s="26"/>
      <c r="L904" s="26"/>
      <c r="Q904" s="26"/>
    </row>
    <row r="905">
      <c r="A905" s="26"/>
      <c r="E905" s="26"/>
      <c r="F905" s="28"/>
      <c r="J905" s="26"/>
      <c r="L905" s="26"/>
      <c r="Q905" s="26"/>
    </row>
    <row r="906">
      <c r="A906" s="26"/>
      <c r="E906" s="26"/>
      <c r="F906" s="28"/>
      <c r="J906" s="26"/>
      <c r="L906" s="26"/>
      <c r="Q906" s="26"/>
    </row>
    <row r="907">
      <c r="A907" s="26"/>
      <c r="E907" s="26"/>
      <c r="F907" s="28"/>
      <c r="J907" s="26"/>
      <c r="L907" s="26"/>
      <c r="Q907" s="26"/>
    </row>
    <row r="908">
      <c r="A908" s="26"/>
      <c r="E908" s="26"/>
      <c r="F908" s="28"/>
      <c r="J908" s="26"/>
      <c r="L908" s="26"/>
      <c r="Q908" s="26"/>
    </row>
    <row r="909">
      <c r="A909" s="26"/>
      <c r="E909" s="26"/>
      <c r="F909" s="28"/>
      <c r="J909" s="26"/>
      <c r="L909" s="26"/>
      <c r="Q909" s="26"/>
    </row>
    <row r="910">
      <c r="A910" s="26"/>
      <c r="E910" s="26"/>
      <c r="F910" s="28"/>
      <c r="J910" s="26"/>
      <c r="L910" s="26"/>
      <c r="Q910" s="26"/>
    </row>
    <row r="911">
      <c r="A911" s="26"/>
      <c r="E911" s="26"/>
      <c r="F911" s="28"/>
      <c r="J911" s="26"/>
      <c r="L911" s="26"/>
      <c r="Q911" s="26"/>
    </row>
    <row r="912">
      <c r="A912" s="26"/>
      <c r="E912" s="26"/>
      <c r="F912" s="28"/>
      <c r="J912" s="26"/>
      <c r="L912" s="26"/>
      <c r="Q912" s="26"/>
    </row>
    <row r="913">
      <c r="A913" s="26"/>
      <c r="E913" s="26"/>
      <c r="F913" s="28"/>
      <c r="J913" s="26"/>
      <c r="L913" s="26"/>
      <c r="Q913" s="26"/>
    </row>
    <row r="914">
      <c r="A914" s="26"/>
      <c r="E914" s="26"/>
      <c r="F914" s="28"/>
      <c r="J914" s="26"/>
      <c r="L914" s="26"/>
      <c r="Q914" s="26"/>
    </row>
    <row r="915">
      <c r="A915" s="26"/>
      <c r="E915" s="26"/>
      <c r="F915" s="28"/>
      <c r="J915" s="26"/>
      <c r="L915" s="26"/>
      <c r="Q915" s="26"/>
    </row>
    <row r="916">
      <c r="A916" s="26"/>
      <c r="E916" s="26"/>
      <c r="F916" s="28"/>
      <c r="J916" s="26"/>
      <c r="L916" s="26"/>
      <c r="Q916" s="26"/>
    </row>
    <row r="917">
      <c r="A917" s="26"/>
      <c r="E917" s="26"/>
      <c r="F917" s="28"/>
      <c r="J917" s="26"/>
      <c r="L917" s="26"/>
      <c r="Q917" s="26"/>
    </row>
    <row r="918">
      <c r="A918" s="26"/>
      <c r="E918" s="26"/>
      <c r="F918" s="28"/>
      <c r="J918" s="26"/>
      <c r="L918" s="26"/>
      <c r="Q918" s="26"/>
    </row>
    <row r="919">
      <c r="A919" s="26"/>
      <c r="E919" s="26"/>
      <c r="F919" s="28"/>
      <c r="J919" s="26"/>
      <c r="L919" s="26"/>
      <c r="Q919" s="26"/>
    </row>
    <row r="920">
      <c r="A920" s="26"/>
      <c r="E920" s="26"/>
      <c r="F920" s="28"/>
      <c r="J920" s="26"/>
      <c r="L920" s="26"/>
      <c r="Q920" s="26"/>
    </row>
    <row r="921">
      <c r="A921" s="26"/>
      <c r="E921" s="26"/>
      <c r="F921" s="28"/>
      <c r="J921" s="26"/>
      <c r="L921" s="26"/>
      <c r="Q921" s="26"/>
    </row>
    <row r="922">
      <c r="A922" s="26"/>
      <c r="E922" s="26"/>
      <c r="F922" s="28"/>
      <c r="J922" s="26"/>
      <c r="L922" s="26"/>
      <c r="Q922" s="26"/>
    </row>
    <row r="923">
      <c r="A923" s="26"/>
      <c r="E923" s="26"/>
      <c r="F923" s="28"/>
      <c r="J923" s="26"/>
      <c r="L923" s="26"/>
      <c r="Q923" s="26"/>
    </row>
    <row r="924">
      <c r="A924" s="26"/>
      <c r="E924" s="26"/>
      <c r="F924" s="28"/>
      <c r="J924" s="26"/>
      <c r="L924" s="26"/>
      <c r="Q924" s="26"/>
    </row>
    <row r="925">
      <c r="A925" s="26"/>
      <c r="E925" s="26"/>
      <c r="F925" s="28"/>
      <c r="J925" s="26"/>
      <c r="L925" s="26"/>
      <c r="Q925" s="26"/>
    </row>
    <row r="926">
      <c r="A926" s="26"/>
      <c r="E926" s="26"/>
      <c r="F926" s="28"/>
      <c r="J926" s="26"/>
      <c r="L926" s="26"/>
      <c r="Q926" s="26"/>
    </row>
    <row r="927">
      <c r="A927" s="26"/>
      <c r="E927" s="26"/>
      <c r="F927" s="28"/>
      <c r="J927" s="26"/>
      <c r="L927" s="26"/>
      <c r="Q927" s="26"/>
    </row>
    <row r="928">
      <c r="A928" s="26"/>
      <c r="E928" s="26"/>
      <c r="F928" s="28"/>
      <c r="J928" s="26"/>
      <c r="L928" s="26"/>
      <c r="Q928" s="26"/>
    </row>
    <row r="929">
      <c r="A929" s="26"/>
      <c r="E929" s="26"/>
      <c r="F929" s="28"/>
      <c r="J929" s="26"/>
      <c r="L929" s="26"/>
      <c r="Q929" s="26"/>
    </row>
    <row r="930">
      <c r="A930" s="26"/>
      <c r="E930" s="26"/>
      <c r="F930" s="28"/>
      <c r="J930" s="26"/>
      <c r="L930" s="26"/>
      <c r="Q930" s="26"/>
    </row>
    <row r="931">
      <c r="A931" s="26"/>
      <c r="E931" s="26"/>
      <c r="F931" s="28"/>
      <c r="J931" s="26"/>
      <c r="L931" s="26"/>
      <c r="Q931" s="26"/>
    </row>
    <row r="932">
      <c r="A932" s="26"/>
      <c r="E932" s="26"/>
      <c r="F932" s="28"/>
      <c r="J932" s="26"/>
      <c r="L932" s="26"/>
      <c r="Q932" s="26"/>
    </row>
    <row r="933">
      <c r="A933" s="26"/>
      <c r="E933" s="26"/>
      <c r="F933" s="28"/>
      <c r="J933" s="26"/>
      <c r="L933" s="26"/>
      <c r="Q933" s="26"/>
    </row>
    <row r="934">
      <c r="A934" s="26"/>
      <c r="E934" s="26"/>
      <c r="F934" s="28"/>
      <c r="J934" s="26"/>
      <c r="L934" s="26"/>
      <c r="Q934" s="26"/>
    </row>
    <row r="935">
      <c r="A935" s="26"/>
      <c r="E935" s="26"/>
      <c r="F935" s="28"/>
      <c r="J935" s="26"/>
      <c r="L935" s="26"/>
      <c r="Q935" s="26"/>
    </row>
    <row r="936">
      <c r="A936" s="26"/>
      <c r="E936" s="26"/>
      <c r="F936" s="28"/>
      <c r="J936" s="26"/>
      <c r="L936" s="26"/>
      <c r="Q936" s="26"/>
    </row>
    <row r="937">
      <c r="A937" s="26"/>
      <c r="E937" s="26"/>
      <c r="F937" s="28"/>
      <c r="J937" s="26"/>
      <c r="L937" s="26"/>
      <c r="Q937" s="26"/>
    </row>
    <row r="938">
      <c r="A938" s="26"/>
      <c r="E938" s="26"/>
      <c r="F938" s="28"/>
      <c r="J938" s="26"/>
      <c r="L938" s="26"/>
      <c r="Q938" s="26"/>
    </row>
    <row r="939">
      <c r="A939" s="26"/>
      <c r="E939" s="26"/>
      <c r="F939" s="28"/>
      <c r="J939" s="26"/>
      <c r="L939" s="26"/>
      <c r="Q939" s="26"/>
    </row>
    <row r="940">
      <c r="A940" s="26"/>
      <c r="E940" s="26"/>
      <c r="F940" s="28"/>
      <c r="J940" s="26"/>
      <c r="L940" s="26"/>
      <c r="Q940" s="26"/>
    </row>
    <row r="941">
      <c r="A941" s="26"/>
      <c r="E941" s="26"/>
      <c r="F941" s="28"/>
      <c r="J941" s="26"/>
      <c r="L941" s="26"/>
      <c r="Q941" s="26"/>
    </row>
    <row r="942">
      <c r="A942" s="26"/>
      <c r="E942" s="26"/>
      <c r="F942" s="28"/>
      <c r="J942" s="26"/>
      <c r="L942" s="26"/>
      <c r="Q942" s="26"/>
    </row>
    <row r="943">
      <c r="A943" s="26"/>
      <c r="E943" s="26"/>
      <c r="F943" s="28"/>
      <c r="J943" s="26"/>
      <c r="L943" s="26"/>
      <c r="Q943" s="26"/>
    </row>
    <row r="944">
      <c r="A944" s="26"/>
      <c r="E944" s="26"/>
      <c r="F944" s="28"/>
      <c r="J944" s="26"/>
      <c r="L944" s="26"/>
      <c r="Q944" s="26"/>
    </row>
    <row r="945">
      <c r="A945" s="26"/>
      <c r="E945" s="26"/>
      <c r="F945" s="28"/>
      <c r="J945" s="26"/>
      <c r="L945" s="26"/>
      <c r="Q945" s="26"/>
    </row>
    <row r="946">
      <c r="A946" s="26"/>
      <c r="E946" s="26"/>
      <c r="F946" s="28"/>
      <c r="J946" s="26"/>
      <c r="L946" s="26"/>
      <c r="Q946" s="26"/>
    </row>
    <row r="947">
      <c r="A947" s="26"/>
      <c r="E947" s="26"/>
      <c r="F947" s="28"/>
      <c r="J947" s="26"/>
      <c r="L947" s="26"/>
      <c r="Q947" s="26"/>
    </row>
    <row r="948">
      <c r="A948" s="26"/>
      <c r="E948" s="26"/>
      <c r="F948" s="28"/>
      <c r="J948" s="26"/>
      <c r="L948" s="26"/>
      <c r="Q948" s="26"/>
    </row>
    <row r="949">
      <c r="A949" s="26"/>
      <c r="E949" s="26"/>
      <c r="F949" s="28"/>
      <c r="J949" s="26"/>
      <c r="L949" s="26"/>
      <c r="Q949" s="26"/>
    </row>
    <row r="950">
      <c r="A950" s="26"/>
      <c r="E950" s="26"/>
      <c r="F950" s="28"/>
      <c r="J950" s="26"/>
      <c r="L950" s="26"/>
      <c r="Q950" s="26"/>
    </row>
    <row r="951">
      <c r="A951" s="26"/>
      <c r="E951" s="26"/>
      <c r="F951" s="28"/>
      <c r="J951" s="26"/>
      <c r="L951" s="26"/>
      <c r="Q951" s="26"/>
    </row>
    <row r="952">
      <c r="A952" s="26"/>
      <c r="E952" s="26"/>
      <c r="F952" s="28"/>
      <c r="J952" s="26"/>
      <c r="L952" s="26"/>
      <c r="Q952" s="26"/>
    </row>
    <row r="953">
      <c r="A953" s="26"/>
      <c r="E953" s="26"/>
      <c r="F953" s="28"/>
      <c r="J953" s="26"/>
      <c r="L953" s="26"/>
      <c r="Q953" s="26"/>
    </row>
    <row r="954">
      <c r="A954" s="26"/>
      <c r="E954" s="26"/>
      <c r="F954" s="28"/>
      <c r="J954" s="26"/>
      <c r="L954" s="26"/>
      <c r="Q954" s="26"/>
    </row>
    <row r="955">
      <c r="A955" s="26"/>
      <c r="E955" s="26"/>
      <c r="F955" s="28"/>
      <c r="J955" s="26"/>
      <c r="L955" s="26"/>
      <c r="Q955" s="26"/>
    </row>
    <row r="956">
      <c r="A956" s="26"/>
      <c r="E956" s="26"/>
      <c r="F956" s="28"/>
      <c r="J956" s="26"/>
      <c r="L956" s="26"/>
      <c r="Q956" s="26"/>
    </row>
    <row r="957">
      <c r="A957" s="26"/>
      <c r="E957" s="26"/>
      <c r="F957" s="28"/>
      <c r="J957" s="26"/>
      <c r="L957" s="26"/>
      <c r="Q957" s="26"/>
    </row>
    <row r="958">
      <c r="A958" s="26"/>
      <c r="E958" s="26"/>
      <c r="F958" s="28"/>
      <c r="J958" s="26"/>
      <c r="L958" s="26"/>
      <c r="Q958" s="26"/>
    </row>
    <row r="959">
      <c r="A959" s="26"/>
      <c r="E959" s="26"/>
      <c r="F959" s="28"/>
      <c r="J959" s="26"/>
      <c r="L959" s="26"/>
      <c r="Q959" s="26"/>
    </row>
    <row r="960">
      <c r="A960" s="26"/>
      <c r="E960" s="26"/>
      <c r="F960" s="28"/>
      <c r="J960" s="26"/>
      <c r="L960" s="26"/>
      <c r="Q960" s="26"/>
    </row>
    <row r="961">
      <c r="A961" s="26"/>
      <c r="E961" s="26"/>
      <c r="F961" s="28"/>
      <c r="J961" s="26"/>
      <c r="L961" s="26"/>
      <c r="Q961" s="26"/>
    </row>
    <row r="962">
      <c r="A962" s="26"/>
      <c r="E962" s="26"/>
      <c r="F962" s="28"/>
      <c r="J962" s="26"/>
      <c r="L962" s="26"/>
      <c r="Q962" s="26"/>
    </row>
    <row r="963">
      <c r="A963" s="26"/>
      <c r="E963" s="26"/>
      <c r="F963" s="28"/>
      <c r="J963" s="26"/>
      <c r="L963" s="26"/>
      <c r="Q963" s="26"/>
    </row>
    <row r="964">
      <c r="A964" s="26"/>
      <c r="E964" s="26"/>
      <c r="F964" s="28"/>
      <c r="J964" s="26"/>
      <c r="L964" s="26"/>
      <c r="Q964" s="26"/>
    </row>
    <row r="965">
      <c r="A965" s="26"/>
      <c r="E965" s="26"/>
      <c r="F965" s="28"/>
      <c r="J965" s="26"/>
      <c r="L965" s="26"/>
      <c r="Q965" s="26"/>
    </row>
    <row r="966">
      <c r="A966" s="26"/>
      <c r="E966" s="26"/>
      <c r="F966" s="28"/>
      <c r="J966" s="26"/>
      <c r="L966" s="26"/>
      <c r="Q966" s="26"/>
    </row>
    <row r="967">
      <c r="A967" s="26"/>
      <c r="E967" s="26"/>
      <c r="F967" s="28"/>
      <c r="J967" s="26"/>
      <c r="L967" s="26"/>
      <c r="Q967" s="26"/>
    </row>
    <row r="968">
      <c r="A968" s="26"/>
      <c r="E968" s="26"/>
      <c r="F968" s="28"/>
      <c r="J968" s="26"/>
      <c r="L968" s="26"/>
      <c r="Q968" s="26"/>
    </row>
    <row r="969">
      <c r="A969" s="26"/>
      <c r="E969" s="26"/>
      <c r="F969" s="28"/>
      <c r="J969" s="26"/>
      <c r="L969" s="26"/>
      <c r="Q969" s="26"/>
    </row>
    <row r="970">
      <c r="A970" s="26"/>
      <c r="E970" s="26"/>
      <c r="F970" s="28"/>
      <c r="J970" s="26"/>
      <c r="L970" s="26"/>
      <c r="Q970" s="26"/>
    </row>
    <row r="971">
      <c r="A971" s="26"/>
      <c r="E971" s="26"/>
      <c r="F971" s="28"/>
      <c r="J971" s="26"/>
      <c r="L971" s="26"/>
      <c r="Q971" s="26"/>
    </row>
    <row r="972">
      <c r="A972" s="26"/>
      <c r="E972" s="26"/>
      <c r="F972" s="28"/>
      <c r="J972" s="26"/>
      <c r="L972" s="26"/>
      <c r="Q972" s="26"/>
    </row>
    <row r="973">
      <c r="A973" s="26"/>
      <c r="E973" s="26"/>
      <c r="F973" s="28"/>
      <c r="J973" s="26"/>
      <c r="L973" s="26"/>
      <c r="Q973" s="26"/>
    </row>
    <row r="974">
      <c r="A974" s="26"/>
      <c r="E974" s="26"/>
      <c r="F974" s="28"/>
      <c r="J974" s="26"/>
      <c r="L974" s="26"/>
      <c r="Q974" s="26"/>
    </row>
    <row r="975">
      <c r="A975" s="26"/>
      <c r="E975" s="26"/>
      <c r="F975" s="28"/>
      <c r="J975" s="26"/>
      <c r="L975" s="26"/>
      <c r="Q975" s="26"/>
    </row>
    <row r="976">
      <c r="A976" s="26"/>
      <c r="E976" s="26"/>
      <c r="F976" s="28"/>
      <c r="J976" s="26"/>
      <c r="L976" s="26"/>
      <c r="Q976" s="26"/>
    </row>
    <row r="977">
      <c r="A977" s="26"/>
      <c r="E977" s="26"/>
      <c r="F977" s="28"/>
      <c r="J977" s="26"/>
      <c r="L977" s="26"/>
      <c r="Q977" s="26"/>
    </row>
    <row r="978">
      <c r="A978" s="26"/>
      <c r="E978" s="26"/>
      <c r="F978" s="28"/>
      <c r="J978" s="26"/>
      <c r="L978" s="26"/>
      <c r="Q978" s="26"/>
    </row>
    <row r="979">
      <c r="A979" s="26"/>
      <c r="E979" s="26"/>
      <c r="F979" s="28"/>
      <c r="J979" s="26"/>
      <c r="L979" s="26"/>
      <c r="Q979" s="26"/>
    </row>
    <row r="980">
      <c r="A980" s="26"/>
      <c r="E980" s="26"/>
      <c r="F980" s="28"/>
      <c r="J980" s="26"/>
      <c r="L980" s="26"/>
      <c r="Q980" s="26"/>
    </row>
    <row r="981">
      <c r="A981" s="26"/>
      <c r="E981" s="26"/>
      <c r="F981" s="28"/>
      <c r="J981" s="26"/>
      <c r="L981" s="26"/>
      <c r="Q981" s="26"/>
    </row>
    <row r="982">
      <c r="A982" s="26"/>
      <c r="E982" s="26"/>
      <c r="F982" s="28"/>
      <c r="J982" s="26"/>
      <c r="L982" s="26"/>
      <c r="Q982" s="26"/>
    </row>
    <row r="983">
      <c r="A983" s="26"/>
      <c r="E983" s="26"/>
      <c r="F983" s="28"/>
      <c r="J983" s="26"/>
      <c r="L983" s="26"/>
      <c r="Q983" s="26"/>
    </row>
    <row r="984">
      <c r="A984" s="26"/>
      <c r="E984" s="26"/>
      <c r="F984" s="28"/>
      <c r="J984" s="26"/>
      <c r="L984" s="26"/>
      <c r="Q984" s="26"/>
    </row>
    <row r="985">
      <c r="A985" s="26"/>
      <c r="E985" s="26"/>
      <c r="F985" s="28"/>
      <c r="J985" s="26"/>
      <c r="L985" s="26"/>
      <c r="Q985" s="26"/>
    </row>
    <row r="986">
      <c r="A986" s="26"/>
      <c r="E986" s="26"/>
      <c r="F986" s="28"/>
      <c r="J986" s="26"/>
      <c r="L986" s="26"/>
      <c r="Q986" s="26"/>
    </row>
    <row r="987">
      <c r="A987" s="26"/>
      <c r="E987" s="26"/>
      <c r="F987" s="28"/>
      <c r="J987" s="26"/>
      <c r="L987" s="26"/>
      <c r="Q987" s="26"/>
    </row>
    <row r="988">
      <c r="A988" s="26"/>
      <c r="E988" s="26"/>
      <c r="F988" s="28"/>
      <c r="J988" s="26"/>
      <c r="L988" s="26"/>
      <c r="Q988" s="26"/>
    </row>
    <row r="989">
      <c r="A989" s="26"/>
      <c r="E989" s="26"/>
      <c r="F989" s="28"/>
      <c r="J989" s="26"/>
      <c r="L989" s="26"/>
      <c r="Q989" s="26"/>
    </row>
    <row r="990">
      <c r="A990" s="26"/>
      <c r="E990" s="26"/>
      <c r="F990" s="28"/>
      <c r="J990" s="26"/>
      <c r="L990" s="26"/>
      <c r="Q990" s="26"/>
    </row>
    <row r="991">
      <c r="A991" s="26"/>
      <c r="E991" s="26"/>
      <c r="F991" s="28"/>
      <c r="J991" s="26"/>
      <c r="L991" s="26"/>
      <c r="Q991" s="26"/>
    </row>
    <row r="992">
      <c r="A992" s="26"/>
      <c r="E992" s="26"/>
      <c r="F992" s="28"/>
      <c r="J992" s="26"/>
      <c r="L992" s="26"/>
      <c r="Q992" s="26"/>
    </row>
    <row r="993">
      <c r="A993" s="26"/>
      <c r="E993" s="26"/>
      <c r="F993" s="28"/>
      <c r="J993" s="26"/>
      <c r="L993" s="26"/>
      <c r="Q993" s="26"/>
    </row>
    <row r="994">
      <c r="A994" s="26"/>
      <c r="E994" s="26"/>
      <c r="F994" s="28"/>
      <c r="J994" s="26"/>
      <c r="L994" s="26"/>
      <c r="Q994" s="26"/>
    </row>
    <row r="995">
      <c r="A995" s="26"/>
      <c r="E995" s="26"/>
      <c r="F995" s="28"/>
      <c r="J995" s="26"/>
      <c r="L995" s="26"/>
      <c r="Q995" s="26"/>
    </row>
    <row r="996">
      <c r="A996" s="26"/>
      <c r="E996" s="26"/>
      <c r="F996" s="28"/>
      <c r="J996" s="26"/>
      <c r="L996" s="26"/>
      <c r="Q996" s="26"/>
    </row>
    <row r="997">
      <c r="A997" s="26"/>
      <c r="E997" s="26"/>
      <c r="F997" s="28"/>
      <c r="J997" s="26"/>
      <c r="L997" s="26"/>
      <c r="Q997" s="26"/>
    </row>
    <row r="998">
      <c r="A998" s="26"/>
      <c r="E998" s="26"/>
      <c r="F998" s="28"/>
      <c r="J998" s="26"/>
      <c r="L998" s="26"/>
      <c r="Q998" s="26"/>
    </row>
    <row r="999">
      <c r="A999" s="26"/>
      <c r="E999" s="26"/>
      <c r="F999" s="28"/>
      <c r="J999" s="26"/>
      <c r="L999" s="26"/>
      <c r="Q999" s="26"/>
    </row>
    <row r="1000">
      <c r="A1000" s="26"/>
      <c r="E1000" s="26"/>
      <c r="F1000" s="28"/>
      <c r="J1000" s="26"/>
      <c r="L1000" s="26"/>
      <c r="Q1000" s="26"/>
    </row>
    <row r="1001">
      <c r="A1001" s="26"/>
      <c r="E1001" s="26"/>
      <c r="F1001" s="28"/>
      <c r="J1001" s="26"/>
      <c r="L1001" s="26"/>
      <c r="Q1001" s="26"/>
    </row>
    <row r="1002">
      <c r="A1002" s="26"/>
      <c r="E1002" s="26"/>
      <c r="F1002" s="28"/>
      <c r="J1002" s="26"/>
      <c r="L1002" s="26"/>
      <c r="Q1002" s="26"/>
    </row>
    <row r="1003">
      <c r="A1003" s="26"/>
      <c r="E1003" s="26"/>
      <c r="F1003" s="28"/>
      <c r="J1003" s="26"/>
      <c r="L1003" s="26"/>
      <c r="Q1003" s="26"/>
    </row>
    <row r="1004">
      <c r="A1004" s="26"/>
      <c r="E1004" s="26"/>
      <c r="F1004" s="28"/>
      <c r="J1004" s="26"/>
      <c r="L1004" s="26"/>
      <c r="Q1004" s="26"/>
    </row>
    <row r="1005">
      <c r="A1005" s="26"/>
      <c r="E1005" s="26"/>
      <c r="F1005" s="28"/>
      <c r="J1005" s="26"/>
      <c r="L1005" s="26"/>
      <c r="Q1005" s="26"/>
    </row>
    <row r="1006">
      <c r="A1006" s="26"/>
      <c r="E1006" s="26"/>
      <c r="F1006" s="28"/>
      <c r="J1006" s="26"/>
      <c r="L1006" s="26"/>
      <c r="Q1006" s="26"/>
    </row>
    <row r="1007">
      <c r="A1007" s="26"/>
      <c r="E1007" s="26"/>
      <c r="F1007" s="28"/>
      <c r="J1007" s="26"/>
      <c r="L1007" s="26"/>
      <c r="Q1007" s="26"/>
    </row>
    <row r="1008">
      <c r="A1008" s="26"/>
      <c r="E1008" s="26"/>
      <c r="F1008" s="28"/>
      <c r="J1008" s="26"/>
      <c r="L1008" s="26"/>
      <c r="Q1008" s="26"/>
    </row>
    <row r="1009">
      <c r="A1009" s="26"/>
      <c r="E1009" s="26"/>
      <c r="F1009" s="28"/>
      <c r="J1009" s="26"/>
      <c r="L1009" s="26"/>
      <c r="Q1009" s="26"/>
    </row>
    <row r="1010">
      <c r="A1010" s="26"/>
      <c r="E1010" s="26"/>
      <c r="F1010" s="28"/>
      <c r="J1010" s="26"/>
      <c r="L1010" s="26"/>
      <c r="Q1010" s="26"/>
    </row>
    <row r="1011">
      <c r="A1011" s="26"/>
      <c r="E1011" s="26"/>
      <c r="F1011" s="28"/>
      <c r="J1011" s="26"/>
      <c r="L1011" s="26"/>
      <c r="Q1011" s="26"/>
    </row>
    <row r="1012">
      <c r="A1012" s="26"/>
      <c r="E1012" s="26"/>
      <c r="F1012" s="28"/>
      <c r="J1012" s="26"/>
      <c r="L1012" s="26"/>
      <c r="Q1012" s="26"/>
    </row>
  </sheetData>
  <mergeCells count="2">
    <mergeCell ref="O1:P1"/>
    <mergeCell ref="B3:D3"/>
  </mergeCells>
  <conditionalFormatting sqref="P4:P54 R4:R54">
    <cfRule type="cellIs" dxfId="0" priority="1" operator="equal">
      <formula>"OK"</formula>
    </cfRule>
  </conditionalFormatting>
  <conditionalFormatting sqref="P4:P54 R4:R54">
    <cfRule type="cellIs" dxfId="1" priority="2" operator="equal">
      <formula>"NOK"</formula>
    </cfRule>
  </conditionalFormatting>
  <dataValidations>
    <dataValidation type="list" allowBlank="1" showErrorMessage="1" sqref="Q1">
      <formula1>"Internal,External"</formula1>
    </dataValidation>
    <dataValidation type="list" allowBlank="1" sqref="F4:F54">
      <formula1>'components list'!$D$1:$D$1000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66.0"/>
    <col customWidth="1" min="2" max="2" width="12.63"/>
  </cols>
  <sheetData>
    <row r="1">
      <c r="A1" s="4" t="str">
        <f>IFERROR(__xludf.DUMMYFUNCTION("QUERY({IMPORTRANGE(""1c0Wh_HY_bz6y2l1Jr0D6rPmvKgyRPSEPphRE5ZAqndk"", ""components list!A1:G1000"")},""Select * where Col1 is not null order by Col1"")"),"CABLE:   FFC / FPC 26WAY 0.5MM 152MM   [MP-FFCA05261522A]")</f>
        <v>CABLE:   FFC / FPC 26WAY 0.5MM 152MM   [MP-FFCA05261522A]</v>
      </c>
      <c r="B1" s="4" t="str">
        <f>IFERROR(__xludf.DUMMYFUNCTION("""COMPUTED_VALUE"""),"OEPS090005")</f>
        <v>OEPS090005</v>
      </c>
      <c r="C1" s="4" t="str">
        <f>IFERROR(__xludf.DUMMYFUNCTION("""COMPUTED_VALUE"""),"Cable")</f>
        <v>Cable</v>
      </c>
      <c r="D1" s="4" t="str">
        <f>IFERROR(__xludf.DUMMYFUNCTION("""COMPUTED_VALUE"""),"MP-FFCA05261522A")</f>
        <v>MP-FFCA05261522A</v>
      </c>
      <c r="E1" s="4">
        <f>IFERROR(__xludf.DUMMYFUNCTION("""COMPUTED_VALUE"""),0.0)</f>
        <v>0</v>
      </c>
      <c r="F1" s="4" t="str">
        <f>IFERROR(__xludf.DUMMYFUNCTION("""COMPUTED_VALUE"""),"Farnell")</f>
        <v>Farnell</v>
      </c>
      <c r="G1" s="4" t="str">
        <f>IFERROR(__xludf.DUMMYFUNCTION("""COMPUTED_VALUE"""),"3385235")</f>
        <v>3385235</v>
      </c>
      <c r="H1" s="4"/>
      <c r="I1" s="4"/>
      <c r="J1" s="4"/>
      <c r="K1" s="4"/>
      <c r="L1" s="4"/>
      <c r="M1" s="4"/>
      <c r="N1" s="9" t="str">
        <f>IFERROR(__xludf.DUMMYFUNCTION("QUERY({IMPORTRANGE(""1dWr6i50GOcTrOp-NGoVf4u5xOoCU2OQ0bHLlZMtKXgw"", ""components list!A1:Z1000"")},""Select * where Col1 is not null order by Col1"")"),"OEPS OEPS A35 001 OEPS A35 002 OEPS A35 003")</f>
        <v>OEPS OEPS A35 001 OEPS A35 002 OEPS A35 003</v>
      </c>
      <c r="O1" s="4" t="str">
        <f>IFERROR(__xludf.DUMMYFUNCTION("""COMPUTED_VALUE"""),"PDB-C156 TMK105B7104KVHF CL05B103KA5NNNC EMK212ABJ106MG-T")</f>
        <v>PDB-C156 TMK105B7104KVHF CL05B103KA5NNNC EMK212ABJ106MG-T</v>
      </c>
      <c r="P1" s="4" t="str">
        <f>IFERROR(__xludf.DUMMYFUNCTION("""COMPUTED_VALUE"""),"   ")</f>
        <v>   </v>
      </c>
      <c r="Q1" s="4" t="str">
        <f>IFERROR(__xludf.DUMMYFUNCTION("""COMPUTED_VALUE"""),"   ")</f>
        <v>   </v>
      </c>
      <c r="R1" s="4" t="str">
        <f>IFERROR(__xludf.DUMMYFUNCTION("""COMPUTED_VALUE"""),"   ")</f>
        <v>   </v>
      </c>
      <c r="S1" s="4" t="str">
        <f>IFERROR(__xludf.DUMMYFUNCTION("""COMPUTED_VALUE"""),"   ")</f>
        <v>   </v>
      </c>
      <c r="T1" s="4" t="str">
        <f>IFERROR(__xludf.DUMMYFUNCTION("""COMPUTED_VALUE"""),"   ")</f>
        <v>   </v>
      </c>
      <c r="U1" s="4" t="str">
        <f>IFERROR(__xludf.DUMMYFUNCTION("""COMPUTED_VALUE"""),"   ")</f>
        <v>   </v>
      </c>
      <c r="V1" s="4" t="str">
        <f>IFERROR(__xludf.DUMMYFUNCTION("""COMPUTED_VALUE"""),"   ")</f>
        <v>   </v>
      </c>
      <c r="W1" s="4" t="str">
        <f>IFERROR(__xludf.DUMMYFUNCTION("""COMPUTED_VALUE"""),"   ")</f>
        <v>   </v>
      </c>
      <c r="X1" s="4" t="str">
        <f>IFERROR(__xludf.DUMMYFUNCTION("""COMPUTED_VALUE"""),"   ")</f>
        <v>   </v>
      </c>
      <c r="Y1" s="4" t="str">
        <f>IFERROR(__xludf.DUMMYFUNCTION("""COMPUTED_VALUE"""),"   ")</f>
        <v>   </v>
      </c>
      <c r="Z1" s="4" t="str">
        <f>IFERROR(__xludf.DUMMYFUNCTION("""COMPUTED_VALUE"""),"   ")</f>
        <v>   </v>
      </c>
      <c r="AA1" s="4" t="str">
        <f>IFERROR(__xludf.DUMMYFUNCTION("""COMPUTED_VALUE"""),"   ")</f>
        <v>   </v>
      </c>
      <c r="AB1" s="4" t="str">
        <f>IFERROR(__xludf.DUMMYFUNCTION("""COMPUTED_VALUE"""),"   ")</f>
        <v>   </v>
      </c>
      <c r="AC1" s="4" t="str">
        <f>IFERROR(__xludf.DUMMYFUNCTION("""COMPUTED_VALUE"""),"   ")</f>
        <v>   </v>
      </c>
      <c r="AD1" s="4" t="str">
        <f>IFERROR(__xludf.DUMMYFUNCTION("""COMPUTED_VALUE"""),"   ")</f>
        <v>   </v>
      </c>
      <c r="AE1" s="4" t="str">
        <f>IFERROR(__xludf.DUMMYFUNCTION("""COMPUTED_VALUE"""),"   ")</f>
        <v>   </v>
      </c>
      <c r="AF1" s="4" t="str">
        <f>IFERROR(__xludf.DUMMYFUNCTION("""COMPUTED_VALUE"""),"   ")</f>
        <v>   </v>
      </c>
      <c r="AG1" s="4" t="str">
        <f>IFERROR(__xludf.DUMMYFUNCTION("""COMPUTED_VALUE"""),"   ")</f>
        <v>   </v>
      </c>
      <c r="AH1" s="4" t="str">
        <f>IFERROR(__xludf.DUMMYFUNCTION("""COMPUTED_VALUE"""),"   ")</f>
        <v>   </v>
      </c>
      <c r="AI1" s="4" t="str">
        <f>IFERROR(__xludf.DUMMYFUNCTION("""COMPUTED_VALUE"""),"   ")</f>
        <v>   </v>
      </c>
      <c r="AJ1" s="4" t="str">
        <f>IFERROR(__xludf.DUMMYFUNCTION("""COMPUTED_VALUE"""),"   ")</f>
        <v>   </v>
      </c>
      <c r="AK1" s="4" t="str">
        <f>IFERROR(__xludf.DUMMYFUNCTION("""COMPUTED_VALUE"""),"   ")</f>
        <v>   </v>
      </c>
      <c r="AL1" s="4" t="str">
        <f>IFERROR(__xludf.DUMMYFUNCTION("""COMPUTED_VALUE"""),"   ")</f>
        <v>   </v>
      </c>
      <c r="AM1" s="4" t="str">
        <f>IFERROR(__xludf.DUMMYFUNCTION("""COMPUTED_VALUE"""),"   ")</f>
        <v>   </v>
      </c>
      <c r="AN1" s="4"/>
      <c r="AO1" s="4"/>
      <c r="AP1" s="4"/>
      <c r="AQ1" s="4"/>
      <c r="AR1" s="4"/>
      <c r="AS1" s="4"/>
      <c r="AT1" s="4"/>
      <c r="AU1" s="4"/>
      <c r="AV1" s="4"/>
      <c r="AW1" s="4"/>
    </row>
    <row r="2">
      <c r="A2" s="4" t="str">
        <f>IFERROR(__xludf.DUMMYFUNCTION("""COMPUTED_VALUE"""),"CABLE:   FPC 0.30MM 17WAYS 2INCH   [0150150217]")</f>
        <v>CABLE:   FPC 0.30MM 17WAYS 2INCH   [0150150217]</v>
      </c>
      <c r="B2" s="4" t="str">
        <f>IFERROR(__xludf.DUMMYFUNCTION("""COMPUTED_VALUE"""),"OEPS090009")</f>
        <v>OEPS090009</v>
      </c>
      <c r="C2" s="4" t="str">
        <f>IFERROR(__xludf.DUMMYFUNCTION("""COMPUTED_VALUE"""),"Cable")</f>
        <v>Cable</v>
      </c>
      <c r="D2" s="4" t="str">
        <f>IFERROR(__xludf.DUMMYFUNCTION("""COMPUTED_VALUE"""),"0150150217")</f>
        <v>0150150217</v>
      </c>
      <c r="E2" s="4">
        <f>IFERROR(__xludf.DUMMYFUNCTION("""COMPUTED_VALUE"""),0.0)</f>
        <v>0</v>
      </c>
      <c r="F2" s="4" t="str">
        <f>IFERROR(__xludf.DUMMYFUNCTION("""COMPUTED_VALUE"""),"DigiKey")</f>
        <v>DigiKey</v>
      </c>
      <c r="G2" s="4" t="str">
        <f>IFERROR(__xludf.DUMMYFUNCTION("""COMPUTED_VALUE"""),"900-0150150217-ND")</f>
        <v>900-0150150217-ND</v>
      </c>
      <c r="H2" s="4"/>
      <c r="I2" s="4"/>
      <c r="J2" s="4"/>
      <c r="K2" s="4"/>
      <c r="L2" s="4"/>
      <c r="M2" s="4"/>
      <c r="N2" s="9" t="str">
        <f>IFERROR(__xludf.DUMMYFUNCTION("""COMPUTED_VALUE"""),"OEPS A35 004")</f>
        <v>OEPS A35 004</v>
      </c>
      <c r="O2" s="4" t="str">
        <f>IFERROR(__xludf.DUMMYFUNCTION("""COMPUTED_VALUE"""),"C3225X7R1C226K250AC")</f>
        <v>C3225X7R1C226K250AC</v>
      </c>
      <c r="P2" s="4" t="str">
        <f>IFERROR(__xludf.DUMMYFUNCTION("""COMPUTED_VALUE"""),"650(R) 378(R) ")</f>
        <v>650(R) 378(R) </v>
      </c>
      <c r="Q2" s="4">
        <f>IFERROR(__xludf.DUMMYFUNCTION("""COMPUTED_VALUE"""),1028.0)</f>
        <v>1028</v>
      </c>
      <c r="R2" s="4">
        <f>IFERROR(__xludf.DUMMYFUNCTION("""COMPUTED_VALUE"""),650.0)</f>
        <v>650</v>
      </c>
      <c r="S2" s="4" t="str">
        <f>IFERROR(__xludf.DUMMYFUNCTION("""COMPUTED_VALUE"""),"Reel")</f>
        <v>Reel</v>
      </c>
      <c r="T2" s="4" t="str">
        <f>IFERROR(__xludf.DUMMYFUNCTION("""COMPUTED_VALUE"""),"0622")</f>
        <v>0622</v>
      </c>
      <c r="U2" s="4">
        <f>IFERROR(__xludf.DUMMYFUNCTION("""COMPUTED_VALUE"""),378.0)</f>
        <v>378</v>
      </c>
      <c r="V2" s="4" t="str">
        <f>IFERROR(__xludf.DUMMYFUNCTION("""COMPUTED_VALUE"""),"Reel")</f>
        <v>Reel</v>
      </c>
      <c r="W2" s="4" t="str">
        <f>IFERROR(__xludf.DUMMYFUNCTION("""COMPUTED_VALUE"""),"XXXX")</f>
        <v>XXXX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>
      <c r="A3" s="4" t="str">
        <f>IFERROR(__xludf.DUMMYFUNCTION("""COMPUTED_VALUE"""),"CABLE:   FPC 0.30MM 17WAYS 6INCH   [0150150617]")</f>
        <v>CABLE:   FPC 0.30MM 17WAYS 6INCH   [0150150617]</v>
      </c>
      <c r="B3" s="4" t="str">
        <f>IFERROR(__xludf.DUMMYFUNCTION("""COMPUTED_VALUE"""),"OEPS090008")</f>
        <v>OEPS090008</v>
      </c>
      <c r="C3" s="4" t="str">
        <f>IFERROR(__xludf.DUMMYFUNCTION("""COMPUTED_VALUE"""),"Cable")</f>
        <v>Cable</v>
      </c>
      <c r="D3" s="4" t="str">
        <f>IFERROR(__xludf.DUMMYFUNCTION("""COMPUTED_VALUE"""),"0150150617")</f>
        <v>0150150617</v>
      </c>
      <c r="E3" s="4">
        <f>IFERROR(__xludf.DUMMYFUNCTION("""COMPUTED_VALUE"""),0.0)</f>
        <v>0</v>
      </c>
      <c r="F3" s="4" t="str">
        <f>IFERROR(__xludf.DUMMYFUNCTION("""COMPUTED_VALUE"""),"DigiKey")</f>
        <v>DigiKey</v>
      </c>
      <c r="G3" s="4" t="str">
        <f>IFERROR(__xludf.DUMMYFUNCTION("""COMPUTED_VALUE"""),"900-0150150617-ND")</f>
        <v>900-0150150617-ND</v>
      </c>
      <c r="H3" s="4"/>
      <c r="I3" s="4"/>
      <c r="J3" s="4"/>
      <c r="K3" s="4"/>
      <c r="L3" s="4"/>
      <c r="M3" s="4"/>
      <c r="N3" s="9" t="str">
        <f>IFERROR(__xludf.DUMMYFUNCTION("""COMPUTED_VALUE"""),"OEPS A35 005")</f>
        <v>OEPS A35 005</v>
      </c>
      <c r="O3" s="4" t="str">
        <f>IFERROR(__xludf.DUMMYFUNCTION("""COMPUTED_VALUE"""),"UMK107BJ105KA-T")</f>
        <v>UMK107BJ105KA-T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>
      <c r="A4" s="4" t="str">
        <f>IFERROR(__xludf.DUMMYFUNCTION("""COMPUTED_VALUE"""),"CABLE:   FPC 0.30MM 27WAYS 2INCH   [0150150227]")</f>
        <v>CABLE:   FPC 0.30MM 27WAYS 2INCH   [0150150227]</v>
      </c>
      <c r="B4" s="4" t="str">
        <f>IFERROR(__xludf.DUMMYFUNCTION("""COMPUTED_VALUE"""),"OEPS090012")</f>
        <v>OEPS090012</v>
      </c>
      <c r="C4" s="4" t="str">
        <f>IFERROR(__xludf.DUMMYFUNCTION("""COMPUTED_VALUE"""),"Cable")</f>
        <v>Cable</v>
      </c>
      <c r="D4" s="4" t="str">
        <f>IFERROR(__xludf.DUMMYFUNCTION("""COMPUTED_VALUE"""),"0150150227")</f>
        <v>0150150227</v>
      </c>
      <c r="E4" s="4">
        <f>IFERROR(__xludf.DUMMYFUNCTION("""COMPUTED_VALUE"""),0.0)</f>
        <v>0</v>
      </c>
      <c r="F4" s="4" t="str">
        <f>IFERROR(__xludf.DUMMYFUNCTION("""COMPUTED_VALUE"""),"DigiKey")</f>
        <v>DigiKey</v>
      </c>
      <c r="G4" s="4" t="str">
        <f>IFERROR(__xludf.DUMMYFUNCTION("""COMPUTED_VALUE"""),"WM9645-ND")</f>
        <v>WM9645-ND</v>
      </c>
      <c r="H4" s="4"/>
      <c r="I4" s="4"/>
      <c r="J4" s="4"/>
      <c r="K4" s="4"/>
      <c r="L4" s="4"/>
      <c r="M4" s="4"/>
      <c r="N4" s="9" t="str">
        <f>IFERROR(__xludf.DUMMYFUNCTION("""COMPUTED_VALUE"""),"OEPS A35 006")</f>
        <v>OEPS A35 006</v>
      </c>
      <c r="O4" s="4" t="str">
        <f>IFERROR(__xludf.DUMMYFUNCTION("""COMPUTED_VALUE"""),"C1005X5R1E474K050BE")</f>
        <v>C1005X5R1E474K050BE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>
      <c r="A5" s="4" t="str">
        <f>IFERROR(__xludf.DUMMYFUNCTION("""COMPUTED_VALUE"""),"CABLE:   FPC 0.30MM 27WAYS 4INCH   [0150150427]")</f>
        <v>CABLE:   FPC 0.30MM 27WAYS 4INCH   [0150150427]</v>
      </c>
      <c r="B5" s="4" t="str">
        <f>IFERROR(__xludf.DUMMYFUNCTION("""COMPUTED_VALUE"""),"OEPS090013")</f>
        <v>OEPS090013</v>
      </c>
      <c r="C5" s="4" t="str">
        <f>IFERROR(__xludf.DUMMYFUNCTION("""COMPUTED_VALUE"""),"Cable")</f>
        <v>Cable</v>
      </c>
      <c r="D5" s="4" t="str">
        <f>IFERROR(__xludf.DUMMYFUNCTION("""COMPUTED_VALUE"""),"0150150427")</f>
        <v>0150150427</v>
      </c>
      <c r="E5" s="4">
        <f>IFERROR(__xludf.DUMMYFUNCTION("""COMPUTED_VALUE"""),0.0)</f>
        <v>0</v>
      </c>
      <c r="F5" s="4" t="str">
        <f>IFERROR(__xludf.DUMMYFUNCTION("""COMPUTED_VALUE"""),"DigiKey")</f>
        <v>DigiKey</v>
      </c>
      <c r="G5" s="4" t="str">
        <f>IFERROR(__xludf.DUMMYFUNCTION("""COMPUTED_VALUE"""),"WM6669-ND")</f>
        <v>WM6669-ND</v>
      </c>
      <c r="H5" s="4"/>
      <c r="I5" s="4"/>
      <c r="J5" s="4"/>
      <c r="K5" s="4"/>
      <c r="L5" s="4"/>
      <c r="M5" s="4"/>
      <c r="N5" s="9" t="str">
        <f>IFERROR(__xludf.DUMMYFUNCTION("""COMPUTED_VALUE"""),"OEPS A35 008")</f>
        <v>OEPS A35 008</v>
      </c>
      <c r="O5" s="4" t="str">
        <f>IFERROR(__xludf.DUMMYFUNCTION("""COMPUTED_VALUE"""),"GRM1555C1H220FA01D")</f>
        <v>GRM1555C1H220FA01D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>
      <c r="A6" s="4" t="str">
        <f>IFERROR(__xludf.DUMMYFUNCTION("""COMPUTED_VALUE"""),"CABLE:   FPC 0.30MM 45WAYS 2INCH   [0150150245]")</f>
        <v>CABLE:   FPC 0.30MM 45WAYS 2INCH   [0150150245]</v>
      </c>
      <c r="B6" s="4" t="str">
        <f>IFERROR(__xludf.DUMMYFUNCTION("""COMPUTED_VALUE"""),"OEPS090010")</f>
        <v>OEPS090010</v>
      </c>
      <c r="C6" s="4" t="str">
        <f>IFERROR(__xludf.DUMMYFUNCTION("""COMPUTED_VALUE"""),"Cable")</f>
        <v>Cable</v>
      </c>
      <c r="D6" s="4" t="str">
        <f>IFERROR(__xludf.DUMMYFUNCTION("""COMPUTED_VALUE"""),"0150150245")</f>
        <v>0150150245</v>
      </c>
      <c r="E6" s="4">
        <f>IFERROR(__xludf.DUMMYFUNCTION("""COMPUTED_VALUE"""),0.0)</f>
        <v>0</v>
      </c>
      <c r="F6" s="4" t="str">
        <f>IFERROR(__xludf.DUMMYFUNCTION("""COMPUTED_VALUE"""),"DigiKey")</f>
        <v>DigiKey</v>
      </c>
      <c r="G6" s="4" t="str">
        <f>IFERROR(__xludf.DUMMYFUNCTION("""COMPUTED_VALUE"""),"WM9648-ND")</f>
        <v>WM9648-ND</v>
      </c>
      <c r="H6" s="4"/>
      <c r="I6" s="4"/>
      <c r="J6" s="4"/>
      <c r="K6" s="4"/>
      <c r="L6" s="4"/>
      <c r="M6" s="4"/>
      <c r="N6" s="9" t="str">
        <f>IFERROR(__xludf.DUMMYFUNCTION("""COMPUTED_VALUE"""),"OEPS A35 009")</f>
        <v>OEPS A35 009</v>
      </c>
      <c r="O6" s="4" t="str">
        <f>IFERROR(__xludf.DUMMYFUNCTION("""COMPUTED_VALUE"""),"GRM155R71H682JA88D")</f>
        <v>GRM155R71H682JA88D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>
      <c r="A7" s="4" t="str">
        <f>IFERROR(__xludf.DUMMYFUNCTION("""COMPUTED_VALUE"""),"CABLE:   FPC 0.30MM 45WAYS 4INCH   [0150150445]")</f>
        <v>CABLE:   FPC 0.30MM 45WAYS 4INCH   [0150150445]</v>
      </c>
      <c r="B7" s="4" t="str">
        <f>IFERROR(__xludf.DUMMYFUNCTION("""COMPUTED_VALUE"""),"OEPS090011")</f>
        <v>OEPS090011</v>
      </c>
      <c r="C7" s="4" t="str">
        <f>IFERROR(__xludf.DUMMYFUNCTION("""COMPUTED_VALUE"""),"Cable")</f>
        <v>Cable</v>
      </c>
      <c r="D7" s="4" t="str">
        <f>IFERROR(__xludf.DUMMYFUNCTION("""COMPUTED_VALUE"""),"0150150445")</f>
        <v>0150150445</v>
      </c>
      <c r="E7" s="4">
        <f>IFERROR(__xludf.DUMMYFUNCTION("""COMPUTED_VALUE"""),0.0)</f>
        <v>0</v>
      </c>
      <c r="F7" s="4" t="str">
        <f>IFERROR(__xludf.DUMMYFUNCTION("""COMPUTED_VALUE"""),"DigiKey")</f>
        <v>DigiKey</v>
      </c>
      <c r="G7" s="4" t="str">
        <f>IFERROR(__xludf.DUMMYFUNCTION("""COMPUTED_VALUE"""),"WM13117-ND")</f>
        <v>WM13117-ND</v>
      </c>
      <c r="H7" s="4"/>
      <c r="I7" s="4"/>
      <c r="J7" s="4"/>
      <c r="K7" s="4"/>
      <c r="L7" s="4"/>
      <c r="M7" s="4"/>
      <c r="N7" s="9" t="str">
        <f>IFERROR(__xludf.DUMMYFUNCTION("""COMPUTED_VALUE"""),"OEPS A35 010")</f>
        <v>OEPS A35 010</v>
      </c>
      <c r="O7" s="4" t="str">
        <f>IFERROR(__xludf.DUMMYFUNCTION("""COMPUTED_VALUE"""),"CL21A475KAQNNNE")</f>
        <v>CL21A475KAQNNNE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>
      <c r="A8" s="4" t="str">
        <f>IFERROR(__xludf.DUMMYFUNCTION("""COMPUTED_VALUE"""),"CABLE:   MMCX-to-MMCX 2.13meter    [523-265101-08-84.00]")</f>
        <v>CABLE:   MMCX-to-MMCX 2.13meter    [523-265101-08-84.00]</v>
      </c>
      <c r="B8" s="4" t="str">
        <f>IFERROR(__xludf.DUMMYFUNCTION("""COMPUTED_VALUE"""),"OEPS090002")</f>
        <v>OEPS090002</v>
      </c>
      <c r="C8" s="4" t="str">
        <f>IFERROR(__xludf.DUMMYFUNCTION("""COMPUTED_VALUE"""),"Cable")</f>
        <v>Cable</v>
      </c>
      <c r="D8" s="4" t="str">
        <f>IFERROR(__xludf.DUMMYFUNCTION("""COMPUTED_VALUE"""),"523-265101-08-84.00")</f>
        <v>523-265101-08-84.00</v>
      </c>
      <c r="E8" s="4">
        <f>IFERROR(__xludf.DUMMYFUNCTION("""COMPUTED_VALUE"""),1.0)</f>
        <v>1</v>
      </c>
      <c r="F8" s="4" t="str">
        <f>IFERROR(__xludf.DUMMYFUNCTION("""COMPUTED_VALUE"""),"DigiKey")</f>
        <v>DigiKey</v>
      </c>
      <c r="G8" s="4" t="str">
        <f>IFERROR(__xludf.DUMMYFUNCTION("""COMPUTED_VALUE"""),"265101-08-84.00")</f>
        <v>265101-08-84.00</v>
      </c>
      <c r="H8" s="4"/>
      <c r="I8" s="4"/>
      <c r="J8" s="4"/>
      <c r="K8" s="4"/>
      <c r="L8" s="4"/>
      <c r="M8" s="4"/>
      <c r="N8" s="9" t="str">
        <f>IFERROR(__xludf.DUMMYFUNCTION("""COMPUTED_VALUE"""),"OEPS A35 011")</f>
        <v>OEPS A35 011</v>
      </c>
      <c r="O8" s="4" t="str">
        <f>IFERROR(__xludf.DUMMYFUNCTION("""COMPUTED_VALUE"""),"GRM1555C1H180FA01D")</f>
        <v>GRM1555C1H180FA01D</v>
      </c>
      <c r="P8" s="4" t="str">
        <f>IFERROR(__xludf.DUMMYFUNCTION("""COMPUTED_VALUE""")," ")</f>
        <v> 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>
      <c r="A9" s="4" t="str">
        <f>IFERROR(__xludf.DUMMYFUNCTION("""COMPUTED_VALUE"""),"CABLE:   RIBON 10COND 28AWG GRAY 100FT 30.48meter   [3365/10 100]")</f>
        <v>CABLE:   RIBON 10COND 28AWG GRAY 100FT 30.48meter   [3365/10 100]</v>
      </c>
      <c r="B9" s="4" t="str">
        <f>IFERROR(__xludf.DUMMYFUNCTION("""COMPUTED_VALUE"""),"OEPS090003")</f>
        <v>OEPS090003</v>
      </c>
      <c r="C9" s="4" t="str">
        <f>IFERROR(__xludf.DUMMYFUNCTION("""COMPUTED_VALUE"""),"Cable")</f>
        <v>Cable</v>
      </c>
      <c r="D9" s="4" t="str">
        <f>IFERROR(__xludf.DUMMYFUNCTION("""COMPUTED_VALUE"""),"3365/10 100")</f>
        <v>3365/10 100</v>
      </c>
      <c r="E9" s="4">
        <f>IFERROR(__xludf.DUMMYFUNCTION("""COMPUTED_VALUE"""),0.0)</f>
        <v>0</v>
      </c>
      <c r="F9" s="4" t="str">
        <f>IFERROR(__xludf.DUMMYFUNCTION("""COMPUTED_VALUE"""),"DigiKey")</f>
        <v>DigiKey</v>
      </c>
      <c r="G9" s="4" t="str">
        <f>IFERROR(__xludf.DUMMYFUNCTION("""COMPUTED_VALUE"""),"3M157849-100-ND")</f>
        <v>3M157849-100-ND</v>
      </c>
      <c r="H9" s="4"/>
      <c r="I9" s="4"/>
      <c r="J9" s="4"/>
      <c r="K9" s="4"/>
      <c r="L9" s="4"/>
      <c r="M9" s="4"/>
      <c r="N9" s="9" t="str">
        <f>IFERROR(__xludf.DUMMYFUNCTION("""COMPUTED_VALUE"""),"OEPS A35 012")</f>
        <v>OEPS A35 012</v>
      </c>
      <c r="O9" s="4" t="str">
        <f>IFERROR(__xludf.DUMMYFUNCTION("""COMPUTED_VALUE"""),"T495C107K016ATE200")</f>
        <v>T495C107K016ATE200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>
      <c r="A10" s="4" t="str">
        <f>IFERROR(__xludf.DUMMYFUNCTION("""COMPUTED_VALUE"""),"CABLE:   RIBON 14COND 28AWG GRAY 100FT 30.48meter   [3365/14 100]")</f>
        <v>CABLE:   RIBON 14COND 28AWG GRAY 100FT 30.48meter   [3365/14 100]</v>
      </c>
      <c r="B10" s="4" t="str">
        <f>IFERROR(__xludf.DUMMYFUNCTION("""COMPUTED_VALUE"""),"OEPS090007")</f>
        <v>OEPS090007</v>
      </c>
      <c r="C10" s="4" t="str">
        <f>IFERROR(__xludf.DUMMYFUNCTION("""COMPUTED_VALUE"""),"Cable")</f>
        <v>Cable</v>
      </c>
      <c r="D10" s="4" t="str">
        <f>IFERROR(__xludf.DUMMYFUNCTION("""COMPUTED_VALUE"""),"3365/14 100")</f>
        <v>3365/14 100</v>
      </c>
      <c r="E10" s="4">
        <f>IFERROR(__xludf.DUMMYFUNCTION("""COMPUTED_VALUE"""),0.0)</f>
        <v>0</v>
      </c>
      <c r="F10" s="4" t="str">
        <f>IFERROR(__xludf.DUMMYFUNCTION("""COMPUTED_VALUE"""),"DigiKey")</f>
        <v>DigiKey</v>
      </c>
      <c r="G10" s="4" t="str">
        <f>IFERROR(__xludf.DUMMYFUNCTION("""COMPUTED_VALUE"""),"3M157859-100-ND")</f>
        <v>3M157859-100-ND</v>
      </c>
      <c r="H10" s="4"/>
      <c r="I10" s="4"/>
      <c r="J10" s="4"/>
      <c r="K10" s="4"/>
      <c r="L10" s="4"/>
      <c r="M10" s="4"/>
      <c r="N10" s="9" t="str">
        <f>IFERROR(__xludf.DUMMYFUNCTION("""COMPUTED_VALUE"""),"OEPS A35 013")</f>
        <v>OEPS A35 013</v>
      </c>
      <c r="O10" s="4" t="str">
        <f>IFERROR(__xludf.DUMMYFUNCTION("""COMPUTED_VALUE"""),"GRM1555C1H100FA01D")</f>
        <v>GRM1555C1H100FA01D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>
      <c r="A11" s="4" t="str">
        <f>IFERROR(__xludf.DUMMYFUNCTION("""COMPUTED_VALUE"""),"CABLE:   RIBON 8COND WHITE 4INCH 0.1016meter   [A08SUR08SUR32W102A]")</f>
        <v>CABLE:   RIBON 8COND WHITE 4INCH 0.1016meter   [A08SUR08SUR32W102A]</v>
      </c>
      <c r="B11" s="4" t="str">
        <f>IFERROR(__xludf.DUMMYFUNCTION("""COMPUTED_VALUE"""),"OEPS090004")</f>
        <v>OEPS090004</v>
      </c>
      <c r="C11" s="4" t="str">
        <f>IFERROR(__xludf.DUMMYFUNCTION("""COMPUTED_VALUE"""),"Cable")</f>
        <v>Cable</v>
      </c>
      <c r="D11" s="4" t="str">
        <f>IFERROR(__xludf.DUMMYFUNCTION("""COMPUTED_VALUE"""),"A08SUR08SUR32W102A")</f>
        <v>A08SUR08SUR32W102A</v>
      </c>
      <c r="E11" s="4">
        <f>IFERROR(__xludf.DUMMYFUNCTION("""COMPUTED_VALUE"""),0.0)</f>
        <v>0</v>
      </c>
      <c r="F11" s="4" t="str">
        <f>IFERROR(__xludf.DUMMYFUNCTION("""COMPUTED_VALUE"""),"DigiKey")</f>
        <v>DigiKey</v>
      </c>
      <c r="G11" s="4" t="str">
        <f>IFERROR(__xludf.DUMMYFUNCTION("""COMPUTED_VALUE"""),"455-4058-ND")</f>
        <v>455-4058-ND</v>
      </c>
      <c r="H11" s="4"/>
      <c r="I11" s="4"/>
      <c r="J11" s="4"/>
      <c r="K11" s="4"/>
      <c r="L11" s="4"/>
      <c r="M11" s="4"/>
      <c r="N11" s="9" t="str">
        <f>IFERROR(__xludf.DUMMYFUNCTION("""COMPUTED_VALUE"""),"OEPS A35 014")</f>
        <v>OEPS A35 014</v>
      </c>
      <c r="O11" s="4" t="str">
        <f>IFERROR(__xludf.DUMMYFUNCTION("""COMPUTED_VALUE"""),"RC0402FR-1310KL")</f>
        <v>RC0402FR-1310KL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>
      <c r="A12" s="4" t="str">
        <f>IFERROR(__xludf.DUMMYFUNCTION("""COMPUTED_VALUE"""),"CABLE:   SDR 2meter 26POS   [1SD26-3120-00C-200]")</f>
        <v>CABLE:   SDR 2meter 26POS   [1SD26-3120-00C-200]</v>
      </c>
      <c r="B12" s="4" t="str">
        <f>IFERROR(__xludf.DUMMYFUNCTION("""COMPUTED_VALUE"""),"OEPS090001")</f>
        <v>OEPS090001</v>
      </c>
      <c r="C12" s="4" t="str">
        <f>IFERROR(__xludf.DUMMYFUNCTION("""COMPUTED_VALUE"""),"Cable")</f>
        <v>Cable</v>
      </c>
      <c r="D12" s="4" t="str">
        <f>IFERROR(__xludf.DUMMYFUNCTION("""COMPUTED_VALUE"""),"1SD26-3120-00C-200")</f>
        <v>1SD26-3120-00C-200</v>
      </c>
      <c r="E12" s="4">
        <f>IFERROR(__xludf.DUMMYFUNCTION("""COMPUTED_VALUE"""),1.0)</f>
        <v>1</v>
      </c>
      <c r="F12" s="4" t="str">
        <f>IFERROR(__xludf.DUMMYFUNCTION("""COMPUTED_VALUE"""),"DigiKey")</f>
        <v>DigiKey</v>
      </c>
      <c r="G12" s="4" t="str">
        <f>IFERROR(__xludf.DUMMYFUNCTION("""COMPUTED_VALUE"""),"3M155828-ND")</f>
        <v>3M155828-ND</v>
      </c>
      <c r="H12" s="4"/>
      <c r="I12" s="4"/>
      <c r="J12" s="4"/>
      <c r="K12" s="4"/>
      <c r="L12" s="4"/>
      <c r="M12" s="4"/>
      <c r="N12" s="9" t="str">
        <f>IFERROR(__xludf.DUMMYFUNCTION("""COMPUTED_VALUE"""),"OEPS A35 015")</f>
        <v>OEPS A35 015</v>
      </c>
      <c r="O12" s="4" t="str">
        <f>IFERROR(__xludf.DUMMYFUNCTION("""COMPUTED_VALUE"""),"RC0402FR-071KL")</f>
        <v>RC0402FR-071KL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>
      <c r="A13" s="4" t="str">
        <f>IFERROR(__xludf.DUMMYFUNCTION("""COMPUTED_VALUE"""),"CABLE:   Stereo Jack Plug to Plug 3,5 MM 3.3ft (1.0m)   [PSG03744]")</f>
        <v>CABLE:   Stereo Jack Plug to Plug 3,5 MM 3.3ft (1.0m)   [PSG03744]</v>
      </c>
      <c r="B13" s="4" t="str">
        <f>IFERROR(__xludf.DUMMYFUNCTION("""COMPUTED_VALUE"""),"OEPS090006")</f>
        <v>OEPS090006</v>
      </c>
      <c r="C13" s="4" t="str">
        <f>IFERROR(__xludf.DUMMYFUNCTION("""COMPUTED_VALUE"""),"Cable")</f>
        <v>Cable</v>
      </c>
      <c r="D13" s="4" t="str">
        <f>IFERROR(__xludf.DUMMYFUNCTION("""COMPUTED_VALUE"""),"PSG03744")</f>
        <v>PSG03744</v>
      </c>
      <c r="E13" s="4">
        <f>IFERROR(__xludf.DUMMYFUNCTION("""COMPUTED_VALUE"""),0.0)</f>
        <v>0</v>
      </c>
      <c r="F13" s="4" t="str">
        <f>IFERROR(__xludf.DUMMYFUNCTION("""COMPUTED_VALUE"""),"Farnell")</f>
        <v>Farnell</v>
      </c>
      <c r="G13" s="4" t="str">
        <f>IFERROR(__xludf.DUMMYFUNCTION("""COMPUTED_VALUE"""),"3498200")</f>
        <v>3498200</v>
      </c>
      <c r="H13" s="4"/>
      <c r="I13" s="4"/>
      <c r="J13" s="4"/>
      <c r="K13" s="4"/>
      <c r="L13" s="4"/>
      <c r="M13" s="4"/>
      <c r="N13" s="9" t="str">
        <f>IFERROR(__xludf.DUMMYFUNCTION("""COMPUTED_VALUE"""),"OEPS A35 016")</f>
        <v>OEPS A35 016</v>
      </c>
      <c r="O13" s="4" t="str">
        <f>IFERROR(__xludf.DUMMYFUNCTION("""COMPUTED_VALUE"""),"RC0402FR-074K7L")</f>
        <v>RC0402FR-074K7L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>
      <c r="A14" s="4" t="str">
        <f>IFERROR(__xludf.DUMMYFUNCTION("""COMPUTED_VALUE"""),"CAPACITOR POL:   SMD ALUM 1000uF 6.3V ±20% X7R   [MCVVT6R3M102FB3L] [SMD]")</f>
        <v>CAPACITOR POL:   SMD ALUM 1000uF 6.3V ±20% X7R   [MCVVT6R3M102FB3L] [SMD]</v>
      </c>
      <c r="B14" s="4" t="str">
        <f>IFERROR(__xludf.DUMMYFUNCTION("""COMPUTED_VALUE"""),"OEPS210009")</f>
        <v>OEPS210009</v>
      </c>
      <c r="C14" s="4" t="str">
        <f>IFERROR(__xludf.DUMMYFUNCTION("""COMPUTED_VALUE"""),"SMD")</f>
        <v>SMD</v>
      </c>
      <c r="D14" s="4" t="str">
        <f>IFERROR(__xludf.DUMMYFUNCTION("""COMPUTED_VALUE"""),"MCVVT6R3M102FB3L")</f>
        <v>MCVVT6R3M102FB3L</v>
      </c>
      <c r="E14" s="4">
        <f>IFERROR(__xludf.DUMMYFUNCTION("""COMPUTED_VALUE"""),5.0)</f>
        <v>5</v>
      </c>
      <c r="F14" s="4" t="str">
        <f>IFERROR(__xludf.DUMMYFUNCTION("""COMPUTED_VALUE"""),"Farnell")</f>
        <v>Farnell</v>
      </c>
      <c r="G14" s="4" t="str">
        <f>IFERROR(__xludf.DUMMYFUNCTION("""COMPUTED_VALUE"""),"2611416")</f>
        <v>2611416</v>
      </c>
      <c r="H14" s="4"/>
      <c r="I14" s="4"/>
      <c r="J14" s="4"/>
      <c r="K14" s="4"/>
      <c r="L14" s="4"/>
      <c r="M14" s="4"/>
      <c r="N14" s="9" t="str">
        <f>IFERROR(__xludf.DUMMYFUNCTION("""COMPUTED_VALUE"""),"OEPS A35 017")</f>
        <v>OEPS A35 017</v>
      </c>
      <c r="O14" s="4" t="str">
        <f>IFERROR(__xludf.DUMMYFUNCTION("""COMPUTED_VALUE"""),"RC0402FR-070RL")</f>
        <v>RC0402FR-070RL</v>
      </c>
      <c r="P14" s="4" t="str">
        <f>IFERROR(__xludf.DUMMYFUNCTION("""COMPUTED_VALUE"""),"91(R) ")</f>
        <v>91(R) </v>
      </c>
      <c r="Q14" s="4">
        <f>IFERROR(__xludf.DUMMYFUNCTION("""COMPUTED_VALUE"""),91.0)</f>
        <v>91</v>
      </c>
      <c r="R14" s="4">
        <f>IFERROR(__xludf.DUMMYFUNCTION("""COMPUTED_VALUE"""),91.0)</f>
        <v>91</v>
      </c>
      <c r="S14" s="4" t="str">
        <f>IFERROR(__xludf.DUMMYFUNCTION("""COMPUTED_VALUE"""),"Reel")</f>
        <v>Reel</v>
      </c>
      <c r="T14" s="4" t="str">
        <f>IFERROR(__xludf.DUMMYFUNCTION("""COMPUTED_VALUE"""),"0622")</f>
        <v>0622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>
      <c r="A15" s="4" t="str">
        <f>IFERROR(__xludf.DUMMYFUNCTION("""COMPUTED_VALUE"""),"CAPACITOR POL:   SMD ALUM 100uF 25V ±20% X7R   [UCD1E101MCL6GS] [SMD]")</f>
        <v>CAPACITOR POL:   SMD ALUM 100uF 25V ±20% X7R   [UCD1E101MCL6GS] [SMD]</v>
      </c>
      <c r="B15" s="4" t="str">
        <f>IFERROR(__xludf.DUMMYFUNCTION("""COMPUTED_VALUE"""),"OEPS210012")</f>
        <v>OEPS210012</v>
      </c>
      <c r="C15" s="4" t="str">
        <f>IFERROR(__xludf.DUMMYFUNCTION("""COMPUTED_VALUE"""),"SMD")</f>
        <v>SMD</v>
      </c>
      <c r="D15" s="4" t="str">
        <f>IFERROR(__xludf.DUMMYFUNCTION("""COMPUTED_VALUE"""),"UCD1E101MCL6GS")</f>
        <v>UCD1E101MCL6GS</v>
      </c>
      <c r="E15" s="4">
        <f>IFERROR(__xludf.DUMMYFUNCTION("""COMPUTED_VALUE"""),2.0)</f>
        <v>2</v>
      </c>
      <c r="F15" s="4" t="str">
        <f>IFERROR(__xludf.DUMMYFUNCTION("""COMPUTED_VALUE"""),"DigiKey")</f>
        <v>DigiKey</v>
      </c>
      <c r="G15" s="4" t="str">
        <f>IFERROR(__xludf.DUMMYFUNCTION("""COMPUTED_VALUE"""),"493-6198-6-ND")</f>
        <v>493-6198-6-ND</v>
      </c>
      <c r="H15" s="4"/>
      <c r="I15" s="4"/>
      <c r="J15" s="4"/>
      <c r="K15" s="4"/>
      <c r="L15" s="4"/>
      <c r="M15" s="4"/>
      <c r="N15" s="9" t="str">
        <f>IFERROR(__xludf.DUMMYFUNCTION("""COMPUTED_VALUE"""),"OEPS A35 019")</f>
        <v>OEPS A35 019</v>
      </c>
      <c r="O15" s="4" t="str">
        <f>IFERROR(__xludf.DUMMYFUNCTION("""COMPUTED_VALUE"""),"RN731ETTP50R0F50")</f>
        <v>RN731ETTP50R0F50</v>
      </c>
      <c r="P15" s="4" t="str">
        <f>IFERROR(__xludf.DUMMYFUNCTION("""COMPUTED_VALUE"""),"58(R) ")</f>
        <v>58(R) </v>
      </c>
      <c r="Q15" s="4">
        <f>IFERROR(__xludf.DUMMYFUNCTION("""COMPUTED_VALUE"""),58.0)</f>
        <v>58</v>
      </c>
      <c r="R15" s="4">
        <f>IFERROR(__xludf.DUMMYFUNCTION("""COMPUTED_VALUE"""),58.0)</f>
        <v>58</v>
      </c>
      <c r="S15" s="4" t="str">
        <f>IFERROR(__xludf.DUMMYFUNCTION("""COMPUTED_VALUE"""),"Reel")</f>
        <v>Reel</v>
      </c>
      <c r="T15" s="4" t="str">
        <f>IFERROR(__xludf.DUMMYFUNCTION("""COMPUTED_VALUE"""),"0622")</f>
        <v>0622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>
      <c r="A16" s="4" t="str">
        <f>IFERROR(__xludf.DUMMYFUNCTION("""COMPUTED_VALUE"""),"CAPACITOR POL:   SMD TANT A 1206 100uF 10V ±20% 1.4Ohm   [TLJA107M010R1400] [SMD]")</f>
        <v>CAPACITOR POL:   SMD TANT A 1206 100uF 10V ±20% 1.4Ohm   [TLJA107M010R1400] [SMD]</v>
      </c>
      <c r="B16" s="4" t="str">
        <f>IFERROR(__xludf.DUMMYFUNCTION("""COMPUTED_VALUE"""),"OEPS210002")</f>
        <v>OEPS210002</v>
      </c>
      <c r="C16" s="4" t="str">
        <f>IFERROR(__xludf.DUMMYFUNCTION("""COMPUTED_VALUE"""),"SMD")</f>
        <v>SMD</v>
      </c>
      <c r="D16" s="4" t="str">
        <f>IFERROR(__xludf.DUMMYFUNCTION("""COMPUTED_VALUE"""),"TLJA107M010R1400")</f>
        <v>TLJA107M010R1400</v>
      </c>
      <c r="E16" s="4">
        <f>IFERROR(__xludf.DUMMYFUNCTION("""COMPUTED_VALUE"""),5.0)</f>
        <v>5</v>
      </c>
      <c r="F16" s="4" t="str">
        <f>IFERROR(__xludf.DUMMYFUNCTION("""COMPUTED_VALUE"""),"DigiKey")</f>
        <v>DigiKey</v>
      </c>
      <c r="G16" s="4" t="str">
        <f>IFERROR(__xludf.DUMMYFUNCTION("""COMPUTED_VALUE"""),"478-5651-6-ND")</f>
        <v>478-5651-6-ND</v>
      </c>
      <c r="H16" s="4"/>
      <c r="I16" s="4"/>
      <c r="J16" s="4"/>
      <c r="K16" s="4"/>
      <c r="L16" s="4"/>
      <c r="M16" s="4"/>
      <c r="N16" s="9" t="str">
        <f>IFERROR(__xludf.DUMMYFUNCTION("""COMPUTED_VALUE"""),"OEPS A35 020")</f>
        <v>OEPS A35 020</v>
      </c>
      <c r="O16" s="4" t="str">
        <f>IFERROR(__xludf.DUMMYFUNCTION("""COMPUTED_VALUE"""),"RC0402FR-07240RL")</f>
        <v>RC0402FR-07240RL</v>
      </c>
      <c r="P16" s="4" t="str">
        <f>IFERROR(__xludf.DUMMYFUNCTION("""COMPUTED_VALUE"""),"506(R) ")</f>
        <v>506(R) </v>
      </c>
      <c r="Q16" s="4">
        <f>IFERROR(__xludf.DUMMYFUNCTION("""COMPUTED_VALUE"""),506.0)</f>
        <v>506</v>
      </c>
      <c r="R16" s="4">
        <f>IFERROR(__xludf.DUMMYFUNCTION("""COMPUTED_VALUE"""),506.0)</f>
        <v>506</v>
      </c>
      <c r="S16" s="4" t="str">
        <f>IFERROR(__xludf.DUMMYFUNCTION("""COMPUTED_VALUE"""),"Reel")</f>
        <v>Reel</v>
      </c>
      <c r="T16" s="4" t="str">
        <f>IFERROR(__xludf.DUMMYFUNCTION("""COMPUTED_VALUE"""),"0622")</f>
        <v>0622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>
      <c r="A17" s="4" t="str">
        <f>IFERROR(__xludf.DUMMYFUNCTION("""COMPUTED_VALUE"""),"CAPACITOR POL:   SMD TANT A 1206 4.7uF 16V ±10%   [TAJA475K016UNJ] [SMD]")</f>
        <v>CAPACITOR POL:   SMD TANT A 1206 4.7uF 16V ±10%   [TAJA475K016UNJ] [SMD]</v>
      </c>
      <c r="B17" s="4" t="str">
        <f>IFERROR(__xludf.DUMMYFUNCTION("""COMPUTED_VALUE"""),"OEPS210003")</f>
        <v>OEPS210003</v>
      </c>
      <c r="C17" s="4" t="str">
        <f>IFERROR(__xludf.DUMMYFUNCTION("""COMPUTED_VALUE"""),"SMD")</f>
        <v>SMD</v>
      </c>
      <c r="D17" s="4" t="str">
        <f>IFERROR(__xludf.DUMMYFUNCTION("""COMPUTED_VALUE"""),"TAJA475K016UNJ")</f>
        <v>TAJA475K016UNJ</v>
      </c>
      <c r="E17" s="4">
        <f>IFERROR(__xludf.DUMMYFUNCTION("""COMPUTED_VALUE"""),5.0)</f>
        <v>5</v>
      </c>
      <c r="F17" s="4" t="str">
        <f>IFERROR(__xludf.DUMMYFUNCTION("""COMPUTED_VALUE"""),"DigiKey")</f>
        <v>DigiKey</v>
      </c>
      <c r="G17" s="4" t="str">
        <f>IFERROR(__xludf.DUMMYFUNCTION("""COMPUTED_VALUE"""),"478-11461-6-ND")</f>
        <v>478-11461-6-ND</v>
      </c>
      <c r="H17" s="4"/>
      <c r="I17" s="4"/>
      <c r="J17" s="4"/>
      <c r="K17" s="4"/>
      <c r="L17" s="4"/>
      <c r="M17" s="4"/>
      <c r="N17" s="9" t="str">
        <f>IFERROR(__xludf.DUMMYFUNCTION("""COMPUTED_VALUE"""),"OEPS A35 021")</f>
        <v>OEPS A35 021</v>
      </c>
      <c r="O17" s="4" t="str">
        <f>IFERROR(__xludf.DUMMYFUNCTION("""COMPUTED_VALUE"""),"RC0402FR-071K6L")</f>
        <v>RC0402FR-071K6L</v>
      </c>
      <c r="P17" s="4" t="str">
        <f>IFERROR(__xludf.DUMMYFUNCTION("""COMPUTED_VALUE"""),"503(R) ")</f>
        <v>503(R) </v>
      </c>
      <c r="Q17" s="4">
        <f>IFERROR(__xludf.DUMMYFUNCTION("""COMPUTED_VALUE"""),503.0)</f>
        <v>503</v>
      </c>
      <c r="R17" s="4">
        <f>IFERROR(__xludf.DUMMYFUNCTION("""COMPUTED_VALUE"""),503.0)</f>
        <v>503</v>
      </c>
      <c r="S17" s="4" t="str">
        <f>IFERROR(__xludf.DUMMYFUNCTION("""COMPUTED_VALUE"""),"Reel")</f>
        <v>Reel</v>
      </c>
      <c r="T17" s="4" t="str">
        <f>IFERROR(__xludf.DUMMYFUNCTION("""COMPUTED_VALUE"""),"0622")</f>
        <v>0622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>
      <c r="A18" s="4" t="str">
        <f>IFERROR(__xludf.DUMMYFUNCTION("""COMPUTED_VALUE"""),"CAPACITOR POL:   SMD TANT B0 1411 33uF 20V ±20% 50Ohm   [TL8B0336M020C] [SMD]")</f>
        <v>CAPACITOR POL:   SMD TANT B0 1411 33uF 20V ±20% 50Ohm   [TL8B0336M020C] [SMD]</v>
      </c>
      <c r="B18" s="4" t="str">
        <f>IFERROR(__xludf.DUMMYFUNCTION("""COMPUTED_VALUE"""),"OEPS210010")</f>
        <v>OEPS210010</v>
      </c>
      <c r="C18" s="4" t="str">
        <f>IFERROR(__xludf.DUMMYFUNCTION("""COMPUTED_VALUE"""),"SMD")</f>
        <v>SMD</v>
      </c>
      <c r="D18" s="4" t="str">
        <f>IFERROR(__xludf.DUMMYFUNCTION("""COMPUTED_VALUE"""),"TL8B0336M020C")</f>
        <v>TL8B0336M020C</v>
      </c>
      <c r="E18" s="4">
        <f>IFERROR(__xludf.DUMMYFUNCTION("""COMPUTED_VALUE"""),5.0)</f>
        <v>5</v>
      </c>
      <c r="F18" s="4" t="str">
        <f>IFERROR(__xludf.DUMMYFUNCTION("""COMPUTED_VALUE"""),"Digikey")</f>
        <v>Digikey</v>
      </c>
      <c r="G18" s="4" t="str">
        <f>IFERROR(__xludf.DUMMYFUNCTION("""COMPUTED_VALUE"""),"718-1918-6-ND")</f>
        <v>718-1918-6-ND</v>
      </c>
      <c r="H18" s="4"/>
      <c r="I18" s="4"/>
      <c r="J18" s="4"/>
      <c r="K18" s="4"/>
      <c r="L18" s="4"/>
      <c r="M18" s="4"/>
      <c r="N18" s="9" t="str">
        <f>IFERROR(__xludf.DUMMYFUNCTION("""COMPUTED_VALUE"""),"OEPS A35 022")</f>
        <v>OEPS A35 022</v>
      </c>
      <c r="O18" s="4" t="str">
        <f>IFERROR(__xludf.DUMMYFUNCTION("""COMPUTED_VALUE"""),"RC0402FR-0740K2L")</f>
        <v>RC0402FR-0740K2L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>
      <c r="A19" s="4" t="str">
        <f>IFERROR(__xludf.DUMMYFUNCTION("""COMPUTED_VALUE"""),"CAPACITOR POL:   SMD TANT D 2917 100uF 16V ±10% 700mOhm   [T491D107K016AT7280] [SMD]")</f>
        <v>CAPACITOR POL:   SMD TANT D 2917 100uF 16V ±10% 700mOhm   [T491D107K016AT7280] [SMD]</v>
      </c>
      <c r="B19" s="4" t="str">
        <f>IFERROR(__xludf.DUMMYFUNCTION("""COMPUTED_VALUE"""),"OEPS210004")</f>
        <v>OEPS210004</v>
      </c>
      <c r="C19" s="4" t="str">
        <f>IFERROR(__xludf.DUMMYFUNCTION("""COMPUTED_VALUE"""),"SMD")</f>
        <v>SMD</v>
      </c>
      <c r="D19" s="4" t="str">
        <f>IFERROR(__xludf.DUMMYFUNCTION("""COMPUTED_VALUE"""),"T491D107K016AT7280")</f>
        <v>T491D107K016AT7280</v>
      </c>
      <c r="E19" s="4">
        <f>IFERROR(__xludf.DUMMYFUNCTION("""COMPUTED_VALUE"""),3.0)</f>
        <v>3</v>
      </c>
      <c r="F19" s="4" t="str">
        <f>IFERROR(__xludf.DUMMYFUNCTION("""COMPUTED_VALUE"""),"DigiKey")</f>
        <v>DigiKey</v>
      </c>
      <c r="G19" s="4" t="str">
        <f>IFERROR(__xludf.DUMMYFUNCTION("""COMPUTED_VALUE"""),"399-18066-6-ND")</f>
        <v>399-18066-6-ND</v>
      </c>
      <c r="H19" s="4"/>
      <c r="I19" s="4"/>
      <c r="J19" s="4"/>
      <c r="K19" s="4"/>
      <c r="L19" s="4"/>
      <c r="M19" s="4"/>
      <c r="N19" s="9" t="str">
        <f>IFERROR(__xludf.DUMMYFUNCTION("""COMPUTED_VALUE"""),"OEPS A35 023")</f>
        <v>OEPS A35 023</v>
      </c>
      <c r="O19" s="4" t="str">
        <f>IFERROR(__xludf.DUMMYFUNCTION("""COMPUTED_VALUE"""),"RC0402FR-07665KL")</f>
        <v>RC0402FR-07665KL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>
      <c r="A20" s="4" t="str">
        <f>IFERROR(__xludf.DUMMYFUNCTION("""COMPUTED_VALUE"""),"CAPACITOR POL:   SMD TANT D 2917 330uF 10V ±10% 65mOhm (OEPS J30 011A)   [TPSD337K010R0065] [SMD]")</f>
        <v>CAPACITOR POL:   SMD TANT D 2917 330uF 10V ±10% 65mOhm (OEPS J30 011A)   [TPSD337K010R0065] [SMD]</v>
      </c>
      <c r="B20" s="4" t="str">
        <f>IFERROR(__xludf.DUMMYFUNCTION("""COMPUTED_VALUE"""),"OEPS210008")</f>
        <v>OEPS210008</v>
      </c>
      <c r="C20" s="4" t="str">
        <f>IFERROR(__xludf.DUMMYFUNCTION("""COMPUTED_VALUE"""),"SMD")</f>
        <v>SMD</v>
      </c>
      <c r="D20" s="4" t="str">
        <f>IFERROR(__xludf.DUMMYFUNCTION("""COMPUTED_VALUE"""),"TPSD337K010R0065")</f>
        <v>TPSD337K010R0065</v>
      </c>
      <c r="E20" s="4">
        <f>IFERROR(__xludf.DUMMYFUNCTION("""COMPUTED_VALUE"""),5.0)</f>
        <v>5</v>
      </c>
      <c r="F20" s="4" t="str">
        <f>IFERROR(__xludf.DUMMYFUNCTION("""COMPUTED_VALUE"""),"Digikey")</f>
        <v>Digikey</v>
      </c>
      <c r="G20" s="4" t="str">
        <f>IFERROR(__xludf.DUMMYFUNCTION("""COMPUTED_VALUE"""),"478-9190-6-ND")</f>
        <v>478-9190-6-ND</v>
      </c>
      <c r="H20" s="4"/>
      <c r="I20" s="4"/>
      <c r="J20" s="4"/>
      <c r="K20" s="4"/>
      <c r="L20" s="4"/>
      <c r="M20" s="4"/>
      <c r="N20" s="9" t="str">
        <f>IFERROR(__xludf.DUMMYFUNCTION("""COMPUTED_VALUE"""),"OEPS A35 024")</f>
        <v>OEPS A35 024</v>
      </c>
      <c r="O20" s="4" t="str">
        <f>IFERROR(__xludf.DUMMYFUNCTION("""COMPUTED_VALUE"""),"RC0402FR-07357KL")</f>
        <v>RC0402FR-07357KL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>
      <c r="A21" s="4" t="str">
        <f>IFERROR(__xludf.DUMMYFUNCTION("""COMPUTED_VALUE"""),"CAPACITOR POL:   SMD TANT X 100uF 16V ±10% 75mOhm   [T498X107K016ATE075] [SMD]")</f>
        <v>CAPACITOR POL:   SMD TANT X 100uF 16V ±10% 75mOhm   [T498X107K016ATE075] [SMD]</v>
      </c>
      <c r="B21" s="4" t="str">
        <f>IFERROR(__xludf.DUMMYFUNCTION("""COMPUTED_VALUE"""),"OEPS210001")</f>
        <v>OEPS210001</v>
      </c>
      <c r="C21" s="4" t="str">
        <f>IFERROR(__xludf.DUMMYFUNCTION("""COMPUTED_VALUE"""),"SMD")</f>
        <v>SMD</v>
      </c>
      <c r="D21" s="4" t="str">
        <f>IFERROR(__xludf.DUMMYFUNCTION("""COMPUTED_VALUE"""),"T498X107K016ATE075")</f>
        <v>T498X107K016ATE075</v>
      </c>
      <c r="E21" s="4">
        <f>IFERROR(__xludf.DUMMYFUNCTION("""COMPUTED_VALUE"""),3.0)</f>
        <v>3</v>
      </c>
      <c r="F21" s="4" t="str">
        <f>IFERROR(__xludf.DUMMYFUNCTION("""COMPUTED_VALUE"""),"DigiKey")</f>
        <v>DigiKey</v>
      </c>
      <c r="G21" s="4" t="str">
        <f>IFERROR(__xludf.DUMMYFUNCTION("""COMPUTED_VALUE"""),"399-5207-6-ND")</f>
        <v>399-5207-6-ND</v>
      </c>
      <c r="H21" s="4"/>
      <c r="I21" s="4"/>
      <c r="J21" s="4"/>
      <c r="K21" s="4"/>
      <c r="L21" s="4"/>
      <c r="M21" s="4"/>
      <c r="N21" s="9" t="str">
        <f>IFERROR(__xludf.DUMMYFUNCTION("""COMPUTED_VALUE"""),"OEPS A35 025")</f>
        <v>OEPS A35 025</v>
      </c>
      <c r="O21" s="4" t="str">
        <f>IFERROR(__xludf.DUMMYFUNCTION("""COMPUTED_VALUE"""),"RC0402FR-0724K9L")</f>
        <v>RC0402FR-0724K9L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>
      <c r="A22" s="4" t="str">
        <f>IFERROR(__xludf.DUMMYFUNCTION("""COMPUTED_VALUE"""),"CAPACITOR POL:   TH ALUM 100uF 25V ±20% 130mOhm   [EEU-FM1E101B] [TH]")</f>
        <v>CAPACITOR POL:   TH ALUM 100uF 25V ±20% 130mOhm   [EEU-FM1E101B] [TH]</v>
      </c>
      <c r="B22" s="4" t="str">
        <f>IFERROR(__xludf.DUMMYFUNCTION("""COMPUTED_VALUE"""),"OEPS210005")</f>
        <v>OEPS210005</v>
      </c>
      <c r="C22" s="4" t="str">
        <f>IFERROR(__xludf.DUMMYFUNCTION("""COMPUTED_VALUE"""),"TH")</f>
        <v>TH</v>
      </c>
      <c r="D22" s="4" t="str">
        <f>IFERROR(__xludf.DUMMYFUNCTION("""COMPUTED_VALUE"""),"EEU-FM1E101B")</f>
        <v>EEU-FM1E101B</v>
      </c>
      <c r="E22" s="4">
        <f>IFERROR(__xludf.DUMMYFUNCTION("""COMPUTED_VALUE"""),1.0)</f>
        <v>1</v>
      </c>
      <c r="F22" s="4" t="str">
        <f>IFERROR(__xludf.DUMMYFUNCTION("""COMPUTED_VALUE"""),"DigiKey")</f>
        <v>DigiKey</v>
      </c>
      <c r="G22" s="4" t="str">
        <f>IFERROR(__xludf.DUMMYFUNCTION("""COMPUTED_VALUE"""),"P19702CT-ND")</f>
        <v>P19702CT-ND</v>
      </c>
      <c r="H22" s="4"/>
      <c r="I22" s="4"/>
      <c r="J22" s="4"/>
      <c r="K22" s="4"/>
      <c r="L22" s="4"/>
      <c r="M22" s="4"/>
      <c r="N22" s="9" t="str">
        <f>IFERROR(__xludf.DUMMYFUNCTION("""COMPUTED_VALUE"""),"OEPS A35 026")</f>
        <v>OEPS A35 026</v>
      </c>
      <c r="O22" s="4" t="str">
        <f>IFERROR(__xludf.DUMMYFUNCTION("""COMPUTED_VALUE"""),"RC0402FR-0778K7L")</f>
        <v>RC0402FR-0778K7L</v>
      </c>
      <c r="P22" s="4" t="str">
        <f>IFERROR(__xludf.DUMMYFUNCTION("""COMPUTED_VALUE"""),"512(R) ")</f>
        <v>512(R) </v>
      </c>
      <c r="Q22" s="4">
        <f>IFERROR(__xludf.DUMMYFUNCTION("""COMPUTED_VALUE"""),512.0)</f>
        <v>512</v>
      </c>
      <c r="R22" s="4">
        <f>IFERROR(__xludf.DUMMYFUNCTION("""COMPUTED_VALUE"""),512.0)</f>
        <v>512</v>
      </c>
      <c r="S22" s="4" t="str">
        <f>IFERROR(__xludf.DUMMYFUNCTION("""COMPUTED_VALUE"""),"Reel")</f>
        <v>Reel</v>
      </c>
      <c r="T22" s="4" t="str">
        <f>IFERROR(__xludf.DUMMYFUNCTION("""COMPUTED_VALUE"""),"0622")</f>
        <v>0622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>
      <c r="A23" s="4" t="str">
        <f>IFERROR(__xludf.DUMMYFUNCTION("""COMPUTED_VALUE"""),"CAPACITOR POL:   TH ALUM 330uF 16V ±20% 115,5mOhm   [MCGPR16V337M8X11] [TH]")</f>
        <v>CAPACITOR POL:   TH ALUM 330uF 16V ±20% 115,5mOhm   [MCGPR16V337M8X11] [TH]</v>
      </c>
      <c r="B23" s="4" t="str">
        <f>IFERROR(__xludf.DUMMYFUNCTION("""COMPUTED_VALUE"""),"OEPS210006")</f>
        <v>OEPS210006</v>
      </c>
      <c r="C23" s="4" t="str">
        <f>IFERROR(__xludf.DUMMYFUNCTION("""COMPUTED_VALUE"""),"TH")</f>
        <v>TH</v>
      </c>
      <c r="D23" s="4" t="str">
        <f>IFERROR(__xludf.DUMMYFUNCTION("""COMPUTED_VALUE"""),"MCGPR16V337M8X11")</f>
        <v>MCGPR16V337M8X11</v>
      </c>
      <c r="E23" s="4">
        <f>IFERROR(__xludf.DUMMYFUNCTION("""COMPUTED_VALUE"""),1.0)</f>
        <v>1</v>
      </c>
      <c r="F23" s="4" t="str">
        <f>IFERROR(__xludf.DUMMYFUNCTION("""COMPUTED_VALUE"""),"Farnell")</f>
        <v>Farnell</v>
      </c>
      <c r="G23" s="4" t="str">
        <f>IFERROR(__xludf.DUMMYFUNCTION("""COMPUTED_VALUE"""),"9451102")</f>
        <v>9451102</v>
      </c>
      <c r="H23" s="4"/>
      <c r="I23" s="4"/>
      <c r="J23" s="4"/>
      <c r="K23" s="4"/>
      <c r="L23" s="4"/>
      <c r="M23" s="4"/>
      <c r="N23" s="9" t="str">
        <f>IFERROR(__xludf.DUMMYFUNCTION("""COMPUTED_VALUE"""),"OEPS A35 027")</f>
        <v>OEPS A35 027</v>
      </c>
      <c r="O23" s="4" t="str">
        <f>IFERROR(__xludf.DUMMYFUNCTION("""COMPUTED_VALUE"""),"RC0402FR-07118KL")</f>
        <v>RC0402FR-07118KL</v>
      </c>
      <c r="P23" s="4" t="str">
        <f>IFERROR(__xludf.DUMMYFUNCTION("""COMPUTED_VALUE"""),"543(R) ")</f>
        <v>543(R) </v>
      </c>
      <c r="Q23" s="4">
        <f>IFERROR(__xludf.DUMMYFUNCTION("""COMPUTED_VALUE"""),543.0)</f>
        <v>543</v>
      </c>
      <c r="R23" s="4">
        <f>IFERROR(__xludf.DUMMYFUNCTION("""COMPUTED_VALUE"""),543.0)</f>
        <v>543</v>
      </c>
      <c r="S23" s="4" t="str">
        <f>IFERROR(__xludf.DUMMYFUNCTION("""COMPUTED_VALUE"""),"Reel")</f>
        <v>Reel</v>
      </c>
      <c r="T23" s="4" t="str">
        <f>IFERROR(__xludf.DUMMYFUNCTION("""COMPUTED_VALUE"""),"0622")</f>
        <v>0622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>
      <c r="A24" s="4" t="str">
        <f>IFERROR(__xludf.DUMMYFUNCTION("""COMPUTED_VALUE"""),"CAPACITOR POL:   TH SUPERCAPACITOR 3F 2.7V ±10% RADIAL   [HV0820-2R7305-R] [TH]")</f>
        <v>CAPACITOR POL:   TH SUPERCAPACITOR 3F 2.7V ±10% RADIAL   [HV0820-2R7305-R] [TH]</v>
      </c>
      <c r="B24" s="4" t="str">
        <f>IFERROR(__xludf.DUMMYFUNCTION("""COMPUTED_VALUE"""),"OEPS210011")</f>
        <v>OEPS210011</v>
      </c>
      <c r="C24" s="4" t="str">
        <f>IFERROR(__xludf.DUMMYFUNCTION("""COMPUTED_VALUE"""),"TH")</f>
        <v>TH</v>
      </c>
      <c r="D24" s="4" t="str">
        <f>IFERROR(__xludf.DUMMYFUNCTION("""COMPUTED_VALUE"""),"HV0820-2R7305-R")</f>
        <v>HV0820-2R7305-R</v>
      </c>
      <c r="E24" s="4">
        <f>IFERROR(__xludf.DUMMYFUNCTION("""COMPUTED_VALUE"""),1.0)</f>
        <v>1</v>
      </c>
      <c r="F24" s="4" t="str">
        <f>IFERROR(__xludf.DUMMYFUNCTION("""COMPUTED_VALUE"""),"DigiKey")</f>
        <v>DigiKey</v>
      </c>
      <c r="G24" s="4" t="str">
        <f>IFERROR(__xludf.DUMMYFUNCTION("""COMPUTED_VALUE"""),"283-HV0820-2R7305-R-ND")</f>
        <v>283-HV0820-2R7305-R-ND</v>
      </c>
      <c r="H24" s="4"/>
      <c r="I24" s="4"/>
      <c r="J24" s="4"/>
      <c r="K24" s="4"/>
      <c r="L24" s="4"/>
      <c r="M24" s="4"/>
      <c r="N24" s="9" t="str">
        <f>IFERROR(__xludf.DUMMYFUNCTION("""COMPUTED_VALUE"""),"OEPS A35 028")</f>
        <v>OEPS A35 028</v>
      </c>
      <c r="O24" s="4" t="str">
        <f>IFERROR(__xludf.DUMMYFUNCTION("""COMPUTED_VALUE"""),"BLM15AG601SN1D")</f>
        <v>BLM15AG601SN1D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>
      <c r="A25" s="4" t="str">
        <f>IFERROR(__xludf.DUMMYFUNCTION("""COMPUTED_VALUE"""),"CAPACITOR POL:   USE OEPS210006 INSTEAD   [MCGPR16V337M8X11] [TH]")</f>
        <v>CAPACITOR POL:   USE OEPS210006 INSTEAD   [MCGPR16V337M8X11] [TH]</v>
      </c>
      <c r="B25" s="4" t="str">
        <f>IFERROR(__xludf.DUMMYFUNCTION("""COMPUTED_VALUE"""),"OEPS210007")</f>
        <v>OEPS210007</v>
      </c>
      <c r="C25" s="4" t="str">
        <f>IFERROR(__xludf.DUMMYFUNCTION("""COMPUTED_VALUE"""),"TH")</f>
        <v>TH</v>
      </c>
      <c r="D25" s="4" t="str">
        <f>IFERROR(__xludf.DUMMYFUNCTION("""COMPUTED_VALUE"""),"MCGPR16V337M8X11")</f>
        <v>MCGPR16V337M8X11</v>
      </c>
      <c r="E25" s="4">
        <f>IFERROR(__xludf.DUMMYFUNCTION("""COMPUTED_VALUE"""),1.0)</f>
        <v>1</v>
      </c>
      <c r="F25" s="4" t="str">
        <f>IFERROR(__xludf.DUMMYFUNCTION("""COMPUTED_VALUE"""),"Farnell")</f>
        <v>Farnell</v>
      </c>
      <c r="G25" s="4" t="str">
        <f>IFERROR(__xludf.DUMMYFUNCTION("""COMPUTED_VALUE"""),"9451102")</f>
        <v>9451102</v>
      </c>
      <c r="H25" s="4"/>
      <c r="I25" s="4"/>
      <c r="J25" s="4"/>
      <c r="K25" s="4"/>
      <c r="L25" s="4"/>
      <c r="M25" s="4"/>
      <c r="N25" s="9" t="str">
        <f>IFERROR(__xludf.DUMMYFUNCTION("""COMPUTED_VALUE"""),"OEPS A35 029")</f>
        <v>OEPS A35 029</v>
      </c>
      <c r="O25" s="4" t="str">
        <f>IFERROR(__xludf.DUMMYFUNCTION("""COMPUTED_VALUE"""),"MH2029-221Y")</f>
        <v>MH2029-221Y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>
      <c r="A26" s="4" t="str">
        <f>IFERROR(__xludf.DUMMYFUNCTION("""COMPUTED_VALUE"""),"CAPACITOR:   SMD CER 01005 10nF 16V ±10% X5R   [GRM022R61C103KE01L] [SMD]")</f>
        <v>CAPACITOR:   SMD CER 01005 10nF 16V ±10% X5R   [GRM022R61C103KE01L] [SMD]</v>
      </c>
      <c r="B26" s="4" t="str">
        <f>IFERROR(__xludf.DUMMYFUNCTION("""COMPUTED_VALUE"""),"OEPS010101")</f>
        <v>OEPS010101</v>
      </c>
      <c r="C26" s="4" t="str">
        <f>IFERROR(__xludf.DUMMYFUNCTION("""COMPUTED_VALUE"""),"SMD")</f>
        <v>SMD</v>
      </c>
      <c r="D26" s="4" t="str">
        <f>IFERROR(__xludf.DUMMYFUNCTION("""COMPUTED_VALUE"""),"GRM022R61C103KE01L")</f>
        <v>GRM022R61C103KE01L</v>
      </c>
      <c r="E26" s="4">
        <f>IFERROR(__xludf.DUMMYFUNCTION("""COMPUTED_VALUE"""),30.0)</f>
        <v>30</v>
      </c>
      <c r="F26" s="4" t="str">
        <f>IFERROR(__xludf.DUMMYFUNCTION("""COMPUTED_VALUE"""),"Digikey")</f>
        <v>Digikey</v>
      </c>
      <c r="G26" s="4" t="str">
        <f>IFERROR(__xludf.DUMMYFUNCTION("""COMPUTED_VALUE"""),"490-GRM022R61C103KE01LCT-ND")</f>
        <v>490-GRM022R61C103KE01LCT-ND</v>
      </c>
      <c r="H26" s="4"/>
      <c r="I26" s="4"/>
      <c r="J26" s="4"/>
      <c r="K26" s="4"/>
      <c r="L26" s="4"/>
      <c r="M26" s="4"/>
      <c r="N26" s="9" t="str">
        <f>IFERROR(__xludf.DUMMYFUNCTION("""COMPUTED_VALUE"""),"OEPS A35 030")</f>
        <v>OEPS A35 030</v>
      </c>
      <c r="O26" s="4" t="str">
        <f>IFERROR(__xludf.DUMMYFUNCTION("""COMPUTED_VALUE"""),"LTST-C191KGKT")</f>
        <v>LTST-C191KGKT</v>
      </c>
      <c r="P26" s="4" t="str">
        <f>IFERROR(__xludf.DUMMYFUNCTION("""COMPUTED_VALUE"""),"59(R) ")</f>
        <v>59(R) </v>
      </c>
      <c r="Q26" s="4">
        <f>IFERROR(__xludf.DUMMYFUNCTION("""COMPUTED_VALUE"""),59.0)</f>
        <v>59</v>
      </c>
      <c r="R26" s="4">
        <f>IFERROR(__xludf.DUMMYFUNCTION("""COMPUTED_VALUE"""),59.0)</f>
        <v>59</v>
      </c>
      <c r="S26" s="4" t="str">
        <f>IFERROR(__xludf.DUMMYFUNCTION("""COMPUTED_VALUE"""),"Reel")</f>
        <v>Reel</v>
      </c>
      <c r="T26" s="4" t="str">
        <f>IFERROR(__xludf.DUMMYFUNCTION("""COMPUTED_VALUE"""),"0923")</f>
        <v>0923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>
      <c r="A27" s="4" t="str">
        <f>IFERROR(__xludf.DUMMYFUNCTION("""COMPUTED_VALUE"""),"CAPACITOR:   SMD CER 0201 100nF 10V ±20% X5R (OEPS J05 002)   [GRM033R61A104ME15D] [SMD]")</f>
        <v>CAPACITOR:   SMD CER 0201 100nF 10V ±20% X5R (OEPS J05 002)   [GRM033R61A104ME15D] [SMD]</v>
      </c>
      <c r="B27" s="4" t="str">
        <f>IFERROR(__xludf.DUMMYFUNCTION("""COMPUTED_VALUE"""),"OEPS010040")</f>
        <v>OEPS010040</v>
      </c>
      <c r="C27" s="4" t="str">
        <f>IFERROR(__xludf.DUMMYFUNCTION("""COMPUTED_VALUE"""),"SMD")</f>
        <v>SMD</v>
      </c>
      <c r="D27" s="4" t="str">
        <f>IFERROR(__xludf.DUMMYFUNCTION("""COMPUTED_VALUE"""),"GRM033R61A104ME15D")</f>
        <v>GRM033R61A104ME15D</v>
      </c>
      <c r="E27" s="4">
        <f>IFERROR(__xludf.DUMMYFUNCTION("""COMPUTED_VALUE"""),30.0)</f>
        <v>30</v>
      </c>
      <c r="F27" s="4" t="str">
        <f>IFERROR(__xludf.DUMMYFUNCTION("""COMPUTED_VALUE"""),"DigiKey")</f>
        <v>DigiKey</v>
      </c>
      <c r="G27" s="4" t="str">
        <f>IFERROR(__xludf.DUMMYFUNCTION("""COMPUTED_VALUE"""),"490-5405-6-ND")</f>
        <v>490-5405-6-ND</v>
      </c>
      <c r="H27" s="4"/>
      <c r="I27" s="4"/>
      <c r="J27" s="4"/>
      <c r="K27" s="4"/>
      <c r="L27" s="4"/>
      <c r="M27" s="4"/>
      <c r="N27" s="9" t="str">
        <f>IFERROR(__xludf.DUMMYFUNCTION("""COMPUTED_VALUE"""),"OEPS A35 031")</f>
        <v>OEPS A35 031</v>
      </c>
      <c r="O27" s="4" t="str">
        <f>IFERROR(__xludf.DUMMYFUNCTION("""COMPUTED_VALUE"""),"LTST-C191KRKT")</f>
        <v>LTST-C191KRKT</v>
      </c>
      <c r="P27" s="4" t="str">
        <f>IFERROR(__xludf.DUMMYFUNCTION("""COMPUTED_VALUE"""),"71(R) ")</f>
        <v>71(R) </v>
      </c>
      <c r="Q27" s="4">
        <f>IFERROR(__xludf.DUMMYFUNCTION("""COMPUTED_VALUE"""),71.0)</f>
        <v>71</v>
      </c>
      <c r="R27" s="4">
        <f>IFERROR(__xludf.DUMMYFUNCTION("""COMPUTED_VALUE"""),71.0)</f>
        <v>71</v>
      </c>
      <c r="S27" s="4" t="str">
        <f>IFERROR(__xludf.DUMMYFUNCTION("""COMPUTED_VALUE"""),"Reel")</f>
        <v>Reel</v>
      </c>
      <c r="T27" s="4" t="str">
        <f>IFERROR(__xludf.DUMMYFUNCTION("""COMPUTED_VALUE"""),"0523")</f>
        <v>0523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>
      <c r="A28" s="4" t="str">
        <f>IFERROR(__xludf.DUMMYFUNCTION("""COMPUTED_VALUE"""),"CAPACITOR:   SMD CER 0201 100nF 25V ±10% X5R (OEPS M01 007)   [GRM033R61E104KE14J] [SMD]")</f>
        <v>CAPACITOR:   SMD CER 0201 100nF 25V ±10% X5R (OEPS M01 007)   [GRM033R61E104KE14J] [SMD]</v>
      </c>
      <c r="B28" s="4" t="str">
        <f>IFERROR(__xludf.DUMMYFUNCTION("""COMPUTED_VALUE"""),"OEPS010035")</f>
        <v>OEPS010035</v>
      </c>
      <c r="C28" s="4" t="str">
        <f>IFERROR(__xludf.DUMMYFUNCTION("""COMPUTED_VALUE"""),"SMD")</f>
        <v>SMD</v>
      </c>
      <c r="D28" s="4" t="str">
        <f>IFERROR(__xludf.DUMMYFUNCTION("""COMPUTED_VALUE"""),"GRM033R61E104KE14J")</f>
        <v>GRM033R61E104KE14J</v>
      </c>
      <c r="E28" s="4">
        <f>IFERROR(__xludf.DUMMYFUNCTION("""COMPUTED_VALUE"""),30.0)</f>
        <v>30</v>
      </c>
      <c r="F28" s="4" t="str">
        <f>IFERROR(__xludf.DUMMYFUNCTION("""COMPUTED_VALUE"""),"DigiKey")</f>
        <v>DigiKey</v>
      </c>
      <c r="G28" s="4" t="str">
        <f>IFERROR(__xludf.DUMMYFUNCTION("""COMPUTED_VALUE"""),"490-14571-6-ND")</f>
        <v>490-14571-6-ND</v>
      </c>
      <c r="H28" s="4"/>
      <c r="I28" s="4"/>
      <c r="J28" s="4"/>
      <c r="K28" s="4"/>
      <c r="L28" s="4"/>
      <c r="M28" s="4"/>
      <c r="N28" s="9" t="str">
        <f>IFERROR(__xludf.DUMMYFUNCTION("""COMPUTED_VALUE"""),"OEPS A35 032")</f>
        <v>OEPS A35 032</v>
      </c>
      <c r="O28" s="4" t="str">
        <f>IFERROR(__xludf.DUMMYFUNCTION("""COMPUTED_VALUE"""),"PMEG3030EP,115")</f>
        <v>PMEG3030EP,115</v>
      </c>
      <c r="P28" s="4" t="str">
        <f>IFERROR(__xludf.DUMMYFUNCTION("""COMPUTED_VALUE"""),"53(R) ")</f>
        <v>53(R) </v>
      </c>
      <c r="Q28" s="4">
        <f>IFERROR(__xludf.DUMMYFUNCTION("""COMPUTED_VALUE"""),53.0)</f>
        <v>53</v>
      </c>
      <c r="R28" s="4">
        <f>IFERROR(__xludf.DUMMYFUNCTION("""COMPUTED_VALUE"""),53.0)</f>
        <v>53</v>
      </c>
      <c r="S28" s="4" t="str">
        <f>IFERROR(__xludf.DUMMYFUNCTION("""COMPUTED_VALUE"""),"Reel")</f>
        <v>Reel</v>
      </c>
      <c r="T28" s="4" t="str">
        <f>IFERROR(__xludf.DUMMYFUNCTION("""COMPUTED_VALUE"""),"0622")</f>
        <v>0622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>
      <c r="A29" s="4" t="str">
        <f>IFERROR(__xludf.DUMMYFUNCTION("""COMPUTED_VALUE"""),"CAPACITOR:   SMD CER 0201 10nF 10V ±10% X7R (OEPS J05 006)   [GRM033R71A103KA01D] [SMD]")</f>
        <v>CAPACITOR:   SMD CER 0201 10nF 10V ±10% X7R (OEPS J05 006)   [GRM033R71A103KA01D] [SMD]</v>
      </c>
      <c r="B29" s="4" t="str">
        <f>IFERROR(__xludf.DUMMYFUNCTION("""COMPUTED_VALUE"""),"OEPS010044")</f>
        <v>OEPS010044</v>
      </c>
      <c r="C29" s="4" t="str">
        <f>IFERROR(__xludf.DUMMYFUNCTION("""COMPUTED_VALUE"""),"SMD")</f>
        <v>SMD</v>
      </c>
      <c r="D29" s="4" t="str">
        <f>IFERROR(__xludf.DUMMYFUNCTION("""COMPUTED_VALUE"""),"GRM033R71A103KA01D")</f>
        <v>GRM033R71A103KA01D</v>
      </c>
      <c r="E29" s="4">
        <f>IFERROR(__xludf.DUMMYFUNCTION("""COMPUTED_VALUE"""),30.0)</f>
        <v>30</v>
      </c>
      <c r="F29" s="4" t="str">
        <f>IFERROR(__xludf.DUMMYFUNCTION("""COMPUTED_VALUE"""),"DigiKey")</f>
        <v>DigiKey</v>
      </c>
      <c r="G29" s="4" t="str">
        <f>IFERROR(__xludf.DUMMYFUNCTION("""COMPUTED_VALUE"""),"490-3194-6-ND")</f>
        <v>490-3194-6-ND</v>
      </c>
      <c r="H29" s="4"/>
      <c r="I29" s="4"/>
      <c r="J29" s="4"/>
      <c r="K29" s="4"/>
      <c r="L29" s="4"/>
      <c r="M29" s="4"/>
      <c r="N29" s="9" t="str">
        <f>IFERROR(__xludf.DUMMYFUNCTION("""COMPUTED_VALUE"""),"OEPS A35 034")</f>
        <v>OEPS A35 034</v>
      </c>
      <c r="O29" s="4" t="str">
        <f>IFERROR(__xludf.DUMMYFUNCTION("""COMPUTED_VALUE"""),"CUZ6V8,H3F")</f>
        <v>CUZ6V8,H3F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>
      <c r="A30" s="4" t="str">
        <f>IFERROR(__xludf.DUMMYFUNCTION("""COMPUTED_VALUE"""),"CAPACITOR:   SMD CER 0201 10nF 25V ±10% X7R (OEPS M01 004)   [GRM033R71E103KE14D] [SMD]")</f>
        <v>CAPACITOR:   SMD CER 0201 10nF 25V ±10% X7R (OEPS M01 004)   [GRM033R71E103KE14D] [SMD]</v>
      </c>
      <c r="B30" s="4" t="str">
        <f>IFERROR(__xludf.DUMMYFUNCTION("""COMPUTED_VALUE"""),"OEPS010037")</f>
        <v>OEPS010037</v>
      </c>
      <c r="C30" s="4" t="str">
        <f>IFERROR(__xludf.DUMMYFUNCTION("""COMPUTED_VALUE"""),"SMD")</f>
        <v>SMD</v>
      </c>
      <c r="D30" s="4" t="str">
        <f>IFERROR(__xludf.DUMMYFUNCTION("""COMPUTED_VALUE"""),"GRM033R71E103KE14D")</f>
        <v>GRM033R71E103KE14D</v>
      </c>
      <c r="E30" s="4">
        <f>IFERROR(__xludf.DUMMYFUNCTION("""COMPUTED_VALUE"""),30.0)</f>
        <v>30</v>
      </c>
      <c r="F30" s="4" t="str">
        <f>IFERROR(__xludf.DUMMYFUNCTION("""COMPUTED_VALUE"""),"DigiKey")</f>
        <v>DigiKey</v>
      </c>
      <c r="G30" s="4" t="str">
        <f>IFERROR(__xludf.DUMMYFUNCTION("""COMPUTED_VALUE"""),"490-14454-6-ND")</f>
        <v>490-14454-6-ND</v>
      </c>
      <c r="H30" s="4"/>
      <c r="I30" s="4"/>
      <c r="J30" s="4"/>
      <c r="K30" s="4"/>
      <c r="L30" s="4"/>
      <c r="M30" s="4"/>
      <c r="N30" s="9" t="str">
        <f>IFERROR(__xludf.DUMMYFUNCTION("""COMPUTED_VALUE"""),"OEPS A35 035")</f>
        <v>OEPS A35 035</v>
      </c>
      <c r="O30" s="4" t="str">
        <f>IFERROR(__xludf.DUMMYFUNCTION("""COMPUTED_VALUE"""),"LFE5U-85F-6BG381C")</f>
        <v>LFE5U-85F-6BG381C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>
      <c r="A31" s="4" t="str">
        <f>IFERROR(__xludf.DUMMYFUNCTION("""COMPUTED_VALUE"""),"CAPACITOR:   SMD CER 0201 10pF 50V ±5% C0G   [GRM0335C1H100JA01J] [SMD]")</f>
        <v>CAPACITOR:   SMD CER 0201 10pF 50V ±5% C0G   [GRM0335C1H100JA01J] [SMD]</v>
      </c>
      <c r="B31" s="4" t="str">
        <f>IFERROR(__xludf.DUMMYFUNCTION("""COMPUTED_VALUE"""),"OEPS010060")</f>
        <v>OEPS010060</v>
      </c>
      <c r="C31" s="4" t="str">
        <f>IFERROR(__xludf.DUMMYFUNCTION("""COMPUTED_VALUE"""),"SMD")</f>
        <v>SMD</v>
      </c>
      <c r="D31" s="4" t="str">
        <f>IFERROR(__xludf.DUMMYFUNCTION("""COMPUTED_VALUE"""),"GRM0335C1H100JA01J")</f>
        <v>GRM0335C1H100JA01J</v>
      </c>
      <c r="E31" s="4">
        <f>IFERROR(__xludf.DUMMYFUNCTION("""COMPUTED_VALUE"""),30.0)</f>
        <v>30</v>
      </c>
      <c r="F31" s="4" t="str">
        <f>IFERROR(__xludf.DUMMYFUNCTION("""COMPUTED_VALUE"""),"DigiKey")</f>
        <v>DigiKey</v>
      </c>
      <c r="G31" s="4" t="str">
        <f>IFERROR(__xludf.DUMMYFUNCTION("""COMPUTED_VALUE"""),"490-17811-6-ND")</f>
        <v>490-17811-6-ND</v>
      </c>
      <c r="H31" s="4"/>
      <c r="I31" s="4"/>
      <c r="J31" s="4"/>
      <c r="K31" s="4"/>
      <c r="L31" s="4"/>
      <c r="M31" s="4"/>
      <c r="N31" s="9" t="str">
        <f>IFERROR(__xludf.DUMMYFUNCTION("""COMPUTED_VALUE"""),"OEPS A35 035A")</f>
        <v>OEPS A35 035A</v>
      </c>
      <c r="O31" s="4" t="str">
        <f>IFERROR(__xludf.DUMMYFUNCTION("""COMPUTED_VALUE"""),"LFE5U-85F-6BG381I")</f>
        <v>LFE5U-85F-6BG381I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>
      <c r="A32" s="4" t="str">
        <f>IFERROR(__xludf.DUMMYFUNCTION("""COMPUTED_VALUE"""),"CAPACITOR:   SMD CER 0201 1uF 10V ±20% X5R (OEPS J05 003)   [GRM033R61A105ME15D] [SMD]")</f>
        <v>CAPACITOR:   SMD CER 0201 1uF 10V ±20% X5R (OEPS J05 003)   [GRM033R61A105ME15D] [SMD]</v>
      </c>
      <c r="B32" s="4" t="str">
        <f>IFERROR(__xludf.DUMMYFUNCTION("""COMPUTED_VALUE"""),"OEPS010041")</f>
        <v>OEPS010041</v>
      </c>
      <c r="C32" s="4" t="str">
        <f>IFERROR(__xludf.DUMMYFUNCTION("""COMPUTED_VALUE"""),"SMD")</f>
        <v>SMD</v>
      </c>
      <c r="D32" s="4" t="str">
        <f>IFERROR(__xludf.DUMMYFUNCTION("""COMPUTED_VALUE"""),"GRM033R61A105ME15D")</f>
        <v>GRM033R61A105ME15D</v>
      </c>
      <c r="E32" s="4">
        <f>IFERROR(__xludf.DUMMYFUNCTION("""COMPUTED_VALUE"""),30.0)</f>
        <v>30</v>
      </c>
      <c r="F32" s="4" t="str">
        <f>IFERROR(__xludf.DUMMYFUNCTION("""COMPUTED_VALUE"""),"DigiKey")</f>
        <v>DigiKey</v>
      </c>
      <c r="G32" s="4" t="str">
        <f>IFERROR(__xludf.DUMMYFUNCTION("""COMPUTED_VALUE"""),"490-13226-6-ND")</f>
        <v>490-13226-6-ND</v>
      </c>
      <c r="H32" s="4"/>
      <c r="I32" s="4"/>
      <c r="J32" s="4"/>
      <c r="K32" s="4"/>
      <c r="L32" s="4"/>
      <c r="M32" s="4"/>
      <c r="N32" s="9" t="str">
        <f>IFERROR(__xludf.DUMMYFUNCTION("""COMPUTED_VALUE"""),"OEPS A35 036")</f>
        <v>OEPS A35 036</v>
      </c>
      <c r="O32" s="4" t="str">
        <f>IFERROR(__xludf.DUMMYFUNCTION("""COMPUTED_VALUE"""),"SIT9120AC-2C2-25E100.000000X")</f>
        <v>SIT9120AC-2C2-25E100.000000X</v>
      </c>
      <c r="P32" s="4" t="str">
        <f>IFERROR(__xludf.DUMMYFUNCTION("""COMPUTED_VALUE"""),"22(R) ")</f>
        <v>22(R) </v>
      </c>
      <c r="Q32" s="4">
        <f>IFERROR(__xludf.DUMMYFUNCTION("""COMPUTED_VALUE"""),22.0)</f>
        <v>22</v>
      </c>
      <c r="R32" s="4">
        <f>IFERROR(__xludf.DUMMYFUNCTION("""COMPUTED_VALUE"""),22.0)</f>
        <v>22</v>
      </c>
      <c r="S32" s="4" t="str">
        <f>IFERROR(__xludf.DUMMYFUNCTION("""COMPUTED_VALUE"""),"Reel")</f>
        <v>Reel</v>
      </c>
      <c r="T32" s="4" t="str">
        <f>IFERROR(__xludf.DUMMYFUNCTION("""COMPUTED_VALUE"""),"XXXX")</f>
        <v>XXXX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>
      <c r="A33" s="4" t="str">
        <f>IFERROR(__xludf.DUMMYFUNCTION("""COMPUTED_VALUE"""),"CAPACITOR:   SMD CER 0201 1uF 16V ±20% X5R (OEPS M01 009)   [CL03A105MO3NRNH] [SMD]")</f>
        <v>CAPACITOR:   SMD CER 0201 1uF 16V ±20% X5R (OEPS M01 009)   [CL03A105MO3NRNH] [SMD]</v>
      </c>
      <c r="B33" s="4" t="str">
        <f>IFERROR(__xludf.DUMMYFUNCTION("""COMPUTED_VALUE"""),"OEPS010036")</f>
        <v>OEPS010036</v>
      </c>
      <c r="C33" s="4" t="str">
        <f>IFERROR(__xludf.DUMMYFUNCTION("""COMPUTED_VALUE"""),"SMD")</f>
        <v>SMD</v>
      </c>
      <c r="D33" s="4" t="str">
        <f>IFERROR(__xludf.DUMMYFUNCTION("""COMPUTED_VALUE"""),"CL03A105MO3NRNH")</f>
        <v>CL03A105MO3NRNH</v>
      </c>
      <c r="E33" s="4">
        <f>IFERROR(__xludf.DUMMYFUNCTION("""COMPUTED_VALUE"""),30.0)</f>
        <v>30</v>
      </c>
      <c r="F33" s="4" t="str">
        <f>IFERROR(__xludf.DUMMYFUNCTION("""COMPUTED_VALUE"""),"DigiKey")</f>
        <v>DigiKey</v>
      </c>
      <c r="G33" s="4" t="str">
        <f>IFERROR(__xludf.DUMMYFUNCTION("""COMPUTED_VALUE"""),"1276-6798-6-ND")</f>
        <v>1276-6798-6-ND</v>
      </c>
      <c r="H33" s="4"/>
      <c r="I33" s="4"/>
      <c r="J33" s="4"/>
      <c r="K33" s="4"/>
      <c r="L33" s="4"/>
      <c r="M33" s="4"/>
      <c r="N33" s="9" t="str">
        <f>IFERROR(__xludf.DUMMYFUNCTION("""COMPUTED_VALUE"""),"OEPS A35 037")</f>
        <v>OEPS A35 037</v>
      </c>
      <c r="O33" s="4" t="str">
        <f>IFERROR(__xludf.DUMMYFUNCTION("""COMPUTED_VALUE"""),"W25Q128JVPIQ TR")</f>
        <v>W25Q128JVPIQ TR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>
      <c r="A34" s="4" t="str">
        <f>IFERROR(__xludf.DUMMYFUNCTION("""COMPUTED_VALUE"""),"CAPACITOR:   SMD CER 0201 2.2uF 10V ±20% X5R (OEPS J05 004A)   [CM03X5R225M10AH] [SMD]")</f>
        <v>CAPACITOR:   SMD CER 0201 2.2uF 10V ±20% X5R (OEPS J05 004A)   [CM03X5R225M10AH] [SMD]</v>
      </c>
      <c r="B34" s="4" t="str">
        <f>IFERROR(__xludf.DUMMYFUNCTION("""COMPUTED_VALUE"""),"OEPS010042")</f>
        <v>OEPS010042</v>
      </c>
      <c r="C34" s="4" t="str">
        <f>IFERROR(__xludf.DUMMYFUNCTION("""COMPUTED_VALUE"""),"SMD")</f>
        <v>SMD</v>
      </c>
      <c r="D34" s="4" t="str">
        <f>IFERROR(__xludf.DUMMYFUNCTION("""COMPUTED_VALUE"""),"CM03X5R225M10AH")</f>
        <v>CM03X5R225M10AH</v>
      </c>
      <c r="E34" s="4">
        <f>IFERROR(__xludf.DUMMYFUNCTION("""COMPUTED_VALUE"""),30.0)</f>
        <v>30</v>
      </c>
      <c r="F34" s="4" t="str">
        <f>IFERROR(__xludf.DUMMYFUNCTION("""COMPUTED_VALUE"""),"Mouser")</f>
        <v>Mouser</v>
      </c>
      <c r="G34" s="4" t="str">
        <f>IFERROR(__xludf.DUMMYFUNCTION("""COMPUTED_VALUE"""),"346-CM03X5R225M10AH")</f>
        <v>346-CM03X5R225M10AH</v>
      </c>
      <c r="H34" s="4"/>
      <c r="I34" s="4"/>
      <c r="J34" s="4"/>
      <c r="K34" s="4"/>
      <c r="L34" s="4"/>
      <c r="M34" s="4"/>
      <c r="N34" s="9" t="str">
        <f>IFERROR(__xludf.DUMMYFUNCTION("""COMPUTED_VALUE"""),"OEPS A35 038")</f>
        <v>OEPS A35 038</v>
      </c>
      <c r="O34" s="4" t="str">
        <f>IFERROR(__xludf.DUMMYFUNCTION("""COMPUTED_VALUE"""),"MT41K64M16TW-107:J")</f>
        <v>MT41K64M16TW-107:J</v>
      </c>
      <c r="P34" s="4" t="str">
        <f>IFERROR(__xludf.DUMMYFUNCTION("""COMPUTED_VALUE"""),"2(Tr) ")</f>
        <v>2(Tr) </v>
      </c>
      <c r="Q34" s="4">
        <f>IFERROR(__xludf.DUMMYFUNCTION("""COMPUTED_VALUE"""),2.0)</f>
        <v>2</v>
      </c>
      <c r="R34" s="4">
        <f>IFERROR(__xludf.DUMMYFUNCTION("""COMPUTED_VALUE"""),2.0)</f>
        <v>2</v>
      </c>
      <c r="S34" s="4" t="str">
        <f>IFERROR(__xludf.DUMMYFUNCTION("""COMPUTED_VALUE"""),"Tray")</f>
        <v>Tray</v>
      </c>
      <c r="T34" s="4" t="str">
        <f>IFERROR(__xludf.DUMMYFUNCTION("""COMPUTED_VALUE"""),"0222")</f>
        <v>0222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>
      <c r="A35" s="4" t="str">
        <f>IFERROR(__xludf.DUMMYFUNCTION("""COMPUTED_VALUE"""),"CAPACITOR:   SMD CER 0201 22nF 25V ±10% X5R   [C0603X5R1E223K030BB] [SMD]")</f>
        <v>CAPACITOR:   SMD CER 0201 22nF 25V ±10% X5R   [C0603X5R1E223K030BB] [SMD]</v>
      </c>
      <c r="B35" s="4" t="str">
        <f>IFERROR(__xludf.DUMMYFUNCTION("""COMPUTED_VALUE"""),"OEPS010058")</f>
        <v>OEPS010058</v>
      </c>
      <c r="C35" s="4" t="str">
        <f>IFERROR(__xludf.DUMMYFUNCTION("""COMPUTED_VALUE"""),"SMD")</f>
        <v>SMD</v>
      </c>
      <c r="D35" s="4" t="str">
        <f>IFERROR(__xludf.DUMMYFUNCTION("""COMPUTED_VALUE"""),"C0603X5R1E223K030BB")</f>
        <v>C0603X5R1E223K030BB</v>
      </c>
      <c r="E35" s="4">
        <f>IFERROR(__xludf.DUMMYFUNCTION("""COMPUTED_VALUE"""),30.0)</f>
        <v>30</v>
      </c>
      <c r="F35" s="4" t="str">
        <f>IFERROR(__xludf.DUMMYFUNCTION("""COMPUTED_VALUE"""),"DigiKey")</f>
        <v>DigiKey</v>
      </c>
      <c r="G35" s="4" t="str">
        <f>IFERROR(__xludf.DUMMYFUNCTION("""COMPUTED_VALUE"""),"445-13675-6-ND")</f>
        <v>445-13675-6-ND</v>
      </c>
      <c r="H35" s="4"/>
      <c r="I35" s="4"/>
      <c r="J35" s="4"/>
      <c r="K35" s="4"/>
      <c r="L35" s="4"/>
      <c r="M35" s="4"/>
      <c r="N35" s="9" t="str">
        <f>IFERROR(__xludf.DUMMYFUNCTION("""COMPUTED_VALUE"""),"OEPS A35 041")</f>
        <v>OEPS A35 041</v>
      </c>
      <c r="O35" s="4" t="str">
        <f>IFERROR(__xludf.DUMMYFUNCTION("""COMPUTED_VALUE"""),"FT600-B-T")</f>
        <v>FT600-B-T</v>
      </c>
      <c r="P35" s="4" t="str">
        <f>IFERROR(__xludf.DUMMYFUNCTION("""COMPUTED_VALUE"""),"1(Tr) ")</f>
        <v>1(Tr) </v>
      </c>
      <c r="Q35" s="4">
        <f>IFERROR(__xludf.DUMMYFUNCTION("""COMPUTED_VALUE"""),1.0)</f>
        <v>1</v>
      </c>
      <c r="R35" s="4">
        <f>IFERROR(__xludf.DUMMYFUNCTION("""COMPUTED_VALUE"""),1.0)</f>
        <v>1</v>
      </c>
      <c r="S35" s="4" t="str">
        <f>IFERROR(__xludf.DUMMYFUNCTION("""COMPUTED_VALUE"""),"Tray")</f>
        <v>Tray</v>
      </c>
      <c r="T35" s="4" t="str">
        <f>IFERROR(__xludf.DUMMYFUNCTION("""COMPUTED_VALUE"""),"XXXX")</f>
        <v>XXXX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>
      <c r="A36" s="4" t="str">
        <f>IFERROR(__xludf.DUMMYFUNCTION("""COMPUTED_VALUE"""),"CAPACITOR:   SMD CER 0201 27nF 16V ±10% X7R (OEPS Z00 003)   [GRM033R61C273KE84D] [SMD]")</f>
        <v>CAPACITOR:   SMD CER 0201 27nF 16V ±10% X7R (OEPS Z00 003)   [GRM033R61C273KE84D] [SMD]</v>
      </c>
      <c r="B36" s="4" t="str">
        <f>IFERROR(__xludf.DUMMYFUNCTION("""COMPUTED_VALUE"""),"OEPS010069")</f>
        <v>OEPS010069</v>
      </c>
      <c r="C36" s="4" t="str">
        <f>IFERROR(__xludf.DUMMYFUNCTION("""COMPUTED_VALUE"""),"SMD")</f>
        <v>SMD</v>
      </c>
      <c r="D36" s="4" t="str">
        <f>IFERROR(__xludf.DUMMYFUNCTION("""COMPUTED_VALUE"""),"GRM033R61C273KE84D")</f>
        <v>GRM033R61C273KE84D</v>
      </c>
      <c r="E36" s="4">
        <f>IFERROR(__xludf.DUMMYFUNCTION("""COMPUTED_VALUE"""),30.0)</f>
        <v>30</v>
      </c>
      <c r="F36" s="4" t="str">
        <f>IFERROR(__xludf.DUMMYFUNCTION("""COMPUTED_VALUE"""),"DigiKey")</f>
        <v>DigiKey</v>
      </c>
      <c r="G36" s="4" t="str">
        <f>IFERROR(__xludf.DUMMYFUNCTION("""COMPUTED_VALUE"""),"490-10416-6-ND")</f>
        <v>490-10416-6-ND</v>
      </c>
      <c r="H36" s="4"/>
      <c r="I36" s="4"/>
      <c r="J36" s="4"/>
      <c r="K36" s="4"/>
      <c r="L36" s="4"/>
      <c r="M36" s="4"/>
      <c r="N36" s="9" t="str">
        <f>IFERROR(__xludf.DUMMYFUNCTION("""COMPUTED_VALUE"""),"OEPS A35 042")</f>
        <v>OEPS A35 042</v>
      </c>
      <c r="O36" s="4" t="str">
        <f>IFERROR(__xludf.DUMMYFUNCTION("""COMPUTED_VALUE"""),"LTC4360ISC8-2#TRMPBF")</f>
        <v>LTC4360ISC8-2#TRMPBF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>
      <c r="A37" s="4" t="str">
        <f>IFERROR(__xludf.DUMMYFUNCTION("""COMPUTED_VALUE"""),"CAPACITOR:   SMD CER 0201 27pF 50V ±2% C0G, NP0   [GRM0335C1H270GA01D] [SMD]")</f>
        <v>CAPACITOR:   SMD CER 0201 27pF 50V ±2% C0G, NP0   [GRM0335C1H270GA01D] [SMD]</v>
      </c>
      <c r="B37" s="4" t="str">
        <f>IFERROR(__xludf.DUMMYFUNCTION("""COMPUTED_VALUE"""),"OEPS010029")</f>
        <v>OEPS010029</v>
      </c>
      <c r="C37" s="4" t="str">
        <f>IFERROR(__xludf.DUMMYFUNCTION("""COMPUTED_VALUE"""),"SMD")</f>
        <v>SMD</v>
      </c>
      <c r="D37" s="4" t="str">
        <f>IFERROR(__xludf.DUMMYFUNCTION("""COMPUTED_VALUE"""),"GRM0335C1H270GA01D")</f>
        <v>GRM0335C1H270GA01D</v>
      </c>
      <c r="E37" s="4">
        <f>IFERROR(__xludf.DUMMYFUNCTION("""COMPUTED_VALUE"""),30.0)</f>
        <v>30</v>
      </c>
      <c r="F37" s="4" t="str">
        <f>IFERROR(__xludf.DUMMYFUNCTION("""COMPUTED_VALUE"""),"DigiKey")</f>
        <v>DigiKey</v>
      </c>
      <c r="G37" s="4" t="str">
        <f>IFERROR(__xludf.DUMMYFUNCTION("""COMPUTED_VALUE"""),"490-11317-6-ND")</f>
        <v>490-11317-6-ND</v>
      </c>
      <c r="H37" s="4"/>
      <c r="I37" s="4"/>
      <c r="J37" s="4"/>
      <c r="K37" s="4"/>
      <c r="L37" s="4"/>
      <c r="M37" s="4"/>
      <c r="N37" s="9" t="str">
        <f>IFERROR(__xludf.DUMMYFUNCTION("""COMPUTED_VALUE"""),"OEPS A35 043")</f>
        <v>OEPS A35 043</v>
      </c>
      <c r="O37" s="4" t="str">
        <f>IFERROR(__xludf.DUMMYFUNCTION("""COMPUTED_VALUE"""),"LTM8051IY#PBF")</f>
        <v>LTM8051IY#PBF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>
      <c r="A38" s="4" t="str">
        <f>IFERROR(__xludf.DUMMYFUNCTION("""COMPUTED_VALUE"""),"CAPACITOR:   SMD CER 0201 30pF 50V ±2% C0G (OEPS J05 039)   [GRM0335C1H300GA01D] [SMD]")</f>
        <v>CAPACITOR:   SMD CER 0201 30pF 50V ±2% C0G (OEPS J05 039)   [GRM0335C1H300GA01D] [SMD]</v>
      </c>
      <c r="B38" s="4" t="str">
        <f>IFERROR(__xludf.DUMMYFUNCTION("""COMPUTED_VALUE"""),"OEPS010049")</f>
        <v>OEPS010049</v>
      </c>
      <c r="C38" s="4" t="str">
        <f>IFERROR(__xludf.DUMMYFUNCTION("""COMPUTED_VALUE"""),"SMD")</f>
        <v>SMD</v>
      </c>
      <c r="D38" s="4" t="str">
        <f>IFERROR(__xludf.DUMMYFUNCTION("""COMPUTED_VALUE"""),"GRM0335C1H300GA01D")</f>
        <v>GRM0335C1H300GA01D</v>
      </c>
      <c r="E38" s="4">
        <f>IFERROR(__xludf.DUMMYFUNCTION("""COMPUTED_VALUE"""),30.0)</f>
        <v>30</v>
      </c>
      <c r="F38" s="4" t="str">
        <f>IFERROR(__xludf.DUMMYFUNCTION("""COMPUTED_VALUE"""),"DigiKey")</f>
        <v>DigiKey</v>
      </c>
      <c r="G38" s="4" t="str">
        <f>IFERROR(__xludf.DUMMYFUNCTION("""COMPUTED_VALUE"""),"490-14560-6-ND")</f>
        <v>490-14560-6-ND</v>
      </c>
      <c r="H38" s="4"/>
      <c r="I38" s="4"/>
      <c r="J38" s="4"/>
      <c r="K38" s="4"/>
      <c r="L38" s="4"/>
      <c r="M38" s="4"/>
      <c r="N38" s="9" t="str">
        <f>IFERROR(__xludf.DUMMYFUNCTION("""COMPUTED_VALUE"""),"OEPS A35 044")</f>
        <v>OEPS A35 044</v>
      </c>
      <c r="O38" s="4" t="str">
        <f>IFERROR(__xludf.DUMMYFUNCTION("""COMPUTED_VALUE"""),"NLSX3018MUTAG")</f>
        <v>NLSX3018MUTAG</v>
      </c>
      <c r="P38" s="4" t="str">
        <f>IFERROR(__xludf.DUMMYFUNCTION("""COMPUTED_VALUE"""),"12 ")</f>
        <v>12 </v>
      </c>
      <c r="Q38" s="4">
        <f>IFERROR(__xludf.DUMMYFUNCTION("""COMPUTED_VALUE"""),12.0)</f>
        <v>12</v>
      </c>
      <c r="R38" s="4">
        <f>IFERROR(__xludf.DUMMYFUNCTION("""COMPUTED_VALUE"""),12.0)</f>
        <v>12</v>
      </c>
      <c r="S38" s="4" t="str">
        <f>IFERROR(__xludf.DUMMYFUNCTION("""COMPUTED_VALUE"""),"Bag")</f>
        <v>Bag</v>
      </c>
      <c r="T38" s="4" t="str">
        <f>IFERROR(__xludf.DUMMYFUNCTION("""COMPUTED_VALUE"""),"XXXX")</f>
        <v>XXXX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>
      <c r="A39" s="4" t="str">
        <f>IFERROR(__xludf.DUMMYFUNCTION("""COMPUTED_VALUE"""),"CAPACITOR:   SMD CER 0201 4.7UF 6.3V ±20%  X5R   [GRM035R60J475ME15D] [SMD]")</f>
        <v>CAPACITOR:   SMD CER 0201 4.7UF 6.3V ±20%  X5R   [GRM035R60J475ME15D] [SMD]</v>
      </c>
      <c r="B39" s="4" t="str">
        <f>IFERROR(__xludf.DUMMYFUNCTION("""COMPUTED_VALUE"""),"OEPS010065")</f>
        <v>OEPS010065</v>
      </c>
      <c r="C39" s="4" t="str">
        <f>IFERROR(__xludf.DUMMYFUNCTION("""COMPUTED_VALUE"""),"SMD")</f>
        <v>SMD</v>
      </c>
      <c r="D39" s="4" t="str">
        <f>IFERROR(__xludf.DUMMYFUNCTION("""COMPUTED_VALUE"""),"GRM035R60J475ME15D")</f>
        <v>GRM035R60J475ME15D</v>
      </c>
      <c r="E39" s="4">
        <f>IFERROR(__xludf.DUMMYFUNCTION("""COMPUTED_VALUE"""),30.0)</f>
        <v>30</v>
      </c>
      <c r="F39" s="4" t="str">
        <f>IFERROR(__xludf.DUMMYFUNCTION("""COMPUTED_VALUE"""),"DigiKey")</f>
        <v>DigiKey</v>
      </c>
      <c r="G39" s="4" t="str">
        <f>IFERROR(__xludf.DUMMYFUNCTION("""COMPUTED_VALUE"""),"490-13230-6-ND")</f>
        <v>490-13230-6-ND</v>
      </c>
      <c r="H39" s="4"/>
      <c r="I39" s="4"/>
      <c r="J39" s="4"/>
      <c r="K39" s="4"/>
      <c r="L39" s="4"/>
      <c r="M39" s="4"/>
      <c r="N39" s="9" t="str">
        <f>IFERROR(__xludf.DUMMYFUNCTION("""COMPUTED_VALUE"""),"OEPS A35 045")</f>
        <v>OEPS A35 045</v>
      </c>
      <c r="O39" s="4" t="str">
        <f>IFERROR(__xludf.DUMMYFUNCTION("""COMPUTED_VALUE"""),"ABM8G-30.000MHZ-18-D2Y-T")</f>
        <v>ABM8G-30.000MHZ-18-D2Y-T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>
      <c r="A40" s="4" t="str">
        <f>IFERROR(__xludf.DUMMYFUNCTION("""COMPUTED_VALUE"""),"CAPACITOR:   SMD CER 0201 47nF 16V ±10% X5R (OEPS J05 005)   [GRM033R61C473KE84D] [SMD]")</f>
        <v>CAPACITOR:   SMD CER 0201 47nF 16V ±10% X5R (OEPS J05 005)   [GRM033R61C473KE84D] [SMD]</v>
      </c>
      <c r="B40" s="4" t="str">
        <f>IFERROR(__xludf.DUMMYFUNCTION("""COMPUTED_VALUE"""),"OEPS010043")</f>
        <v>OEPS010043</v>
      </c>
      <c r="C40" s="4" t="str">
        <f>IFERROR(__xludf.DUMMYFUNCTION("""COMPUTED_VALUE"""),"SMD")</f>
        <v>SMD</v>
      </c>
      <c r="D40" s="4" t="str">
        <f>IFERROR(__xludf.DUMMYFUNCTION("""COMPUTED_VALUE"""),"GRM033R61C473KE84D")</f>
        <v>GRM033R61C473KE84D</v>
      </c>
      <c r="E40" s="4">
        <f>IFERROR(__xludf.DUMMYFUNCTION("""COMPUTED_VALUE"""),30.0)</f>
        <v>30</v>
      </c>
      <c r="F40" s="4" t="str">
        <f>IFERROR(__xludf.DUMMYFUNCTION("""COMPUTED_VALUE"""),"DigiKey")</f>
        <v>DigiKey</v>
      </c>
      <c r="G40" s="4" t="str">
        <f>IFERROR(__xludf.DUMMYFUNCTION("""COMPUTED_VALUE"""),"490-7227-6-ND")</f>
        <v>490-7227-6-ND</v>
      </c>
      <c r="H40" s="4"/>
      <c r="I40" s="4"/>
      <c r="J40" s="4"/>
      <c r="K40" s="4"/>
      <c r="L40" s="4"/>
      <c r="M40" s="4"/>
      <c r="N40" s="9" t="str">
        <f>IFERROR(__xludf.DUMMYFUNCTION("""COMPUTED_VALUE"""),"OEPS A35 047")</f>
        <v>OEPS A35 047</v>
      </c>
      <c r="O40" s="4" t="str">
        <f>IFERROR(__xludf.DUMMYFUNCTION("""COMPUTED_VALUE"""),"ZXMC3A16DN8TC")</f>
        <v>ZXMC3A16DN8TC</v>
      </c>
      <c r="P40" s="4" t="str">
        <f>IFERROR(__xludf.DUMMYFUNCTION("""COMPUTED_VALUE"""),"9(Tb) 4(Tb) ")</f>
        <v>9(Tb) 4(Tb) </v>
      </c>
      <c r="Q40" s="4">
        <f>IFERROR(__xludf.DUMMYFUNCTION("""COMPUTED_VALUE"""),13.0)</f>
        <v>13</v>
      </c>
      <c r="R40" s="4">
        <f>IFERROR(__xludf.DUMMYFUNCTION("""COMPUTED_VALUE"""),9.0)</f>
        <v>9</v>
      </c>
      <c r="S40" s="4" t="str">
        <f>IFERROR(__xludf.DUMMYFUNCTION("""COMPUTED_VALUE"""),"Tube")</f>
        <v>Tube</v>
      </c>
      <c r="T40" s="4" t="str">
        <f>IFERROR(__xludf.DUMMYFUNCTION("""COMPUTED_VALUE"""),"XXXX")</f>
        <v>XXXX</v>
      </c>
      <c r="U40" s="4">
        <f>IFERROR(__xludf.DUMMYFUNCTION("""COMPUTED_VALUE"""),4.0)</f>
        <v>4</v>
      </c>
      <c r="V40" s="4" t="str">
        <f>IFERROR(__xludf.DUMMYFUNCTION("""COMPUTED_VALUE"""),"Tube")</f>
        <v>Tube</v>
      </c>
      <c r="W40" s="4" t="str">
        <f>IFERROR(__xludf.DUMMYFUNCTION("""COMPUTED_VALUE"""),"XXXX")</f>
        <v>XXXX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>
      <c r="A41" s="4" t="str">
        <f>IFERROR(__xludf.DUMMYFUNCTION("""COMPUTED_VALUE"""),"CAPACITOR:   SMD CER 0201 47nF 25V ±10% X5R   [CC0201KRX5R8BB473] [SMD]")</f>
        <v>CAPACITOR:   SMD CER 0201 47nF 25V ±10% X5R   [CC0201KRX5R8BB473] [SMD]</v>
      </c>
      <c r="B41" s="4" t="str">
        <f>IFERROR(__xludf.DUMMYFUNCTION("""COMPUTED_VALUE"""),"OEPS010031")</f>
        <v>OEPS010031</v>
      </c>
      <c r="C41" s="4" t="str">
        <f>IFERROR(__xludf.DUMMYFUNCTION("""COMPUTED_VALUE"""),"SMD")</f>
        <v>SMD</v>
      </c>
      <c r="D41" s="4" t="str">
        <f>IFERROR(__xludf.DUMMYFUNCTION("""COMPUTED_VALUE"""),"CC0201KRX5R8BB473")</f>
        <v>CC0201KRX5R8BB473</v>
      </c>
      <c r="E41" s="4">
        <f>IFERROR(__xludf.DUMMYFUNCTION("""COMPUTED_VALUE"""),30.0)</f>
        <v>30</v>
      </c>
      <c r="F41" s="4" t="str">
        <f>IFERROR(__xludf.DUMMYFUNCTION("""COMPUTED_VALUE"""),"DigiKey")</f>
        <v>DigiKey</v>
      </c>
      <c r="G41" s="4" t="str">
        <f>IFERROR(__xludf.DUMMYFUNCTION("""COMPUTED_VALUE"""),"13-CC0201KRX5R8BB473DKR-ND")</f>
        <v>13-CC0201KRX5R8BB473DKR-ND</v>
      </c>
      <c r="H41" s="4"/>
      <c r="I41" s="4"/>
      <c r="J41" s="4"/>
      <c r="K41" s="4"/>
      <c r="L41" s="4"/>
      <c r="M41" s="4"/>
      <c r="N41" s="9" t="str">
        <f>IFERROR(__xludf.DUMMYFUNCTION("""COMPUTED_VALUE"""),"OEPS A35 048")</f>
        <v>OEPS A35 048</v>
      </c>
      <c r="O41" s="4" t="str">
        <f>IFERROR(__xludf.DUMMYFUNCTION("""COMPUTED_VALUE"""),"BSE-040-01-L-D-A")</f>
        <v>BSE-040-01-L-D-A</v>
      </c>
      <c r="P41" s="4" t="str">
        <f>IFERROR(__xludf.DUMMYFUNCTION("""COMPUTED_VALUE"""),"2 4(Tp) ")</f>
        <v>2 4(Tp) </v>
      </c>
      <c r="Q41" s="4">
        <f>IFERROR(__xludf.DUMMYFUNCTION("""COMPUTED_VALUE"""),6.0)</f>
        <v>6</v>
      </c>
      <c r="R41" s="4">
        <f>IFERROR(__xludf.DUMMYFUNCTION("""COMPUTED_VALUE"""),2.0)</f>
        <v>2</v>
      </c>
      <c r="S41" s="4" t="str">
        <f>IFERROR(__xludf.DUMMYFUNCTION("""COMPUTED_VALUE"""),"Bag")</f>
        <v>Bag</v>
      </c>
      <c r="T41" s="4" t="str">
        <f>IFERROR(__xludf.DUMMYFUNCTION("""COMPUTED_VALUE"""),"0522")</f>
        <v>0522</v>
      </c>
      <c r="U41" s="4">
        <f>IFERROR(__xludf.DUMMYFUNCTION("""COMPUTED_VALUE"""),4.0)</f>
        <v>4</v>
      </c>
      <c r="V41" s="4" t="str">
        <f>IFERROR(__xludf.DUMMYFUNCTION("""COMPUTED_VALUE"""),"Tape")</f>
        <v>Tape</v>
      </c>
      <c r="W41" s="4" t="str">
        <f>IFERROR(__xludf.DUMMYFUNCTION("""COMPUTED_VALUE"""),"XXXX")</f>
        <v>XXXX</v>
      </c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>
      <c r="A42" s="4" t="str">
        <f>IFERROR(__xludf.DUMMYFUNCTION("""COMPUTED_VALUE"""),"CAPACITOR:   SMD CER 0402 1.8nF 50V ±5% X7R   [C0402C182J5RACTU] [SMD]")</f>
        <v>CAPACITOR:   SMD CER 0402 1.8nF 50V ±5% X7R   [C0402C182J5RACTU] [SMD]</v>
      </c>
      <c r="B42" s="4" t="str">
        <f>IFERROR(__xludf.DUMMYFUNCTION("""COMPUTED_VALUE"""),"OEPS010090")</f>
        <v>OEPS010090</v>
      </c>
      <c r="C42" s="4" t="str">
        <f>IFERROR(__xludf.DUMMYFUNCTION("""COMPUTED_VALUE"""),"SMD")</f>
        <v>SMD</v>
      </c>
      <c r="D42" s="4" t="str">
        <f>IFERROR(__xludf.DUMMYFUNCTION("""COMPUTED_VALUE"""),"C0402C182J5RACTU")</f>
        <v>C0402C182J5RACTU</v>
      </c>
      <c r="E42" s="4">
        <f>IFERROR(__xludf.DUMMYFUNCTION("""COMPUTED_VALUE"""),30.0)</f>
        <v>30</v>
      </c>
      <c r="F42" s="4" t="str">
        <f>IFERROR(__xludf.DUMMYFUNCTION("""COMPUTED_VALUE"""),"Digikey")</f>
        <v>Digikey</v>
      </c>
      <c r="G42" s="4" t="str">
        <f>IFERROR(__xludf.DUMMYFUNCTION("""COMPUTED_VALUE"""),"399-C0402C182J5RACTUDKR-ND")</f>
        <v>399-C0402C182J5RACTUDKR-ND</v>
      </c>
      <c r="H42" s="4"/>
      <c r="I42" s="4"/>
      <c r="J42" s="4"/>
      <c r="K42" s="4"/>
      <c r="L42" s="4"/>
      <c r="M42" s="4"/>
      <c r="N42" s="9" t="str">
        <f>IFERROR(__xludf.DUMMYFUNCTION("""COMPUTED_VALUE"""),"OEPS A35 049")</f>
        <v>OEPS A35 049</v>
      </c>
      <c r="O42" s="4" t="str">
        <f>IFERROR(__xludf.DUMMYFUNCTION("""COMPUTED_VALUE"""),"PH1RB-06-UA")</f>
        <v>PH1RB-06-UA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>
      <c r="A43" s="4" t="str">
        <f>IFERROR(__xludf.DUMMYFUNCTION("""COMPUTED_VALUE"""),"CAPACITOR:   SMD CER 0402 100nF 25V ±10% X7R   [GRM155R71E104KE14D] [SMD]")</f>
        <v>CAPACITOR:   SMD CER 0402 100nF 25V ±10% X7R   [GRM155R71E104KE14D] [SMD]</v>
      </c>
      <c r="B43" s="4" t="str">
        <f>IFERROR(__xludf.DUMMYFUNCTION("""COMPUTED_VALUE"""),"OEPS010004")</f>
        <v>OEPS010004</v>
      </c>
      <c r="C43" s="4" t="str">
        <f>IFERROR(__xludf.DUMMYFUNCTION("""COMPUTED_VALUE"""),"SMD")</f>
        <v>SMD</v>
      </c>
      <c r="D43" s="4" t="str">
        <f>IFERROR(__xludf.DUMMYFUNCTION("""COMPUTED_VALUE"""),"GRM155R71E104KE14D")</f>
        <v>GRM155R71E104KE14D</v>
      </c>
      <c r="E43" s="4">
        <f>IFERROR(__xludf.DUMMYFUNCTION("""COMPUTED_VALUE"""),30.0)</f>
        <v>30</v>
      </c>
      <c r="F43" s="4" t="str">
        <f>IFERROR(__xludf.DUMMYFUNCTION("""COMPUTED_VALUE"""),"DigiKey")</f>
        <v>DigiKey</v>
      </c>
      <c r="G43" s="4" t="str">
        <f>IFERROR(__xludf.DUMMYFUNCTION("""COMPUTED_VALUE"""),"490-10698-6-ND")</f>
        <v>490-10698-6-ND</v>
      </c>
      <c r="H43" s="4"/>
      <c r="I43" s="4"/>
      <c r="J43" s="4"/>
      <c r="K43" s="4"/>
      <c r="L43" s="4"/>
      <c r="M43" s="4"/>
      <c r="N43" s="9" t="str">
        <f>IFERROR(__xludf.DUMMYFUNCTION("""COMPUTED_VALUE"""),"OEPS A35 050")</f>
        <v>OEPS A35 050</v>
      </c>
      <c r="O43" s="4" t="str">
        <f>IFERROR(__xludf.DUMMYFUNCTION("""COMPUTED_VALUE"""),"ZX360D-B-10P(30)")</f>
        <v>ZX360D-B-10P(30)</v>
      </c>
      <c r="P43" s="4" t="str">
        <f>IFERROR(__xludf.DUMMYFUNCTION("""COMPUTED_VALUE"""),"7 ")</f>
        <v>7 </v>
      </c>
      <c r="Q43" s="4">
        <f>IFERROR(__xludf.DUMMYFUNCTION("""COMPUTED_VALUE"""),7.0)</f>
        <v>7</v>
      </c>
      <c r="R43" s="4">
        <f>IFERROR(__xludf.DUMMYFUNCTION("""COMPUTED_VALUE"""),7.0)</f>
        <v>7</v>
      </c>
      <c r="S43" s="4" t="str">
        <f>IFERROR(__xludf.DUMMYFUNCTION("""COMPUTED_VALUE"""),"Bag")</f>
        <v>Bag</v>
      </c>
      <c r="T43" s="4" t="str">
        <f>IFERROR(__xludf.DUMMYFUNCTION("""COMPUTED_VALUE"""),"XXXX")</f>
        <v>XXXX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>
      <c r="A44" s="4" t="str">
        <f>IFERROR(__xludf.DUMMYFUNCTION("""COMPUTED_VALUE"""),"CAPACITOR:   SMD CER 0402 100nF 25V ±10% X7R (OEPS H02 001)   [C1005X7R1E104K050BB] [SMD]")</f>
        <v>CAPACITOR:   SMD CER 0402 100nF 25V ±10% X7R (OEPS H02 001)   [C1005X7R1E104K050BB] [SMD]</v>
      </c>
      <c r="B44" s="4" t="str">
        <f>IFERROR(__xludf.DUMMYFUNCTION("""COMPUTED_VALUE"""),"OEPS010050")</f>
        <v>OEPS010050</v>
      </c>
      <c r="C44" s="4" t="str">
        <f>IFERROR(__xludf.DUMMYFUNCTION("""COMPUTED_VALUE"""),"SMD")</f>
        <v>SMD</v>
      </c>
      <c r="D44" s="4" t="str">
        <f>IFERROR(__xludf.DUMMYFUNCTION("""COMPUTED_VALUE"""),"C1005X7R1E104K050BB")</f>
        <v>C1005X7R1E104K050BB</v>
      </c>
      <c r="E44" s="4">
        <f>IFERROR(__xludf.DUMMYFUNCTION("""COMPUTED_VALUE"""),30.0)</f>
        <v>30</v>
      </c>
      <c r="F44" s="4" t="str">
        <f>IFERROR(__xludf.DUMMYFUNCTION("""COMPUTED_VALUE"""),"DigiKey")</f>
        <v>DigiKey</v>
      </c>
      <c r="G44" s="4" t="str">
        <f>IFERROR(__xludf.DUMMYFUNCTION("""COMPUTED_VALUE"""),"445-7348-6-ND")</f>
        <v>445-7348-6-ND</v>
      </c>
      <c r="H44" s="4"/>
      <c r="I44" s="4"/>
      <c r="J44" s="4"/>
      <c r="K44" s="4"/>
      <c r="L44" s="4"/>
      <c r="M44" s="4"/>
      <c r="N44" s="9" t="str">
        <f>IFERROR(__xludf.DUMMYFUNCTION("""COMPUTED_VALUE"""),"OEPS A35 051")</f>
        <v>OEPS A35 051</v>
      </c>
      <c r="O44" s="4" t="str">
        <f>IFERROR(__xludf.DUMMYFUNCTION("""COMPUTED_VALUE"""),"PJ-102AH")</f>
        <v>PJ-102AH</v>
      </c>
      <c r="P44" s="4" t="str">
        <f>IFERROR(__xludf.DUMMYFUNCTION("""COMPUTED_VALUE"""),"28 ")</f>
        <v>28 </v>
      </c>
      <c r="Q44" s="4">
        <f>IFERROR(__xludf.DUMMYFUNCTION("""COMPUTED_VALUE"""),28.0)</f>
        <v>28</v>
      </c>
      <c r="R44" s="4">
        <f>IFERROR(__xludf.DUMMYFUNCTION("""COMPUTED_VALUE"""),28.0)</f>
        <v>28</v>
      </c>
      <c r="S44" s="4" t="str">
        <f>IFERROR(__xludf.DUMMYFUNCTION("""COMPUTED_VALUE"""),"Bag")</f>
        <v>Bag</v>
      </c>
      <c r="T44" s="4" t="str">
        <f>IFERROR(__xludf.DUMMYFUNCTION("""COMPUTED_VALUE"""),"XXXX")</f>
        <v>XXXX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>
      <c r="A45" s="4" t="str">
        <f>IFERROR(__xludf.DUMMYFUNCTION("""COMPUTED_VALUE"""),"CAPACITOR:   SMD CER 0402 100nF 35V ±10% X5R (OEPS H1 001)   [C1005X5R1V104K050BB] [SMD]")</f>
        <v>CAPACITOR:   SMD CER 0402 100nF 35V ±10% X5R (OEPS H1 001)   [C1005X5R1V104K050BB] [SMD]</v>
      </c>
      <c r="B45" s="4" t="str">
        <f>IFERROR(__xludf.DUMMYFUNCTION("""COMPUTED_VALUE"""),"OEPS010066")</f>
        <v>OEPS010066</v>
      </c>
      <c r="C45" s="4" t="str">
        <f>IFERROR(__xludf.DUMMYFUNCTION("""COMPUTED_VALUE"""),"SMD")</f>
        <v>SMD</v>
      </c>
      <c r="D45" s="4" t="str">
        <f>IFERROR(__xludf.DUMMYFUNCTION("""COMPUTED_VALUE"""),"C1005X5R1V104K050BB")</f>
        <v>C1005X5R1V104K050BB</v>
      </c>
      <c r="E45" s="4">
        <f>IFERROR(__xludf.DUMMYFUNCTION("""COMPUTED_VALUE"""),30.0)</f>
        <v>30</v>
      </c>
      <c r="F45" s="4" t="str">
        <f>IFERROR(__xludf.DUMMYFUNCTION("""COMPUTED_VALUE"""),"DigiKey")</f>
        <v>DigiKey</v>
      </c>
      <c r="G45" s="4" t="str">
        <f>IFERROR(__xludf.DUMMYFUNCTION("""COMPUTED_VALUE"""),"445-7384-6-ND")</f>
        <v>445-7384-6-ND</v>
      </c>
      <c r="H45" s="4"/>
      <c r="I45" s="4"/>
      <c r="J45" s="4"/>
      <c r="K45" s="4"/>
      <c r="L45" s="4"/>
      <c r="M45" s="4"/>
      <c r="N45" s="9" t="str">
        <f>IFERROR(__xludf.DUMMYFUNCTION("""COMPUTED_VALUE"""),"OEPS E02 001")</f>
        <v>OEPS E02 001</v>
      </c>
      <c r="O45" s="4" t="str">
        <f>IFERROR(__xludf.DUMMYFUNCTION("""COMPUTED_VALUE"""),"PPTC141LFBN-RC")</f>
        <v>PPTC141LFBN-RC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>
      <c r="A46" s="4" t="str">
        <f>IFERROR(__xludf.DUMMYFUNCTION("""COMPUTED_VALUE"""),"CAPACITOR:   SMD CER 0402 100nF 50V ±10% X7R   [CGA2B3X7R1H104K050BB] [SMD]")</f>
        <v>CAPACITOR:   SMD CER 0402 100nF 50V ±10% X7R   [CGA2B3X7R1H104K050BB] [SMD]</v>
      </c>
      <c r="B46" s="4" t="str">
        <f>IFERROR(__xludf.DUMMYFUNCTION("""COMPUTED_VALUE"""),"OEPS010016")</f>
        <v>OEPS010016</v>
      </c>
      <c r="C46" s="4" t="str">
        <f>IFERROR(__xludf.DUMMYFUNCTION("""COMPUTED_VALUE"""),"SMD")</f>
        <v>SMD</v>
      </c>
      <c r="D46" s="4" t="str">
        <f>IFERROR(__xludf.DUMMYFUNCTION("""COMPUTED_VALUE"""),"CGA2B3X7R1H104K050BB")</f>
        <v>CGA2B3X7R1H104K050BB</v>
      </c>
      <c r="E46" s="4">
        <f>IFERROR(__xludf.DUMMYFUNCTION("""COMPUTED_VALUE"""),30.0)</f>
        <v>30</v>
      </c>
      <c r="F46" s="4" t="str">
        <f>IFERROR(__xludf.DUMMYFUNCTION("""COMPUTED_VALUE"""),"DigiKey")</f>
        <v>DigiKey</v>
      </c>
      <c r="G46" s="4" t="str">
        <f>IFERROR(__xludf.DUMMYFUNCTION("""COMPUTED_VALUE"""),"445-6899-6-ND")</f>
        <v>445-6899-6-ND</v>
      </c>
      <c r="H46" s="4"/>
      <c r="I46" s="4"/>
      <c r="J46" s="4"/>
      <c r="K46" s="4"/>
      <c r="L46" s="4"/>
      <c r="M46" s="4"/>
      <c r="N46" s="9" t="str">
        <f>IFERROR(__xludf.DUMMYFUNCTION("""COMPUTED_VALUE"""),"OEPS E02 002")</f>
        <v>OEPS E02 002</v>
      </c>
      <c r="O46" s="4" t="str">
        <f>IFERROR(__xludf.DUMMYFUNCTION("""COMPUTED_VALUE"""),"PPPC072LFBN-RC")</f>
        <v>PPPC072LFBN-RC</v>
      </c>
      <c r="P46" s="4" t="str">
        <f>IFERROR(__xludf.DUMMYFUNCTION("""COMPUTED_VALUE"""),"1 ")</f>
        <v>1 </v>
      </c>
      <c r="Q46" s="4">
        <f>IFERROR(__xludf.DUMMYFUNCTION("""COMPUTED_VALUE"""),1.0)</f>
        <v>1</v>
      </c>
      <c r="R46" s="4">
        <f>IFERROR(__xludf.DUMMYFUNCTION("""COMPUTED_VALUE"""),1.0)</f>
        <v>1</v>
      </c>
      <c r="S46" s="4" t="str">
        <f>IFERROR(__xludf.DUMMYFUNCTION("""COMPUTED_VALUE"""),"Bag")</f>
        <v>Bag</v>
      </c>
      <c r="T46" s="4" t="str">
        <f>IFERROR(__xludf.DUMMYFUNCTION("""COMPUTED_VALUE"""),"0422")</f>
        <v>0422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>
      <c r="A47" s="4" t="str">
        <f>IFERROR(__xludf.DUMMYFUNCTION("""COMPUTED_VALUE"""),"CAPACITOR:   SMD CER 0402 100pF 50V ±5% C0G   [CC0402JRNPO9BN101] [SMD]")</f>
        <v>CAPACITOR:   SMD CER 0402 100pF 50V ±5% C0G   [CC0402JRNPO9BN101] [SMD]</v>
      </c>
      <c r="B47" s="4" t="str">
        <f>IFERROR(__xludf.DUMMYFUNCTION("""COMPUTED_VALUE"""),"OEPS010089")</f>
        <v>OEPS010089</v>
      </c>
      <c r="C47" s="4" t="str">
        <f>IFERROR(__xludf.DUMMYFUNCTION("""COMPUTED_VALUE"""),"SMD")</f>
        <v>SMD</v>
      </c>
      <c r="D47" s="4" t="str">
        <f>IFERROR(__xludf.DUMMYFUNCTION("""COMPUTED_VALUE"""),"CC0402JRNPO9BN101")</f>
        <v>CC0402JRNPO9BN101</v>
      </c>
      <c r="E47" s="4">
        <f>IFERROR(__xludf.DUMMYFUNCTION("""COMPUTED_VALUE"""),30.0)</f>
        <v>30</v>
      </c>
      <c r="F47" s="4" t="str">
        <f>IFERROR(__xludf.DUMMYFUNCTION("""COMPUTED_VALUE"""),"Digikey")</f>
        <v>Digikey</v>
      </c>
      <c r="G47" s="4" t="str">
        <f>IFERROR(__xludf.DUMMYFUNCTION("""COMPUTED_VALUE"""),"311-1024-6-ND")</f>
        <v>311-1024-6-ND</v>
      </c>
      <c r="H47" s="4"/>
      <c r="I47" s="4"/>
      <c r="J47" s="4"/>
      <c r="K47" s="4"/>
      <c r="L47" s="4"/>
      <c r="M47" s="4"/>
      <c r="N47" s="9" t="str">
        <f>IFERROR(__xludf.DUMMYFUNCTION("""COMPUTED_VALUE"""),"OEPS E02 003")</f>
        <v>OEPS E02 003</v>
      </c>
      <c r="O47" s="4" t="str">
        <f>IFERROR(__xludf.DUMMYFUNCTION("""COMPUTED_VALUE"""),"PPTC161LFBN-RC")</f>
        <v>PPTC161LFBN-RC</v>
      </c>
      <c r="P47" s="4" t="str">
        <f>IFERROR(__xludf.DUMMYFUNCTION("""COMPUTED_VALUE"""),"17 ")</f>
        <v>17 </v>
      </c>
      <c r="Q47" s="4">
        <f>IFERROR(__xludf.DUMMYFUNCTION("""COMPUTED_VALUE"""),17.0)</f>
        <v>17</v>
      </c>
      <c r="R47" s="4">
        <f>IFERROR(__xludf.DUMMYFUNCTION("""COMPUTED_VALUE"""),17.0)</f>
        <v>17</v>
      </c>
      <c r="S47" s="4" t="str">
        <f>IFERROR(__xludf.DUMMYFUNCTION("""COMPUTED_VALUE"""),"Bag")</f>
        <v>Bag</v>
      </c>
      <c r="T47" s="4" t="str">
        <f>IFERROR(__xludf.DUMMYFUNCTION("""COMPUTED_VALUE"""),"0624")</f>
        <v>0624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>
      <c r="A48" s="4" t="str">
        <f>IFERROR(__xludf.DUMMYFUNCTION("""COMPUTED_VALUE"""),"CAPACITOR:   SMD CER 0402 10nF 25V ±10% X7R   [GCM155R71E103KA37D] [SMD]")</f>
        <v>CAPACITOR:   SMD CER 0402 10nF 25V ±10% X7R   [GCM155R71E103KA37D] [SMD]</v>
      </c>
      <c r="B48" s="4" t="str">
        <f>IFERROR(__xludf.DUMMYFUNCTION("""COMPUTED_VALUE"""),"OEPS010002")</f>
        <v>OEPS010002</v>
      </c>
      <c r="C48" s="4" t="str">
        <f>IFERROR(__xludf.DUMMYFUNCTION("""COMPUTED_VALUE"""),"SMD")</f>
        <v>SMD</v>
      </c>
      <c r="D48" s="4" t="str">
        <f>IFERROR(__xludf.DUMMYFUNCTION("""COMPUTED_VALUE"""),"GCM155R71E103KA37D")</f>
        <v>GCM155R71E103KA37D</v>
      </c>
      <c r="E48" s="4">
        <f>IFERROR(__xludf.DUMMYFUNCTION("""COMPUTED_VALUE"""),30.0)</f>
        <v>30</v>
      </c>
      <c r="F48" s="4" t="str">
        <f>IFERROR(__xludf.DUMMYFUNCTION("""COMPUTED_VALUE"""),"DigiKey")</f>
        <v>DigiKey</v>
      </c>
      <c r="G48" s="4" t="str">
        <f>IFERROR(__xludf.DUMMYFUNCTION("""COMPUTED_VALUE"""),"490-6043-6-ND")</f>
        <v>490-6043-6-ND</v>
      </c>
      <c r="H48" s="4"/>
      <c r="I48" s="4"/>
      <c r="J48" s="4"/>
      <c r="K48" s="4"/>
      <c r="L48" s="4"/>
      <c r="M48" s="4"/>
      <c r="N48" s="9" t="str">
        <f>IFERROR(__xludf.DUMMYFUNCTION("""COMPUTED_VALUE"""),"OEPS E02 004")</f>
        <v>OEPS E02 004</v>
      </c>
      <c r="O48" s="4" t="str">
        <f>IFERROR(__xludf.DUMMYFUNCTION("""COMPUTED_VALUE"""),"PPTC081LFBN-RC")</f>
        <v>PPTC081LFBN-RC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>
      <c r="A49" s="4" t="str">
        <f>IFERROR(__xludf.DUMMYFUNCTION("""COMPUTED_VALUE"""),"CAPACITOR:   SMD CER 0402 10nF 25V ±10% X7R (OEPS H1 002)   [GRM155R71E103KA01D] [SMD]")</f>
        <v>CAPACITOR:   SMD CER 0402 10nF 25V ±10% X7R (OEPS H1 002)   [GRM155R71E103KA01D] [SMD]</v>
      </c>
      <c r="B49" s="4" t="str">
        <f>IFERROR(__xludf.DUMMYFUNCTION("""COMPUTED_VALUE"""),"OEPS010067")</f>
        <v>OEPS010067</v>
      </c>
      <c r="C49" s="4" t="str">
        <f>IFERROR(__xludf.DUMMYFUNCTION("""COMPUTED_VALUE"""),"SMD")</f>
        <v>SMD</v>
      </c>
      <c r="D49" s="4" t="str">
        <f>IFERROR(__xludf.DUMMYFUNCTION("""COMPUTED_VALUE"""),"GRM155R71E103KA01D")</f>
        <v>GRM155R71E103KA01D</v>
      </c>
      <c r="E49" s="4">
        <f>IFERROR(__xludf.DUMMYFUNCTION("""COMPUTED_VALUE"""),30.0)</f>
        <v>30</v>
      </c>
      <c r="F49" s="4" t="str">
        <f>IFERROR(__xludf.DUMMYFUNCTION("""COMPUTED_VALUE"""),"DigiKey")</f>
        <v>DigiKey</v>
      </c>
      <c r="G49" s="4" t="str">
        <f>IFERROR(__xludf.DUMMYFUNCTION("""COMPUTED_VALUE"""),"490-1312-6-ND")</f>
        <v>490-1312-6-ND</v>
      </c>
      <c r="H49" s="4"/>
      <c r="I49" s="4"/>
      <c r="J49" s="4"/>
      <c r="K49" s="4"/>
      <c r="L49" s="4"/>
      <c r="M49" s="4"/>
      <c r="N49" s="9" t="str">
        <f>IFERROR(__xludf.DUMMYFUNCTION("""COMPUTED_VALUE"""),"OEPS E02 005")</f>
        <v>OEPS E02 005</v>
      </c>
      <c r="O49" s="4" t="str">
        <f>IFERROR(__xludf.DUMMYFUNCTION("""COMPUTED_VALUE"""),"OSTVN04A150")</f>
        <v>OSTVN04A150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>
      <c r="A50" s="4" t="str">
        <f>IFERROR(__xludf.DUMMYFUNCTION("""COMPUTED_VALUE"""),"CAPACITOR:   SMD CER 0402 10nF 50V ±10% X7R (OEPS H02 003)   [GRM155R71H103KA88D] [SMD]")</f>
        <v>CAPACITOR:   SMD CER 0402 10nF 50V ±10% X7R (OEPS H02 003)   [GRM155R71H103KA88D] [SMD]</v>
      </c>
      <c r="B50" s="4" t="str">
        <f>IFERROR(__xludf.DUMMYFUNCTION("""COMPUTED_VALUE"""),"OEPS010051")</f>
        <v>OEPS010051</v>
      </c>
      <c r="C50" s="4" t="str">
        <f>IFERROR(__xludf.DUMMYFUNCTION("""COMPUTED_VALUE"""),"SMD")</f>
        <v>SMD</v>
      </c>
      <c r="D50" s="4" t="str">
        <f>IFERROR(__xludf.DUMMYFUNCTION("""COMPUTED_VALUE"""),"GRM155R71H103KA88D")</f>
        <v>GRM155R71H103KA88D</v>
      </c>
      <c r="E50" s="4">
        <f>IFERROR(__xludf.DUMMYFUNCTION("""COMPUTED_VALUE"""),30.0)</f>
        <v>30</v>
      </c>
      <c r="F50" s="4" t="str">
        <f>IFERROR(__xludf.DUMMYFUNCTION("""COMPUTED_VALUE"""),"DigiKey")</f>
        <v>DigiKey</v>
      </c>
      <c r="G50" s="4" t="str">
        <f>IFERROR(__xludf.DUMMYFUNCTION("""COMPUTED_VALUE"""),"490-4516-6-ND")</f>
        <v>490-4516-6-ND</v>
      </c>
      <c r="H50" s="4"/>
      <c r="I50" s="4"/>
      <c r="J50" s="4"/>
      <c r="K50" s="4"/>
      <c r="L50" s="4"/>
      <c r="M50" s="4"/>
      <c r="N50" s="9" t="str">
        <f>IFERROR(__xludf.DUMMYFUNCTION("""COMPUTED_VALUE"""),"OEPS E02 006")</f>
        <v>OEPS E02 006</v>
      </c>
      <c r="O50" s="4" t="str">
        <f>IFERROR(__xludf.DUMMYFUNCTION("""COMPUTED_VALUE"""),"PJ-063AH")</f>
        <v>PJ-063AH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>
      <c r="A51" s="4" t="str">
        <f>IFERROR(__xludf.DUMMYFUNCTION("""COMPUTED_VALUE"""),"CAPACITOR:   SMD CER 0402 10uF 10V ±20% X5R (OEPS M01 014)   [CL05A106MP5NUNC] [SMD]")</f>
        <v>CAPACITOR:   SMD CER 0402 10uF 10V ±20% X5R (OEPS M01 014)   [CL05A106MP5NUNC] [SMD]</v>
      </c>
      <c r="B51" s="4" t="str">
        <f>IFERROR(__xludf.DUMMYFUNCTION("""COMPUTED_VALUE"""),"OEPS010038")</f>
        <v>OEPS010038</v>
      </c>
      <c r="C51" s="4" t="str">
        <f>IFERROR(__xludf.DUMMYFUNCTION("""COMPUTED_VALUE"""),"SMD")</f>
        <v>SMD</v>
      </c>
      <c r="D51" s="4" t="str">
        <f>IFERROR(__xludf.DUMMYFUNCTION("""COMPUTED_VALUE"""),"CL05A106MP5NUNC")</f>
        <v>CL05A106MP5NUNC</v>
      </c>
      <c r="E51" s="4">
        <f>IFERROR(__xludf.DUMMYFUNCTION("""COMPUTED_VALUE"""),30.0)</f>
        <v>30</v>
      </c>
      <c r="F51" s="4" t="str">
        <f>IFERROR(__xludf.DUMMYFUNCTION("""COMPUTED_VALUE"""),"DigiKey")</f>
        <v>DigiKey</v>
      </c>
      <c r="G51" s="4" t="str">
        <f>IFERROR(__xludf.DUMMYFUNCTION("""COMPUTED_VALUE"""),"1276-1450-6-ND")</f>
        <v>1276-1450-6-ND</v>
      </c>
      <c r="H51" s="4"/>
      <c r="I51" s="4"/>
      <c r="J51" s="4"/>
      <c r="K51" s="4"/>
      <c r="L51" s="4"/>
      <c r="M51" s="4"/>
      <c r="N51" s="9" t="str">
        <f>IFERROR(__xludf.DUMMYFUNCTION("""COMPUTED_VALUE"""),"OEPS E02 007")</f>
        <v>OEPS E02 007</v>
      </c>
      <c r="O51" s="4" t="str">
        <f>IFERROR(__xludf.DUMMYFUNCTION("""COMPUTED_VALUE"""),"06035C103KAT2A")</f>
        <v>06035C103KAT2A</v>
      </c>
      <c r="P51" s="4" t="str">
        <f>IFERROR(__xludf.DUMMYFUNCTION("""COMPUTED_VALUE"""),"12(Tp) ")</f>
        <v>12(Tp) </v>
      </c>
      <c r="Q51" s="4">
        <f>IFERROR(__xludf.DUMMYFUNCTION("""COMPUTED_VALUE"""),12.0)</f>
        <v>12</v>
      </c>
      <c r="R51" s="4">
        <f>IFERROR(__xludf.DUMMYFUNCTION("""COMPUTED_VALUE"""),12.0)</f>
        <v>12</v>
      </c>
      <c r="S51" s="4" t="str">
        <f>IFERROR(__xludf.DUMMYFUNCTION("""COMPUTED_VALUE"""),"Tape")</f>
        <v>Tape</v>
      </c>
      <c r="T51" s="4" t="str">
        <f>IFERROR(__xludf.DUMMYFUNCTION("""COMPUTED_VALUE"""),"0624")</f>
        <v>0624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>
      <c r="A52" s="4" t="str">
        <f>IFERROR(__xludf.DUMMYFUNCTION("""COMPUTED_VALUE"""),"CAPACITOR:   SMD CER 0402 10uF 6.3V ±20% X5R (OEPS J05 007A)   [CL05A106MQ5NUNC] [SMD]")</f>
        <v>CAPACITOR:   SMD CER 0402 10uF 6.3V ±20% X5R (OEPS J05 007A)   [CL05A106MQ5NUNC] [SMD]</v>
      </c>
      <c r="B52" s="4" t="str">
        <f>IFERROR(__xludf.DUMMYFUNCTION("""COMPUTED_VALUE"""),"OEPS010045")</f>
        <v>OEPS010045</v>
      </c>
      <c r="C52" s="4" t="str">
        <f>IFERROR(__xludf.DUMMYFUNCTION("""COMPUTED_VALUE"""),"SMD")</f>
        <v>SMD</v>
      </c>
      <c r="D52" s="4" t="str">
        <f>IFERROR(__xludf.DUMMYFUNCTION("""COMPUTED_VALUE"""),"CL05A106MQ5NUNC")</f>
        <v>CL05A106MQ5NUNC</v>
      </c>
      <c r="E52" s="4">
        <f>IFERROR(__xludf.DUMMYFUNCTION("""COMPUTED_VALUE"""),30.0)</f>
        <v>30</v>
      </c>
      <c r="F52" s="4" t="str">
        <f>IFERROR(__xludf.DUMMYFUNCTION("""COMPUTED_VALUE"""),"DigiKey")</f>
        <v>DigiKey</v>
      </c>
      <c r="G52" s="4" t="str">
        <f>IFERROR(__xludf.DUMMYFUNCTION("""COMPUTED_VALUE"""),"1276-1451-6-ND")</f>
        <v>1276-1451-6-ND</v>
      </c>
      <c r="H52" s="4"/>
      <c r="I52" s="4"/>
      <c r="J52" s="4"/>
      <c r="K52" s="4"/>
      <c r="L52" s="4"/>
      <c r="M52" s="4"/>
      <c r="N52" s="9" t="str">
        <f>IFERROR(__xludf.DUMMYFUNCTION("""COMPUTED_VALUE"""),"OEPS E02 008A")</f>
        <v>OEPS E02 008A</v>
      </c>
      <c r="O52" s="4" t="str">
        <f>IFERROR(__xludf.DUMMYFUNCTION("""COMPUTED_VALUE"""),"478-10073-1-ND")</f>
        <v>478-10073-1-ND</v>
      </c>
      <c r="P52" s="4" t="str">
        <f>IFERROR(__xludf.DUMMYFUNCTION("""COMPUTED_VALUE"""),"45(Tp) ")</f>
        <v>45(Tp) </v>
      </c>
      <c r="Q52" s="4">
        <f>IFERROR(__xludf.DUMMYFUNCTION("""COMPUTED_VALUE"""),45.0)</f>
        <v>45</v>
      </c>
      <c r="R52" s="4">
        <f>IFERROR(__xludf.DUMMYFUNCTION("""COMPUTED_VALUE"""),45.0)</f>
        <v>45</v>
      </c>
      <c r="S52" s="4" t="str">
        <f>IFERROR(__xludf.DUMMYFUNCTION("""COMPUTED_VALUE"""),"Tape")</f>
        <v>Tape</v>
      </c>
      <c r="T52" s="4" t="str">
        <f>IFERROR(__xludf.DUMMYFUNCTION("""COMPUTED_VALUE"""),"0624")</f>
        <v>0624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>
      <c r="A53" s="4" t="str">
        <f>IFERROR(__xludf.DUMMYFUNCTION("""COMPUTED_VALUE"""),"CAPACITOR:   SMD CER 0402 12pF 50V ±5% COG/NP0   [GRM1555C1H120JA01D] [SMD]")</f>
        <v>CAPACITOR:   SMD CER 0402 12pF 50V ±5% COG/NP0   [GRM1555C1H120JA01D] [SMD]</v>
      </c>
      <c r="B53" s="4" t="str">
        <f>IFERROR(__xludf.DUMMYFUNCTION("""COMPUTED_VALUE"""),"OEPS010086")</f>
        <v>OEPS010086</v>
      </c>
      <c r="C53" s="4" t="str">
        <f>IFERROR(__xludf.DUMMYFUNCTION("""COMPUTED_VALUE"""),"SMD")</f>
        <v>SMD</v>
      </c>
      <c r="D53" s="4" t="str">
        <f>IFERROR(__xludf.DUMMYFUNCTION("""COMPUTED_VALUE"""),"GRM1555C1H120JA01D")</f>
        <v>GRM1555C1H120JA01D</v>
      </c>
      <c r="E53" s="4">
        <f>IFERROR(__xludf.DUMMYFUNCTION("""COMPUTED_VALUE"""),30.0)</f>
        <v>30</v>
      </c>
      <c r="F53" s="4" t="str">
        <f>IFERROR(__xludf.DUMMYFUNCTION("""COMPUTED_VALUE"""),"Digikey")</f>
        <v>Digikey</v>
      </c>
      <c r="G53" s="4" t="str">
        <f>IFERROR(__xludf.DUMMYFUNCTION("""COMPUTED_VALUE"""),"490-5924-6-ND")</f>
        <v>490-5924-6-ND</v>
      </c>
      <c r="H53" s="4"/>
      <c r="I53" s="4"/>
      <c r="J53" s="4"/>
      <c r="K53" s="4"/>
      <c r="L53" s="4"/>
      <c r="M53" s="4"/>
      <c r="N53" s="9" t="str">
        <f>IFERROR(__xludf.DUMMYFUNCTION("""COMPUTED_VALUE"""),"OEPS E02 009")</f>
        <v>OEPS E02 009</v>
      </c>
      <c r="O53" s="4" t="str">
        <f>IFERROR(__xludf.DUMMYFUNCTION("""COMPUTED_VALUE"""),"T491D156K035AT")</f>
        <v>T491D156K035AT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>
      <c r="A54" s="4" t="str">
        <f>IFERROR(__xludf.DUMMYFUNCTION("""COMPUTED_VALUE"""),"CAPACITOR:   SMD CER 0402 15nF 35V ±10% X7R   [CGA2B3X7R1V153K050BB] [SMD]")</f>
        <v>CAPACITOR:   SMD CER 0402 15nF 35V ±10% X7R   [CGA2B3X7R1V153K050BB] [SMD]</v>
      </c>
      <c r="B54" s="4" t="str">
        <f>IFERROR(__xludf.DUMMYFUNCTION("""COMPUTED_VALUE"""),"OEPS010023")</f>
        <v>OEPS010023</v>
      </c>
      <c r="C54" s="4" t="str">
        <f>IFERROR(__xludf.DUMMYFUNCTION("""COMPUTED_VALUE"""),"SMD")</f>
        <v>SMD</v>
      </c>
      <c r="D54" s="4" t="str">
        <f>IFERROR(__xludf.DUMMYFUNCTION("""COMPUTED_VALUE"""),"CGA2B3X7R1V153K050BB")</f>
        <v>CGA2B3X7R1V153K050BB</v>
      </c>
      <c r="E54" s="4">
        <f>IFERROR(__xludf.DUMMYFUNCTION("""COMPUTED_VALUE"""),30.0)</f>
        <v>30</v>
      </c>
      <c r="F54" s="4" t="str">
        <f>IFERROR(__xludf.DUMMYFUNCTION("""COMPUTED_VALUE"""),"DigiKey")</f>
        <v>DigiKey</v>
      </c>
      <c r="G54" s="4" t="str">
        <f>IFERROR(__xludf.DUMMYFUNCTION("""COMPUTED_VALUE"""),"445-12254-6-ND")</f>
        <v>445-12254-6-ND</v>
      </c>
      <c r="H54" s="4"/>
      <c r="I54" s="4"/>
      <c r="J54" s="4"/>
      <c r="K54" s="4"/>
      <c r="L54" s="4"/>
      <c r="M54" s="4"/>
      <c r="N54" s="9" t="str">
        <f>IFERROR(__xludf.DUMMYFUNCTION("""COMPUTED_VALUE"""),"OEPS E02 010")</f>
        <v>OEPS E02 010</v>
      </c>
      <c r="O54" s="4" t="str">
        <f>IFERROR(__xludf.DUMMYFUNCTION("""COMPUTED_VALUE"""),"T491D227M010AT")</f>
        <v>T491D227M010AT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>
      <c r="A55" s="4" t="str">
        <f>IFERROR(__xludf.DUMMYFUNCTION("""COMPUTED_VALUE"""),"CAPACITOR:   SMD CER 0402 1nF 50V ±5% X7R   [C0402C102J5RACTU] [SMD]")</f>
        <v>CAPACITOR:   SMD CER 0402 1nF 50V ±5% X7R   [C0402C102J5RACTU] [SMD]</v>
      </c>
      <c r="B55" s="4" t="str">
        <f>IFERROR(__xludf.DUMMYFUNCTION("""COMPUTED_VALUE"""),"OEPS010079")</f>
        <v>OEPS010079</v>
      </c>
      <c r="C55" s="4" t="str">
        <f>IFERROR(__xludf.DUMMYFUNCTION("""COMPUTED_VALUE"""),"SMD")</f>
        <v>SMD</v>
      </c>
      <c r="D55" s="4" t="str">
        <f>IFERROR(__xludf.DUMMYFUNCTION("""COMPUTED_VALUE"""),"C0402C102J5RACTU")</f>
        <v>C0402C102J5RACTU</v>
      </c>
      <c r="E55" s="4">
        <f>IFERROR(__xludf.DUMMYFUNCTION("""COMPUTED_VALUE"""),30.0)</f>
        <v>30</v>
      </c>
      <c r="F55" s="4" t="str">
        <f>IFERROR(__xludf.DUMMYFUNCTION("""COMPUTED_VALUE"""),"Digikey")</f>
        <v>Digikey</v>
      </c>
      <c r="G55" s="4" t="str">
        <f>IFERROR(__xludf.DUMMYFUNCTION("""COMPUTED_VALUE"""),"399-C0402C102J5RACTUDKR-ND")</f>
        <v>399-C0402C102J5RACTUDKR-ND</v>
      </c>
      <c r="H55" s="4"/>
      <c r="I55" s="4"/>
      <c r="J55" s="4"/>
      <c r="K55" s="4"/>
      <c r="L55" s="4"/>
      <c r="M55" s="4"/>
      <c r="N55" s="9" t="str">
        <f>IFERROR(__xludf.DUMMYFUNCTION("""COMPUTED_VALUE"""),"OEPS E02 011")</f>
        <v>OEPS E02 011</v>
      </c>
      <c r="O55" s="4" t="str">
        <f>IFERROR(__xludf.DUMMYFUNCTION("""COMPUTED_VALUE"""),"RC0603FR-07470RL")</f>
        <v>RC0603FR-07470RL</v>
      </c>
      <c r="P55" s="4" t="str">
        <f>IFERROR(__xludf.DUMMYFUNCTION("""COMPUTED_VALUE"""),"34(R) ")</f>
        <v>34(R) </v>
      </c>
      <c r="Q55" s="4">
        <f>IFERROR(__xludf.DUMMYFUNCTION("""COMPUTED_VALUE"""),34.0)</f>
        <v>34</v>
      </c>
      <c r="R55" s="4">
        <f>IFERROR(__xludf.DUMMYFUNCTION("""COMPUTED_VALUE"""),34.0)</f>
        <v>34</v>
      </c>
      <c r="S55" s="4" t="str">
        <f>IFERROR(__xludf.DUMMYFUNCTION("""COMPUTED_VALUE"""),"Reel")</f>
        <v>Reel</v>
      </c>
      <c r="T55" s="4" t="str">
        <f>IFERROR(__xludf.DUMMYFUNCTION("""COMPUTED_VALUE"""),"0422")</f>
        <v>0422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>
      <c r="A56" s="4" t="str">
        <f>IFERROR(__xludf.DUMMYFUNCTION("""COMPUTED_VALUE"""),"CAPACITOR:   SMD CER 0402 1uF 25V ±10% X5R   [C1005X5R1E105K050BC] [SMD]")</f>
        <v>CAPACITOR:   SMD CER 0402 1uF 25V ±10% X5R   [C1005X5R1E105K050BC] [SMD]</v>
      </c>
      <c r="B56" s="4" t="str">
        <f>IFERROR(__xludf.DUMMYFUNCTION("""COMPUTED_VALUE"""),"OEPS010030")</f>
        <v>OEPS010030</v>
      </c>
      <c r="C56" s="4" t="str">
        <f>IFERROR(__xludf.DUMMYFUNCTION("""COMPUTED_VALUE"""),"SMD")</f>
        <v>SMD</v>
      </c>
      <c r="D56" s="4" t="str">
        <f>IFERROR(__xludf.DUMMYFUNCTION("""COMPUTED_VALUE"""),"C1005X5R1E105K050BC")</f>
        <v>C1005X5R1E105K050BC</v>
      </c>
      <c r="E56" s="4">
        <f>IFERROR(__xludf.DUMMYFUNCTION("""COMPUTED_VALUE"""),30.0)</f>
        <v>30</v>
      </c>
      <c r="F56" s="4" t="str">
        <f>IFERROR(__xludf.DUMMYFUNCTION("""COMPUTED_VALUE"""),"DigiKey")</f>
        <v>DigiKey</v>
      </c>
      <c r="G56" s="4" t="str">
        <f>IFERROR(__xludf.DUMMYFUNCTION("""COMPUTED_VALUE"""),"445-9066-6-ND")</f>
        <v>445-9066-6-ND</v>
      </c>
      <c r="H56" s="4"/>
      <c r="I56" s="4"/>
      <c r="J56" s="4"/>
      <c r="K56" s="4"/>
      <c r="L56" s="4"/>
      <c r="M56" s="4"/>
      <c r="N56" s="9" t="str">
        <f>IFERROR(__xludf.DUMMYFUNCTION("""COMPUTED_VALUE"""),"OEPS E02 012")</f>
        <v>OEPS E02 012</v>
      </c>
      <c r="O56" s="4" t="str">
        <f>IFERROR(__xludf.DUMMYFUNCTION("""COMPUTED_VALUE"""),"RC0603FR-074K7L")</f>
        <v>RC0603FR-074K7L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>
      <c r="A57" s="4" t="str">
        <f>IFERROR(__xludf.DUMMYFUNCTION("""COMPUTED_VALUE"""),"CAPACITOR:   SMD CER 0402 2.2uF 10V ±10% X7R   [GRM155Z71A225KE44D] [SMD]")</f>
        <v>CAPACITOR:   SMD CER 0402 2.2uF 10V ±10% X7R   [GRM155Z71A225KE44D] [SMD]</v>
      </c>
      <c r="B57" s="4" t="str">
        <f>IFERROR(__xludf.DUMMYFUNCTION("""COMPUTED_VALUE"""),"OEPS010055")</f>
        <v>OEPS010055</v>
      </c>
      <c r="C57" s="4" t="str">
        <f>IFERROR(__xludf.DUMMYFUNCTION("""COMPUTED_VALUE"""),"SMD")</f>
        <v>SMD</v>
      </c>
      <c r="D57" s="4" t="str">
        <f>IFERROR(__xludf.DUMMYFUNCTION("""COMPUTED_VALUE"""),"GRM155Z71A225KE44D")</f>
        <v>GRM155Z71A225KE44D</v>
      </c>
      <c r="E57" s="4">
        <f>IFERROR(__xludf.DUMMYFUNCTION("""COMPUTED_VALUE"""),30.0)</f>
        <v>30</v>
      </c>
      <c r="F57" s="4" t="str">
        <f>IFERROR(__xludf.DUMMYFUNCTION("""COMPUTED_VALUE"""),"DigiKey")</f>
        <v>DigiKey</v>
      </c>
      <c r="G57" s="4" t="str">
        <f>IFERROR(__xludf.DUMMYFUNCTION("""COMPUTED_VALUE"""),"490-GRM155Z71A225KE44DDKR-ND")</f>
        <v>490-GRM155Z71A225KE44DDKR-ND</v>
      </c>
      <c r="H57" s="4"/>
      <c r="I57" s="4"/>
      <c r="J57" s="4"/>
      <c r="K57" s="4"/>
      <c r="L57" s="4"/>
      <c r="M57" s="4"/>
      <c r="N57" s="9" t="str">
        <f>IFERROR(__xludf.DUMMYFUNCTION("""COMPUTED_VALUE"""),"OEPS E02 013")</f>
        <v>OEPS E02 013</v>
      </c>
      <c r="O57" s="4" t="str">
        <f>IFERROR(__xludf.DUMMYFUNCTION("""COMPUTED_VALUE"""),"RC0603FR-0710KL")</f>
        <v>RC0603FR-0710KL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>
      <c r="A58" s="4" t="str">
        <f>IFERROR(__xludf.DUMMYFUNCTION("""COMPUTED_VALUE"""),"CAPACITOR:   SMD CER 0402 2.2uF 25V ±20% X5R   [GRM155R61E225ME11D] [SMD]")</f>
        <v>CAPACITOR:   SMD CER 0402 2.2uF 25V ±20% X5R   [GRM155R61E225ME11D] [SMD]</v>
      </c>
      <c r="B58" s="4" t="str">
        <f>IFERROR(__xludf.DUMMYFUNCTION("""COMPUTED_VALUE"""),"OEPS010062")</f>
        <v>OEPS010062</v>
      </c>
      <c r="C58" s="4" t="str">
        <f>IFERROR(__xludf.DUMMYFUNCTION("""COMPUTED_VALUE"""),"SMD")</f>
        <v>SMD</v>
      </c>
      <c r="D58" s="4" t="str">
        <f>IFERROR(__xludf.DUMMYFUNCTION("""COMPUTED_VALUE"""),"GRM155R61E225ME11D")</f>
        <v>GRM155R61E225ME11D</v>
      </c>
      <c r="E58" s="4">
        <f>IFERROR(__xludf.DUMMYFUNCTION("""COMPUTED_VALUE"""),30.0)</f>
        <v>30</v>
      </c>
      <c r="F58" s="4" t="str">
        <f>IFERROR(__xludf.DUMMYFUNCTION("""COMPUTED_VALUE"""),"DigiKey")</f>
        <v>DigiKey</v>
      </c>
      <c r="G58" s="4" t="str">
        <f>IFERROR(__xludf.DUMMYFUNCTION("""COMPUTED_VALUE"""),"490-12704-6-ND")</f>
        <v>490-12704-6-ND</v>
      </c>
      <c r="H58" s="4"/>
      <c r="I58" s="4"/>
      <c r="J58" s="4"/>
      <c r="K58" s="4"/>
      <c r="L58" s="4"/>
      <c r="M58" s="4"/>
      <c r="N58" s="9" t="str">
        <f>IFERROR(__xludf.DUMMYFUNCTION("""COMPUTED_VALUE"""),"OEPS E02 014")</f>
        <v>OEPS E02 014</v>
      </c>
      <c r="O58" s="4" t="str">
        <f>IFERROR(__xludf.DUMMYFUNCTION("""COMPUTED_VALUE"""),"SM-42TX203")</f>
        <v>SM-42TX203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>
      <c r="A59" s="4" t="str">
        <f>IFERROR(__xludf.DUMMYFUNCTION("""COMPUTED_VALUE"""),"CAPACITOR:   SMD CER 0402 220nF 50V ±10% X5R   [UMK105BJ224KV-F] [SMD]")</f>
        <v>CAPACITOR:   SMD CER 0402 220nF 50V ±10% X5R   [UMK105BJ224KV-F] [SMD]</v>
      </c>
      <c r="B59" s="4" t="str">
        <f>IFERROR(__xludf.DUMMYFUNCTION("""COMPUTED_VALUE"""),"OEPS010085")</f>
        <v>OEPS010085</v>
      </c>
      <c r="C59" s="4" t="str">
        <f>IFERROR(__xludf.DUMMYFUNCTION("""COMPUTED_VALUE"""),"SMD")</f>
        <v>SMD</v>
      </c>
      <c r="D59" s="4" t="str">
        <f>IFERROR(__xludf.DUMMYFUNCTION("""COMPUTED_VALUE"""),"UMK105BJ224KV-F")</f>
        <v>UMK105BJ224KV-F</v>
      </c>
      <c r="E59" s="4">
        <f>IFERROR(__xludf.DUMMYFUNCTION("""COMPUTED_VALUE"""),30.0)</f>
        <v>30</v>
      </c>
      <c r="F59" s="4" t="str">
        <f>IFERROR(__xludf.DUMMYFUNCTION("""COMPUTED_VALUE"""),"Digikey")</f>
        <v>Digikey</v>
      </c>
      <c r="G59" s="4" t="str">
        <f>IFERROR(__xludf.DUMMYFUNCTION("""COMPUTED_VALUE"""),"587-3500-6-ND")</f>
        <v>587-3500-6-ND</v>
      </c>
      <c r="H59" s="4"/>
      <c r="I59" s="4"/>
      <c r="J59" s="4"/>
      <c r="K59" s="4"/>
      <c r="L59" s="4"/>
      <c r="M59" s="4"/>
      <c r="N59" s="9" t="str">
        <f>IFERROR(__xludf.DUMMYFUNCTION("""COMPUTED_VALUE"""),"OEPS E02 015")</f>
        <v>OEPS E02 015</v>
      </c>
      <c r="O59" s="4" t="str">
        <f>IFERROR(__xludf.DUMMYFUNCTION("""COMPUTED_VALUE"""),"DR125-680-R")</f>
        <v>DR125-680-R</v>
      </c>
      <c r="P59" s="4" t="str">
        <f>IFERROR(__xludf.DUMMYFUNCTION("""COMPUTED_VALUE"""),"2 ")</f>
        <v>2 </v>
      </c>
      <c r="Q59" s="4">
        <f>IFERROR(__xludf.DUMMYFUNCTION("""COMPUTED_VALUE"""),2.0)</f>
        <v>2</v>
      </c>
      <c r="R59" s="4">
        <f>IFERROR(__xludf.DUMMYFUNCTION("""COMPUTED_VALUE"""),2.0)</f>
        <v>2</v>
      </c>
      <c r="S59" s="4" t="str">
        <f>IFERROR(__xludf.DUMMYFUNCTION("""COMPUTED_VALUE"""),"Bag")</f>
        <v>Bag</v>
      </c>
      <c r="T59" s="4" t="str">
        <f>IFERROR(__xludf.DUMMYFUNCTION("""COMPUTED_VALUE"""),"0422")</f>
        <v>0422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>
      <c r="A60" s="4" t="str">
        <f>IFERROR(__xludf.DUMMYFUNCTION("""COMPUTED_VALUE"""),"CAPACITOR:   SMD CER 0402 22nF 50V ±10% X7R   [GRM155R71H223KA12D] [SMD]")</f>
        <v>CAPACITOR:   SMD CER 0402 22nF 50V ±10% X7R   [GRM155R71H223KA12D] [SMD]</v>
      </c>
      <c r="B60" s="4" t="str">
        <f>IFERROR(__xludf.DUMMYFUNCTION("""COMPUTED_VALUE"""),"OEPS010034")</f>
        <v>OEPS010034</v>
      </c>
      <c r="C60" s="4" t="str">
        <f>IFERROR(__xludf.DUMMYFUNCTION("""COMPUTED_VALUE"""),"SMD")</f>
        <v>SMD</v>
      </c>
      <c r="D60" s="4" t="str">
        <f>IFERROR(__xludf.DUMMYFUNCTION("""COMPUTED_VALUE"""),"GRM155R71H223KA12D")</f>
        <v>GRM155R71H223KA12D</v>
      </c>
      <c r="E60" s="4">
        <f>IFERROR(__xludf.DUMMYFUNCTION("""COMPUTED_VALUE"""),30.0)</f>
        <v>30</v>
      </c>
      <c r="F60" s="4" t="str">
        <f>IFERROR(__xludf.DUMMYFUNCTION("""COMPUTED_VALUE"""),"DigiKey")</f>
        <v>DigiKey</v>
      </c>
      <c r="G60" s="4" t="str">
        <f>IFERROR(__xludf.DUMMYFUNCTION("""COMPUTED_VALUE"""),"490-3884-6-ND")</f>
        <v>490-3884-6-ND</v>
      </c>
      <c r="H60" s="4"/>
      <c r="I60" s="4"/>
      <c r="J60" s="4"/>
      <c r="K60" s="4"/>
      <c r="L60" s="4"/>
      <c r="M60" s="4"/>
      <c r="N60" s="9" t="str">
        <f>IFERROR(__xludf.DUMMYFUNCTION("""COMPUTED_VALUE"""),"OEPS E02 016")</f>
        <v>OEPS E02 016</v>
      </c>
      <c r="O60" s="4" t="str">
        <f>IFERROR(__xludf.DUMMYFUNCTION("""COMPUTED_VALUE"""),"NRVTS260ESFT1G")</f>
        <v>NRVTS260ESFT1G</v>
      </c>
      <c r="P60" s="4" t="str">
        <f>IFERROR(__xludf.DUMMYFUNCTION("""COMPUTED_VALUE"""),"85(R) ")</f>
        <v>85(R) </v>
      </c>
      <c r="Q60" s="4">
        <f>IFERROR(__xludf.DUMMYFUNCTION("""COMPUTED_VALUE"""),85.0)</f>
        <v>85</v>
      </c>
      <c r="R60" s="4">
        <f>IFERROR(__xludf.DUMMYFUNCTION("""COMPUTED_VALUE"""),85.0)</f>
        <v>85</v>
      </c>
      <c r="S60" s="4" t="str">
        <f>IFERROR(__xludf.DUMMYFUNCTION("""COMPUTED_VALUE"""),"Reel")</f>
        <v>Reel</v>
      </c>
      <c r="T60" s="4" t="str">
        <f>IFERROR(__xludf.DUMMYFUNCTION("""COMPUTED_VALUE"""),"XXXX")</f>
        <v>XXXX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>
      <c r="A61" s="4" t="str">
        <f>IFERROR(__xludf.DUMMYFUNCTION("""COMPUTED_VALUE"""),"CAPACITOR:   SMD CER 0402 22pF 50V ±5% C0G/NP0   [CL05C220JB51PNC] [SMD]")</f>
        <v>CAPACITOR:   SMD CER 0402 22pF 50V ±5% C0G/NP0   [CL05C220JB51PNC] [SMD]</v>
      </c>
      <c r="B61" s="4" t="str">
        <f>IFERROR(__xludf.DUMMYFUNCTION("""COMPUTED_VALUE"""),"OEPS010080")</f>
        <v>OEPS010080</v>
      </c>
      <c r="C61" s="4" t="str">
        <f>IFERROR(__xludf.DUMMYFUNCTION("""COMPUTED_VALUE"""),"SMD")</f>
        <v>SMD</v>
      </c>
      <c r="D61" s="4" t="str">
        <f>IFERROR(__xludf.DUMMYFUNCTION("""COMPUTED_VALUE"""),"CL05C220JB51PNC")</f>
        <v>CL05C220JB51PNC</v>
      </c>
      <c r="E61" s="4">
        <f>IFERROR(__xludf.DUMMYFUNCTION("""COMPUTED_VALUE"""),30.0)</f>
        <v>30</v>
      </c>
      <c r="F61" s="4" t="str">
        <f>IFERROR(__xludf.DUMMYFUNCTION("""COMPUTED_VALUE"""),"Digikey")</f>
        <v>Digikey</v>
      </c>
      <c r="G61" s="4" t="str">
        <f>IFERROR(__xludf.DUMMYFUNCTION("""COMPUTED_VALUE"""),"1276-6849-6-ND")</f>
        <v>1276-6849-6-ND</v>
      </c>
      <c r="H61" s="4"/>
      <c r="I61" s="4"/>
      <c r="J61" s="4"/>
      <c r="K61" s="4"/>
      <c r="L61" s="4"/>
      <c r="M61" s="4"/>
      <c r="N61" s="9" t="str">
        <f>IFERROR(__xludf.DUMMYFUNCTION("""COMPUTED_VALUE"""),"OEPS E02 017")</f>
        <v>OEPS E02 017</v>
      </c>
      <c r="O61" s="4" t="str">
        <f>IFERROR(__xludf.DUMMYFUNCTION("""COMPUTED_VALUE"""),"IS31FL3193-DLS2-TR")</f>
        <v>IS31FL3193-DLS2-TR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>
      <c r="A62" s="4" t="str">
        <f>IFERROR(__xludf.DUMMYFUNCTION("""COMPUTED_VALUE"""),"CAPACITOR:   SMD CER 0402 22uF 10V ±20% X5R   [GMC04X5R226M10NT] [SMD]")</f>
        <v>CAPACITOR:   SMD CER 0402 22uF 10V ±20% X5R   [GMC04X5R226M10NT] [SMD]</v>
      </c>
      <c r="B62" s="4" t="str">
        <f>IFERROR(__xludf.DUMMYFUNCTION("""COMPUTED_VALUE"""),"OEPS010100")</f>
        <v>OEPS010100</v>
      </c>
      <c r="C62" s="4" t="str">
        <f>IFERROR(__xludf.DUMMYFUNCTION("""COMPUTED_VALUE"""),"SMD")</f>
        <v>SMD</v>
      </c>
      <c r="D62" s="4" t="str">
        <f>IFERROR(__xludf.DUMMYFUNCTION("""COMPUTED_VALUE"""),"GMC04X5R226M10NT")</f>
        <v>GMC04X5R226M10NT</v>
      </c>
      <c r="E62" s="4">
        <f>IFERROR(__xludf.DUMMYFUNCTION("""COMPUTED_VALUE"""),30.0)</f>
        <v>30</v>
      </c>
      <c r="F62" s="4" t="str">
        <f>IFERROR(__xludf.DUMMYFUNCTION("""COMPUTED_VALUE"""),"Digikey")</f>
        <v>Digikey</v>
      </c>
      <c r="G62" s="4" t="str">
        <f>IFERROR(__xludf.DUMMYFUNCTION("""COMPUTED_VALUE"""),"4713-GMC04X5R226M10NTDKR-ND")</f>
        <v>4713-GMC04X5R226M10NTDKR-ND</v>
      </c>
      <c r="H62" s="4"/>
      <c r="I62" s="4"/>
      <c r="J62" s="4"/>
      <c r="K62" s="4"/>
      <c r="L62" s="4"/>
      <c r="M62" s="4"/>
      <c r="N62" s="9" t="str">
        <f>IFERROR(__xludf.DUMMYFUNCTION("""COMPUTED_VALUE"""),"OEPS E02 018")</f>
        <v>OEPS E02 018</v>
      </c>
      <c r="O62" s="4" t="str">
        <f>IFERROR(__xludf.DUMMYFUNCTION("""COMPUTED_VALUE"""),"MAX6816EUS+T")</f>
        <v>MAX6816EUS+T</v>
      </c>
      <c r="P62" s="4" t="str">
        <f>IFERROR(__xludf.DUMMYFUNCTION("""COMPUTED_VALUE"""),"6(Tp) ")</f>
        <v>6(Tp) </v>
      </c>
      <c r="Q62" s="4">
        <f>IFERROR(__xludf.DUMMYFUNCTION("""COMPUTED_VALUE"""),6.0)</f>
        <v>6</v>
      </c>
      <c r="R62" s="4">
        <f>IFERROR(__xludf.DUMMYFUNCTION("""COMPUTED_VALUE"""),6.0)</f>
        <v>6</v>
      </c>
      <c r="S62" s="4" t="str">
        <f>IFERROR(__xludf.DUMMYFUNCTION("""COMPUTED_VALUE"""),"Tape")</f>
        <v>Tape</v>
      </c>
      <c r="T62" s="4" t="str">
        <f>IFERROR(__xludf.DUMMYFUNCTION("""COMPUTED_VALUE"""),"XXXX")</f>
        <v>XXXX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>
      <c r="A63" s="4" t="str">
        <f>IFERROR(__xludf.DUMMYFUNCTION("""COMPUTED_VALUE"""),"CAPACITOR:   SMD CER 0402 27nF 16V ±10% X7R   [C0402C273K4RACTU] [SMD]")</f>
        <v>CAPACITOR:   SMD CER 0402 27nF 16V ±10% X7R   [C0402C273K4RACTU] [SMD]</v>
      </c>
      <c r="B63" s="4" t="str">
        <f>IFERROR(__xludf.DUMMYFUNCTION("""COMPUTED_VALUE"""),"OEPS010068")</f>
        <v>OEPS010068</v>
      </c>
      <c r="C63" s="4" t="str">
        <f>IFERROR(__xludf.DUMMYFUNCTION("""COMPUTED_VALUE"""),"SMD")</f>
        <v>SMD</v>
      </c>
      <c r="D63" s="4" t="str">
        <f>IFERROR(__xludf.DUMMYFUNCTION("""COMPUTED_VALUE"""),"C0402C273K4RACTU")</f>
        <v>C0402C273K4RACTU</v>
      </c>
      <c r="E63" s="4">
        <f>IFERROR(__xludf.DUMMYFUNCTION("""COMPUTED_VALUE"""),30.0)</f>
        <v>30</v>
      </c>
      <c r="F63" s="4" t="str">
        <f>IFERROR(__xludf.DUMMYFUNCTION("""COMPUTED_VALUE"""),"DigiKey")</f>
        <v>DigiKey</v>
      </c>
      <c r="G63" s="4" t="str">
        <f>IFERROR(__xludf.DUMMYFUNCTION("""COMPUTED_VALUE"""),"399-C0402C273K4RACTUDKR-ND")</f>
        <v>399-C0402C273K4RACTUDKR-ND</v>
      </c>
      <c r="H63" s="4"/>
      <c r="I63" s="4"/>
      <c r="J63" s="4"/>
      <c r="K63" s="4"/>
      <c r="L63" s="4"/>
      <c r="M63" s="4"/>
      <c r="N63" s="9" t="str">
        <f>IFERROR(__xludf.DUMMYFUNCTION("""COMPUTED_VALUE"""),"OEPS E02 019")</f>
        <v>OEPS E02 019</v>
      </c>
      <c r="O63" s="4" t="str">
        <f>IFERROR(__xludf.DUMMYFUNCTION("""COMPUTED_VALUE"""),"MIC4680-5.0YM-TR")</f>
        <v>MIC4680-5.0YM-TR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>
      <c r="A64" s="4" t="str">
        <f>IFERROR(__xludf.DUMMYFUNCTION("""COMPUTED_VALUE"""),"CAPACITOR:   SMD CER 0402 330nF 10V ±10% X5R   [GRM155R61A334KE15D] [SMD]")</f>
        <v>CAPACITOR:   SMD CER 0402 330nF 10V ±10% X5R   [GRM155R61A334KE15D] [SMD]</v>
      </c>
      <c r="B64" s="4" t="str">
        <f>IFERROR(__xludf.DUMMYFUNCTION("""COMPUTED_VALUE"""),"OEPS010021")</f>
        <v>OEPS010021</v>
      </c>
      <c r="C64" s="4" t="str">
        <f>IFERROR(__xludf.DUMMYFUNCTION("""COMPUTED_VALUE"""),"SMD")</f>
        <v>SMD</v>
      </c>
      <c r="D64" s="4" t="str">
        <f>IFERROR(__xludf.DUMMYFUNCTION("""COMPUTED_VALUE"""),"GRM155R61A334KE15D")</f>
        <v>GRM155R61A334KE15D</v>
      </c>
      <c r="E64" s="4">
        <f>IFERROR(__xludf.DUMMYFUNCTION("""COMPUTED_VALUE"""),30.0)</f>
        <v>30</v>
      </c>
      <c r="F64" s="4" t="str">
        <f>IFERROR(__xludf.DUMMYFUNCTION("""COMPUTED_VALUE"""),"DigiKey")</f>
        <v>DigiKey</v>
      </c>
      <c r="G64" s="4" t="str">
        <f>IFERROR(__xludf.DUMMYFUNCTION("""COMPUTED_VALUE"""),"490-3263-6-ND")</f>
        <v>490-3263-6-ND</v>
      </c>
      <c r="H64" s="4"/>
      <c r="I64" s="4"/>
      <c r="J64" s="4"/>
      <c r="K64" s="4"/>
      <c r="L64" s="4"/>
      <c r="M64" s="4"/>
      <c r="N64" s="9" t="str">
        <f>IFERROR(__xludf.DUMMYFUNCTION("""COMPUTED_VALUE"""),"OEPS E02 020")</f>
        <v>OEPS E02 020</v>
      </c>
      <c r="O64" s="4" t="str">
        <f>IFERROR(__xludf.DUMMYFUNCTION("""COMPUTED_VALUE"""),"COM-15141")</f>
        <v>COM-15141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>
      <c r="A65" s="4" t="str">
        <f>IFERROR(__xludf.DUMMYFUNCTION("""COMPUTED_VALUE"""),"CAPACITOR:   SMD CER 0402 330pF 50V ±5% C0G   [C0402C331J5GAC7867] [SMD]")</f>
        <v>CAPACITOR:   SMD CER 0402 330pF 50V ±5% C0G   [C0402C331J5GAC7867] [SMD]</v>
      </c>
      <c r="B65" s="4" t="str">
        <f>IFERROR(__xludf.DUMMYFUNCTION("""COMPUTED_VALUE"""),"OEPS010020")</f>
        <v>OEPS010020</v>
      </c>
      <c r="C65" s="4" t="str">
        <f>IFERROR(__xludf.DUMMYFUNCTION("""COMPUTED_VALUE"""),"SMD")</f>
        <v>SMD</v>
      </c>
      <c r="D65" s="4" t="str">
        <f>IFERROR(__xludf.DUMMYFUNCTION("""COMPUTED_VALUE"""),"C0402C331J5GAC7867")</f>
        <v>C0402C331J5GAC7867</v>
      </c>
      <c r="E65" s="4">
        <f>IFERROR(__xludf.DUMMYFUNCTION("""COMPUTED_VALUE"""),30.0)</f>
        <v>30</v>
      </c>
      <c r="F65" s="4" t="str">
        <f>IFERROR(__xludf.DUMMYFUNCTION("""COMPUTED_VALUE"""),"DigiKey")</f>
        <v>DigiKey</v>
      </c>
      <c r="G65" s="4" t="str">
        <f>IFERROR(__xludf.DUMMYFUNCTION("""COMPUTED_VALUE"""),"399-C0402C331J5GAC7867DKR-ND")</f>
        <v>399-C0402C331J5GAC7867DKR-ND</v>
      </c>
      <c r="H65" s="4"/>
      <c r="I65" s="4"/>
      <c r="J65" s="4"/>
      <c r="K65" s="4"/>
      <c r="L65" s="4"/>
      <c r="M65" s="4"/>
      <c r="N65" s="9" t="str">
        <f>IFERROR(__xludf.DUMMYFUNCTION("""COMPUTED_VALUE"""),"OEPS E02 022")</f>
        <v>OEPS E02 022</v>
      </c>
      <c r="O65" s="4" t="str">
        <f>IFERROR(__xludf.DUMMYFUNCTION("""COMPUTED_VALUE"""),"PPTC041LFBN-RC")</f>
        <v>PPTC041LFBN-RC</v>
      </c>
      <c r="P65" s="4" t="str">
        <f>IFERROR(__xludf.DUMMYFUNCTION("""COMPUTED_VALUE"""),"92 ")</f>
        <v>92 </v>
      </c>
      <c r="Q65" s="4">
        <f>IFERROR(__xludf.DUMMYFUNCTION("""COMPUTED_VALUE"""),92.0)</f>
        <v>92</v>
      </c>
      <c r="R65" s="4">
        <f>IFERROR(__xludf.DUMMYFUNCTION("""COMPUTED_VALUE"""),92.0)</f>
        <v>92</v>
      </c>
      <c r="S65" s="4" t="str">
        <f>IFERROR(__xludf.DUMMYFUNCTION("""COMPUTED_VALUE"""),"Bag")</f>
        <v>Bag</v>
      </c>
      <c r="T65" s="4" t="str">
        <f>IFERROR(__xludf.DUMMYFUNCTION("""COMPUTED_VALUE"""),"0422")</f>
        <v>0422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>
      <c r="A66" s="4" t="str">
        <f>IFERROR(__xludf.DUMMYFUNCTION("""COMPUTED_VALUE"""),"CAPACITOR:   SMD CER 0402 4.7nF 100V ±10% X7R   [885012205084] [SMD]")</f>
        <v>CAPACITOR:   SMD CER 0402 4.7nF 100V ±10% X7R   [885012205084] [SMD]</v>
      </c>
      <c r="B66" s="4" t="str">
        <f>IFERROR(__xludf.DUMMYFUNCTION("""COMPUTED_VALUE"""),"OEPS010017")</f>
        <v>OEPS010017</v>
      </c>
      <c r="C66" s="4" t="str">
        <f>IFERROR(__xludf.DUMMYFUNCTION("""COMPUTED_VALUE"""),"SMD")</f>
        <v>SMD</v>
      </c>
      <c r="D66" s="4" t="str">
        <f>IFERROR(__xludf.DUMMYFUNCTION("""COMPUTED_VALUE"""),"885012205084")</f>
        <v>885012205084</v>
      </c>
      <c r="E66" s="4">
        <f>IFERROR(__xludf.DUMMYFUNCTION("""COMPUTED_VALUE"""),30.0)</f>
        <v>30</v>
      </c>
      <c r="F66" s="4" t="str">
        <f>IFERROR(__xludf.DUMMYFUNCTION("""COMPUTED_VALUE"""),"DigiKey")</f>
        <v>DigiKey</v>
      </c>
      <c r="G66" s="4" t="str">
        <f>IFERROR(__xludf.DUMMYFUNCTION("""COMPUTED_VALUE"""),"732-12234-6-ND")</f>
        <v>732-12234-6-ND</v>
      </c>
      <c r="H66" s="4"/>
      <c r="I66" s="4"/>
      <c r="J66" s="4"/>
      <c r="K66" s="4"/>
      <c r="L66" s="4"/>
      <c r="M66" s="4"/>
      <c r="N66" s="9" t="str">
        <f>IFERROR(__xludf.DUMMYFUNCTION("""COMPUTED_VALUE"""),"OEPS E02 023")</f>
        <v>OEPS E02 023</v>
      </c>
      <c r="O66" s="4" t="str">
        <f>IFERROR(__xludf.DUMMYFUNCTION("""COMPUTED_VALUE"""),"SAM12225-ND")</f>
        <v>SAM12225-ND</v>
      </c>
      <c r="P66" s="4" t="str">
        <f>IFERROR(__xludf.DUMMYFUNCTION("""COMPUTED_VALUE"""),"12 ")</f>
        <v>12 </v>
      </c>
      <c r="Q66" s="4">
        <f>IFERROR(__xludf.DUMMYFUNCTION("""COMPUTED_VALUE"""),12.0)</f>
        <v>12</v>
      </c>
      <c r="R66" s="4">
        <f>IFERROR(__xludf.DUMMYFUNCTION("""COMPUTED_VALUE"""),12.0)</f>
        <v>12</v>
      </c>
      <c r="S66" s="4" t="str">
        <f>IFERROR(__xludf.DUMMYFUNCTION("""COMPUTED_VALUE"""),"Bag")</f>
        <v>Bag</v>
      </c>
      <c r="T66" s="4" t="str">
        <f>IFERROR(__xludf.DUMMYFUNCTION("""COMPUTED_VALUE"""),"0421")</f>
        <v>0421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>
      <c r="A67" s="4" t="str">
        <f>IFERROR(__xludf.DUMMYFUNCTION("""COMPUTED_VALUE"""),"CAPACITOR:   SMD CER 0402 4.7nF 25V ±10% X7R   [CC0402KRX7R8BB472] [SMD]")</f>
        <v>CAPACITOR:   SMD CER 0402 4.7nF 25V ±10% X7R   [CC0402KRX7R8BB472] [SMD]</v>
      </c>
      <c r="B67" s="4" t="str">
        <f>IFERROR(__xludf.DUMMYFUNCTION("""COMPUTED_VALUE"""),"OEPS010001")</f>
        <v>OEPS010001</v>
      </c>
      <c r="C67" s="4" t="str">
        <f>IFERROR(__xludf.DUMMYFUNCTION("""COMPUTED_VALUE"""),"SMD")</f>
        <v>SMD</v>
      </c>
      <c r="D67" s="4" t="str">
        <f>IFERROR(__xludf.DUMMYFUNCTION("""COMPUTED_VALUE"""),"CC0402KRX7R8BB472")</f>
        <v>CC0402KRX7R8BB472</v>
      </c>
      <c r="E67" s="4">
        <f>IFERROR(__xludf.DUMMYFUNCTION("""COMPUTED_VALUE"""),30.0)</f>
        <v>30</v>
      </c>
      <c r="F67" s="4" t="str">
        <f>IFERROR(__xludf.DUMMYFUNCTION("""COMPUTED_VALUE"""),"DigiKey")</f>
        <v>DigiKey</v>
      </c>
      <c r="G67" s="4" t="str">
        <f>IFERROR(__xludf.DUMMYFUNCTION("""COMPUTED_VALUE"""),"311-1039-6-ND")</f>
        <v>311-1039-6-ND</v>
      </c>
      <c r="H67" s="4"/>
      <c r="I67" s="4"/>
      <c r="J67" s="4"/>
      <c r="K67" s="4"/>
      <c r="L67" s="4"/>
      <c r="M67" s="4"/>
      <c r="N67" s="9" t="str">
        <f>IFERROR(__xludf.DUMMYFUNCTION("""COMPUTED_VALUE"""),"OEPS E02 025")</f>
        <v>OEPS E02 025</v>
      </c>
      <c r="O67" s="4" t="str">
        <f>IFERROR(__xludf.DUMMYFUNCTION("""COMPUTED_VALUE"""),"COM-10597")</f>
        <v>COM-10597</v>
      </c>
      <c r="P67" s="4" t="str">
        <f>IFERROR(__xludf.DUMMYFUNCTION("""COMPUTED_VALUE"""),"15 ")</f>
        <v>15 </v>
      </c>
      <c r="Q67" s="4">
        <f>IFERROR(__xludf.DUMMYFUNCTION("""COMPUTED_VALUE"""),15.0)</f>
        <v>15</v>
      </c>
      <c r="R67" s="4">
        <f>IFERROR(__xludf.DUMMYFUNCTION("""COMPUTED_VALUE"""),15.0)</f>
        <v>15</v>
      </c>
      <c r="S67" s="4" t="str">
        <f>IFERROR(__xludf.DUMMYFUNCTION("""COMPUTED_VALUE"""),"Bag")</f>
        <v>Bag</v>
      </c>
      <c r="T67" s="4" t="str">
        <f>IFERROR(__xludf.DUMMYFUNCTION("""COMPUTED_VALUE"""),"1224")</f>
        <v>1224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>
      <c r="A68" s="4" t="str">
        <f>IFERROR(__xludf.DUMMYFUNCTION("""COMPUTED_VALUE"""),"CAPACITOR:   SMD CER 0402 4.7uF 10V ±20% X5R (OEPS H02 004)   [GRM155R61A475MEAAD] [SMD]")</f>
        <v>CAPACITOR:   SMD CER 0402 4.7uF 10V ±20% X5R (OEPS H02 004)   [GRM155R61A475MEAAD] [SMD]</v>
      </c>
      <c r="B68" s="4" t="str">
        <f>IFERROR(__xludf.DUMMYFUNCTION("""COMPUTED_VALUE"""),"OEPS010052")</f>
        <v>OEPS010052</v>
      </c>
      <c r="C68" s="4" t="str">
        <f>IFERROR(__xludf.DUMMYFUNCTION("""COMPUTED_VALUE"""),"SMD")</f>
        <v>SMD</v>
      </c>
      <c r="D68" s="4" t="str">
        <f>IFERROR(__xludf.DUMMYFUNCTION("""COMPUTED_VALUE"""),"GRM155R61A475MEAAD")</f>
        <v>GRM155R61A475MEAAD</v>
      </c>
      <c r="E68" s="4">
        <f>IFERROR(__xludf.DUMMYFUNCTION("""COMPUTED_VALUE"""),30.0)</f>
        <v>30</v>
      </c>
      <c r="F68" s="4" t="str">
        <f>IFERROR(__xludf.DUMMYFUNCTION("""COMPUTED_VALUE"""),"DigiKey")</f>
        <v>DigiKey</v>
      </c>
      <c r="G68" s="4" t="str">
        <f>IFERROR(__xludf.DUMMYFUNCTION("""COMPUTED_VALUE"""),"490-14306-6-ND")</f>
        <v>490-14306-6-ND</v>
      </c>
      <c r="H68" s="4"/>
      <c r="I68" s="4"/>
      <c r="J68" s="4"/>
      <c r="K68" s="4"/>
      <c r="L68" s="4"/>
      <c r="M68" s="4"/>
      <c r="N68" s="9" t="str">
        <f>IFERROR(__xludf.DUMMYFUNCTION("""COMPUTED_VALUE"""),"OEPS E02 026")</f>
        <v>OEPS E02 026</v>
      </c>
      <c r="O68" s="4" t="str">
        <f>IFERROR(__xludf.DUMMYFUNCTION("""COMPUTED_VALUE"""),"TMCSILENTSTEPSTICK")</f>
        <v>TMCSILENTSTEPSTICK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>
      <c r="A69" s="4" t="str">
        <f>IFERROR(__xludf.DUMMYFUNCTION("""COMPUTED_VALUE"""),"CAPACITOR:   SMD CER 0402 4.7uF 16V ±20% X5R   [KGM05CR51C475MH] [SMD]")</f>
        <v>CAPACITOR:   SMD CER 0402 4.7uF 16V ±20% X5R   [KGM05CR51C475MH] [SMD]</v>
      </c>
      <c r="B69" s="4" t="str">
        <f>IFERROR(__xludf.DUMMYFUNCTION("""COMPUTED_VALUE"""),"OEPS010097")</f>
        <v>OEPS010097</v>
      </c>
      <c r="C69" s="4" t="str">
        <f>IFERROR(__xludf.DUMMYFUNCTION("""COMPUTED_VALUE"""),"SMD")</f>
        <v>SMD</v>
      </c>
      <c r="D69" s="4" t="str">
        <f>IFERROR(__xludf.DUMMYFUNCTION("""COMPUTED_VALUE"""),"KGM05CR51C475MH")</f>
        <v>KGM05CR51C475MH</v>
      </c>
      <c r="E69" s="4">
        <f>IFERROR(__xludf.DUMMYFUNCTION("""COMPUTED_VALUE"""),30.0)</f>
        <v>30</v>
      </c>
      <c r="F69" s="4" t="str">
        <f>IFERROR(__xludf.DUMMYFUNCTION("""COMPUTED_VALUE"""),"Digikey")</f>
        <v>Digikey</v>
      </c>
      <c r="G69" s="4" t="str">
        <f>IFERROR(__xludf.DUMMYFUNCTION("""COMPUTED_VALUE"""),"478-KGM05CR51C475MHDKR-ND")</f>
        <v>478-KGM05CR51C475MHDKR-ND</v>
      </c>
      <c r="H69" s="4"/>
      <c r="I69" s="4"/>
      <c r="J69" s="4"/>
      <c r="K69" s="4"/>
      <c r="L69" s="4"/>
      <c r="M69" s="4"/>
      <c r="N69" s="9" t="str">
        <f>IFERROR(__xludf.DUMMYFUNCTION("""COMPUTED_VALUE"""),"OEPS E02 027")</f>
        <v>OEPS E02 027</v>
      </c>
      <c r="O69" s="4" t="str">
        <f>IFERROR(__xludf.DUMMYFUNCTION("""COMPUTED_VALUE"""),"61300811121")</f>
        <v>61300811121</v>
      </c>
      <c r="P69" s="4" t="str">
        <f>IFERROR(__xludf.DUMMYFUNCTION("""COMPUTED_VALUE"""),"20 40 20 ")</f>
        <v>20 40 20 </v>
      </c>
      <c r="Q69" s="4">
        <f>IFERROR(__xludf.DUMMYFUNCTION("""COMPUTED_VALUE"""),80.0)</f>
        <v>80</v>
      </c>
      <c r="R69" s="4">
        <f>IFERROR(__xludf.DUMMYFUNCTION("""COMPUTED_VALUE"""),20.0)</f>
        <v>20</v>
      </c>
      <c r="S69" s="4" t="str">
        <f>IFERROR(__xludf.DUMMYFUNCTION("""COMPUTED_VALUE"""),"Bag")</f>
        <v>Bag</v>
      </c>
      <c r="T69" s="4" t="str">
        <f>IFERROR(__xludf.DUMMYFUNCTION("""COMPUTED_VALUE"""),"0624")</f>
        <v>0624</v>
      </c>
      <c r="U69" s="4">
        <f>IFERROR(__xludf.DUMMYFUNCTION("""COMPUTED_VALUE"""),40.0)</f>
        <v>40</v>
      </c>
      <c r="V69" s="4" t="str">
        <f>IFERROR(__xludf.DUMMYFUNCTION("""COMPUTED_VALUE"""),"Bag")</f>
        <v>Bag</v>
      </c>
      <c r="W69" s="4" t="str">
        <f>IFERROR(__xludf.DUMMYFUNCTION("""COMPUTED_VALUE"""),"0320")</f>
        <v>0320</v>
      </c>
      <c r="X69" s="4">
        <f>IFERROR(__xludf.DUMMYFUNCTION("""COMPUTED_VALUE"""),20.0)</f>
        <v>20</v>
      </c>
      <c r="Y69" s="4" t="str">
        <f>IFERROR(__xludf.DUMMYFUNCTION("""COMPUTED_VALUE"""),"Bag")</f>
        <v>Bag</v>
      </c>
      <c r="Z69" s="4" t="str">
        <f>IFERROR(__xludf.DUMMYFUNCTION("""COMPUTED_VALUE"""),"1224")</f>
        <v>1224</v>
      </c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>
      <c r="A70" s="4" t="str">
        <f>IFERROR(__xludf.DUMMYFUNCTION("""COMPUTED_VALUE"""),"CAPACITOR:   SMD CER 0402 4.7uF 25V ±20% X5S   [GRM155C61E475ME15J] [SMD]")</f>
        <v>CAPACITOR:   SMD CER 0402 4.7uF 25V ±20% X5S   [GRM155C61E475ME15J] [SMD]</v>
      </c>
      <c r="B70" s="4" t="str">
        <f>IFERROR(__xludf.DUMMYFUNCTION("""COMPUTED_VALUE"""),"OEPS010061")</f>
        <v>OEPS010061</v>
      </c>
      <c r="C70" s="4" t="str">
        <f>IFERROR(__xludf.DUMMYFUNCTION("""COMPUTED_VALUE"""),"SMD")</f>
        <v>SMD</v>
      </c>
      <c r="D70" s="4" t="str">
        <f>IFERROR(__xludf.DUMMYFUNCTION("""COMPUTED_VALUE"""),"GRM155C61E475ME15J")</f>
        <v>GRM155C61E475ME15J</v>
      </c>
      <c r="E70" s="4">
        <f>IFERROR(__xludf.DUMMYFUNCTION("""COMPUTED_VALUE"""),30.0)</f>
        <v>30</v>
      </c>
      <c r="F70" s="4" t="str">
        <f>IFERROR(__xludf.DUMMYFUNCTION("""COMPUTED_VALUE"""),"DigiKey")</f>
        <v>DigiKey</v>
      </c>
      <c r="G70" s="4" t="str">
        <f>IFERROR(__xludf.DUMMYFUNCTION("""COMPUTED_VALUE"""),"490-GRM155C61E475ME15JDKR-ND")</f>
        <v>490-GRM155C61E475ME15JDKR-ND</v>
      </c>
      <c r="H70" s="4"/>
      <c r="I70" s="4"/>
      <c r="J70" s="4"/>
      <c r="K70" s="4"/>
      <c r="L70" s="4"/>
      <c r="M70" s="4"/>
      <c r="N70" s="9" t="str">
        <f>IFERROR(__xludf.DUMMYFUNCTION("""COMPUTED_VALUE"""),"OEPS E02 029")</f>
        <v>OEPS E02 029</v>
      </c>
      <c r="O70" s="4" t="str">
        <f>IFERROR(__xludf.DUMMYFUNCTION("""COMPUTED_VALUE"""),"61001421121")</f>
        <v>61001421121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>
      <c r="A71" s="4" t="str">
        <f>IFERROR(__xludf.DUMMYFUNCTION("""COMPUTED_VALUE"""),"CAPACITOR:   SMD CER 0402 4.7uF 6.3V ±20% X5R (OEPS J05 008)   [GRM155R60J475ME47D] [SMD]")</f>
        <v>CAPACITOR:   SMD CER 0402 4.7uF 6.3V ±20% X5R (OEPS J05 008)   [GRM155R60J475ME47D] [SMD]</v>
      </c>
      <c r="B71" s="4" t="str">
        <f>IFERROR(__xludf.DUMMYFUNCTION("""COMPUTED_VALUE"""),"OEPS010046")</f>
        <v>OEPS010046</v>
      </c>
      <c r="C71" s="4" t="str">
        <f>IFERROR(__xludf.DUMMYFUNCTION("""COMPUTED_VALUE"""),"SMD")</f>
        <v>SMD</v>
      </c>
      <c r="D71" s="4" t="str">
        <f>IFERROR(__xludf.DUMMYFUNCTION("""COMPUTED_VALUE"""),"GRM155R60J475ME47D")</f>
        <v>GRM155R60J475ME47D</v>
      </c>
      <c r="E71" s="4">
        <f>IFERROR(__xludf.DUMMYFUNCTION("""COMPUTED_VALUE"""),30.0)</f>
        <v>30</v>
      </c>
      <c r="F71" s="4" t="str">
        <f>IFERROR(__xludf.DUMMYFUNCTION("""COMPUTED_VALUE"""),"DigiKey")</f>
        <v>DigiKey</v>
      </c>
      <c r="G71" s="4" t="str">
        <f>IFERROR(__xludf.DUMMYFUNCTION("""COMPUTED_VALUE"""),"490-5915-6-ND")</f>
        <v>490-5915-6-ND</v>
      </c>
      <c r="H71" s="4"/>
      <c r="I71" s="4"/>
      <c r="J71" s="4"/>
      <c r="K71" s="4"/>
      <c r="L71" s="4"/>
      <c r="M71" s="4"/>
      <c r="N71" s="9" t="str">
        <f>IFERROR(__xludf.DUMMYFUNCTION("""COMPUTED_VALUE"""),"OEPS E02 029A")</f>
        <v>OEPS E02 029A</v>
      </c>
      <c r="O71" s="4" t="str">
        <f>IFERROR(__xludf.DUMMYFUNCTION("""COMPUTED_VALUE"""),"95278-101A14LF")</f>
        <v>95278-101A14LF</v>
      </c>
      <c r="P71" s="4" t="str">
        <f>IFERROR(__xludf.DUMMYFUNCTION("""COMPUTED_VALUE"""),"6(Tp) ")</f>
        <v>6(Tp) </v>
      </c>
      <c r="Q71" s="4">
        <f>IFERROR(__xludf.DUMMYFUNCTION("""COMPUTED_VALUE"""),6.0)</f>
        <v>6</v>
      </c>
      <c r="R71" s="4">
        <f>IFERROR(__xludf.DUMMYFUNCTION("""COMPUTED_VALUE"""),6.0)</f>
        <v>6</v>
      </c>
      <c r="S71" s="4" t="str">
        <f>IFERROR(__xludf.DUMMYFUNCTION("""COMPUTED_VALUE"""),"Tape")</f>
        <v>Tape</v>
      </c>
      <c r="T71" s="4" t="str">
        <f>IFERROR(__xludf.DUMMYFUNCTION("""COMPUTED_VALUE"""),"0624")</f>
        <v>0624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>
      <c r="A72" s="4" t="str">
        <f>IFERROR(__xludf.DUMMYFUNCTION("""COMPUTED_VALUE"""),"CAPACITOR:   SMD CER 0402 470nF 35V ±10% X5R   [C1005X5R1V474K050BE] [SMD]")</f>
        <v>CAPACITOR:   SMD CER 0402 470nF 35V ±10% X5R   [C1005X5R1V474K050BE] [SMD]</v>
      </c>
      <c r="B72" s="4" t="str">
        <f>IFERROR(__xludf.DUMMYFUNCTION("""COMPUTED_VALUE"""),"OEPS010059")</f>
        <v>OEPS010059</v>
      </c>
      <c r="C72" s="4" t="str">
        <f>IFERROR(__xludf.DUMMYFUNCTION("""COMPUTED_VALUE"""),"SMD")</f>
        <v>SMD</v>
      </c>
      <c r="D72" s="4" t="str">
        <f>IFERROR(__xludf.DUMMYFUNCTION("""COMPUTED_VALUE"""),"C1005X5R1V474K050BE")</f>
        <v>C1005X5R1V474K050BE</v>
      </c>
      <c r="E72" s="4">
        <f>IFERROR(__xludf.DUMMYFUNCTION("""COMPUTED_VALUE"""),30.0)</f>
        <v>30</v>
      </c>
      <c r="F72" s="4" t="str">
        <f>IFERROR(__xludf.DUMMYFUNCTION("""COMPUTED_VALUE"""),"DigiKey")</f>
        <v>DigiKey</v>
      </c>
      <c r="G72" s="4" t="str">
        <f>IFERROR(__xludf.DUMMYFUNCTION("""COMPUTED_VALUE"""),"445-175220-6-ND")</f>
        <v>445-175220-6-ND</v>
      </c>
      <c r="H72" s="4"/>
      <c r="I72" s="4"/>
      <c r="J72" s="4"/>
      <c r="K72" s="4"/>
      <c r="L72" s="4"/>
      <c r="M72" s="4"/>
      <c r="N72" s="9" t="str">
        <f>IFERROR(__xludf.DUMMYFUNCTION("""COMPUTED_VALUE"""),"OEPS E02 030")</f>
        <v>OEPS E02 030</v>
      </c>
      <c r="O72" s="4" t="str">
        <f>IFERROR(__xludf.DUMMYFUNCTION("""COMPUTED_VALUE"""),"61301411121")</f>
        <v>61301411121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>
      <c r="A73" s="4" t="str">
        <f>IFERROR(__xludf.DUMMYFUNCTION("""COMPUTED_VALUE"""),"CAPACITOR:   SMD CER 0402 470pF 100V ±5% C0G   [C1005C0G2A471J050BA] [SMD]")</f>
        <v>CAPACITOR:   SMD CER 0402 470pF 100V ±5% C0G   [C1005C0G2A471J050BA] [SMD]</v>
      </c>
      <c r="B73" s="4" t="str">
        <f>IFERROR(__xludf.DUMMYFUNCTION("""COMPUTED_VALUE"""),"OEPS010053")</f>
        <v>OEPS010053</v>
      </c>
      <c r="C73" s="4" t="str">
        <f>IFERROR(__xludf.DUMMYFUNCTION("""COMPUTED_VALUE"""),"SMD")</f>
        <v>SMD</v>
      </c>
      <c r="D73" s="4" t="str">
        <f>IFERROR(__xludf.DUMMYFUNCTION("""COMPUTED_VALUE"""),"C1005C0G2A471J050BA")</f>
        <v>C1005C0G2A471J050BA</v>
      </c>
      <c r="E73" s="4">
        <f>IFERROR(__xludf.DUMMYFUNCTION("""COMPUTED_VALUE"""),30.0)</f>
        <v>30</v>
      </c>
      <c r="F73" s="4" t="str">
        <f>IFERROR(__xludf.DUMMYFUNCTION("""COMPUTED_VALUE"""),"DigiKey")</f>
        <v>DigiKey</v>
      </c>
      <c r="G73" s="4" t="str">
        <f>IFERROR(__xludf.DUMMYFUNCTION("""COMPUTED_VALUE"""),"445-15206-6-ND")</f>
        <v>445-15206-6-ND</v>
      </c>
      <c r="H73" s="4"/>
      <c r="I73" s="4"/>
      <c r="J73" s="4"/>
      <c r="K73" s="4"/>
      <c r="L73" s="4"/>
      <c r="M73" s="4"/>
      <c r="N73" s="9" t="str">
        <f>IFERROR(__xludf.DUMMYFUNCTION("""COMPUTED_VALUE"""),"OEPS E02 031")</f>
        <v>OEPS E02 031</v>
      </c>
      <c r="O73" s="4" t="str">
        <f>IFERROR(__xludf.DUMMYFUNCTION("""COMPUTED_VALUE"""),"LCD-00709")</f>
        <v>LCD-00709</v>
      </c>
      <c r="P73" s="4" t="str">
        <f>IFERROR(__xludf.DUMMYFUNCTION("""COMPUTED_VALUE"""),"9 ")</f>
        <v>9 </v>
      </c>
      <c r="Q73" s="4">
        <f>IFERROR(__xludf.DUMMYFUNCTION("""COMPUTED_VALUE"""),9.0)</f>
        <v>9</v>
      </c>
      <c r="R73" s="4">
        <f>IFERROR(__xludf.DUMMYFUNCTION("""COMPUTED_VALUE"""),9.0)</f>
        <v>9</v>
      </c>
      <c r="S73" s="4" t="str">
        <f>IFERROR(__xludf.DUMMYFUNCTION("""COMPUTED_VALUE"""),"Bag")</f>
        <v>Bag</v>
      </c>
      <c r="T73" s="4" t="str">
        <f>IFERROR(__xludf.DUMMYFUNCTION("""COMPUTED_VALUE"""),"0724")</f>
        <v>0724</v>
      </c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>
      <c r="A74" s="4" t="str">
        <f>IFERROR(__xludf.DUMMYFUNCTION("""COMPUTED_VALUE"""),"CAPACITOR:   SMD CER 0402 470pF 50V ±5% C0G   [C0402C471J5GAC7867] [SMD]")</f>
        <v>CAPACITOR:   SMD CER 0402 470pF 50V ±5% C0G   [C0402C471J5GAC7867] [SMD]</v>
      </c>
      <c r="B74" s="4" t="str">
        <f>IFERROR(__xludf.DUMMYFUNCTION("""COMPUTED_VALUE"""),"OEPS010033")</f>
        <v>OEPS010033</v>
      </c>
      <c r="C74" s="4" t="str">
        <f>IFERROR(__xludf.DUMMYFUNCTION("""COMPUTED_VALUE"""),"SMD")</f>
        <v>SMD</v>
      </c>
      <c r="D74" s="4" t="str">
        <f>IFERROR(__xludf.DUMMYFUNCTION("""COMPUTED_VALUE"""),"C0402C471J5GAC7867")</f>
        <v>C0402C471J5GAC7867</v>
      </c>
      <c r="E74" s="4">
        <f>IFERROR(__xludf.DUMMYFUNCTION("""COMPUTED_VALUE"""),30.0)</f>
        <v>30</v>
      </c>
      <c r="F74" s="4" t="str">
        <f>IFERROR(__xludf.DUMMYFUNCTION("""COMPUTED_VALUE"""),"DigiKey")</f>
        <v>DigiKey</v>
      </c>
      <c r="G74" s="4" t="str">
        <f>IFERROR(__xludf.DUMMYFUNCTION("""COMPUTED_VALUE"""),"399-C0402C471J5GAC7867DKR-ND")</f>
        <v>399-C0402C471J5GAC7867DKR-ND</v>
      </c>
      <c r="H74" s="4"/>
      <c r="I74" s="4"/>
      <c r="J74" s="4"/>
      <c r="K74" s="4"/>
      <c r="L74" s="4"/>
      <c r="M74" s="4"/>
      <c r="N74" s="9" t="str">
        <f>IFERROR(__xludf.DUMMYFUNCTION("""COMPUTED_VALUE"""),"OEPS E02 032")</f>
        <v>OEPS E02 032</v>
      </c>
      <c r="O74" s="4" t="str">
        <f>IFERROR(__xludf.DUMMYFUNCTION("""COMPUTED_VALUE"""),"61301611121")</f>
        <v>61301611121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>
      <c r="A75" s="4" t="str">
        <f>IFERROR(__xludf.DUMMYFUNCTION("""COMPUTED_VALUE"""),"CAPACITOR:   SMD CER 0402 47nF 25V ±10% X7R   [GRM155R71E473KA88D] [SMD]")</f>
        <v>CAPACITOR:   SMD CER 0402 47nF 25V ±10% X7R   [GRM155R71E473KA88D] [SMD]</v>
      </c>
      <c r="B75" s="4" t="str">
        <f>IFERROR(__xludf.DUMMYFUNCTION("""COMPUTED_VALUE"""),"OEPS010003")</f>
        <v>OEPS010003</v>
      </c>
      <c r="C75" s="4" t="str">
        <f>IFERROR(__xludf.DUMMYFUNCTION("""COMPUTED_VALUE"""),"SMD")</f>
        <v>SMD</v>
      </c>
      <c r="D75" s="4" t="str">
        <f>IFERROR(__xludf.DUMMYFUNCTION("""COMPUTED_VALUE"""),"GRM155R71E473KA88D")</f>
        <v>GRM155R71E473KA88D</v>
      </c>
      <c r="E75" s="4">
        <f>IFERROR(__xludf.DUMMYFUNCTION("""COMPUTED_VALUE"""),30.0)</f>
        <v>30</v>
      </c>
      <c r="F75" s="4" t="str">
        <f>IFERROR(__xludf.DUMMYFUNCTION("""COMPUTED_VALUE"""),"DigiKey")</f>
        <v>DigiKey</v>
      </c>
      <c r="G75" s="4" t="str">
        <f>IFERROR(__xludf.DUMMYFUNCTION("""COMPUTED_VALUE"""),"490-3254-6-ND")</f>
        <v>490-3254-6-ND</v>
      </c>
      <c r="H75" s="4"/>
      <c r="I75" s="4"/>
      <c r="J75" s="4"/>
      <c r="K75" s="4"/>
      <c r="L75" s="4"/>
      <c r="M75" s="4"/>
      <c r="N75" s="9" t="str">
        <f>IFERROR(__xludf.DUMMYFUNCTION("""COMPUTED_VALUE"""),"OEPS E02 037")</f>
        <v>OEPS E02 037</v>
      </c>
      <c r="O75" s="4" t="str">
        <f>IFERROR(__xludf.DUMMYFUNCTION("""COMPUTED_VALUE"""),"3.06PRST30TC1D")</f>
        <v>3.06PRST30TC1D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>
      <c r="A76" s="4" t="str">
        <f>IFERROR(__xludf.DUMMYFUNCTION("""COMPUTED_VALUE"""),"CAPACITOR:   SMD CER 0402 47nF 50V ±10% X7R   [GRM155R71H473KE14D] [SMD]")</f>
        <v>CAPACITOR:   SMD CER 0402 47nF 50V ±10% X7R   [GRM155R71H473KE14D] [SMD]</v>
      </c>
      <c r="B76" s="4" t="str">
        <f>IFERROR(__xludf.DUMMYFUNCTION("""COMPUTED_VALUE"""),"OEPS010063")</f>
        <v>OEPS010063</v>
      </c>
      <c r="C76" s="4" t="str">
        <f>IFERROR(__xludf.DUMMYFUNCTION("""COMPUTED_VALUE"""),"SMD")</f>
        <v>SMD</v>
      </c>
      <c r="D76" s="4" t="str">
        <f>IFERROR(__xludf.DUMMYFUNCTION("""COMPUTED_VALUE"""),"GRM155R71H473KE14D")</f>
        <v>GRM155R71H473KE14D</v>
      </c>
      <c r="E76" s="4">
        <f>IFERROR(__xludf.DUMMYFUNCTION("""COMPUTED_VALUE"""),30.0)</f>
        <v>30</v>
      </c>
      <c r="F76" s="4" t="str">
        <f>IFERROR(__xludf.DUMMYFUNCTION("""COMPUTED_VALUE"""),"DigiKey")</f>
        <v>DigiKey</v>
      </c>
      <c r="G76" s="4" t="str">
        <f>IFERROR(__xludf.DUMMYFUNCTION("""COMPUTED_VALUE"""),"490-10702-6-ND")</f>
        <v>490-10702-6-ND</v>
      </c>
      <c r="H76" s="4"/>
      <c r="I76" s="4"/>
      <c r="J76" s="4"/>
      <c r="K76" s="4"/>
      <c r="L76" s="4"/>
      <c r="M76" s="4"/>
      <c r="N76" s="9" t="str">
        <f>IFERROR(__xludf.DUMMYFUNCTION("""COMPUTED_VALUE"""),"OEPS F01 001")</f>
        <v>OEPS F01 001</v>
      </c>
      <c r="O76" s="4" t="str">
        <f>IFERROR(__xludf.DUMMYFUNCTION("""COMPUTED_VALUE"""),"JS102011SAQN")</f>
        <v>JS102011SAQN</v>
      </c>
      <c r="P76" s="4" t="str">
        <f>IFERROR(__xludf.DUMMYFUNCTION("""COMPUTED_VALUE"""),"2(Tp) ")</f>
        <v>2(Tp) </v>
      </c>
      <c r="Q76" s="4">
        <f>IFERROR(__xludf.DUMMYFUNCTION("""COMPUTED_VALUE"""),2.0)</f>
        <v>2</v>
      </c>
      <c r="R76" s="4">
        <f>IFERROR(__xludf.DUMMYFUNCTION("""COMPUTED_VALUE"""),2.0)</f>
        <v>2</v>
      </c>
      <c r="S76" s="4" t="str">
        <f>IFERROR(__xludf.DUMMYFUNCTION("""COMPUTED_VALUE"""),"Tape")</f>
        <v>Tape</v>
      </c>
      <c r="T76" s="4" t="str">
        <f>IFERROR(__xludf.DUMMYFUNCTION("""COMPUTED_VALUE"""),"N/A")</f>
        <v>N/A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>
      <c r="A77" s="4" t="str">
        <f>IFERROR(__xludf.DUMMYFUNCTION("""COMPUTED_VALUE"""),"CAPACITOR:   SMD CER 0402 47pF 50V ±5% C0G   [04025A470JAT2A] [SMD]")</f>
        <v>CAPACITOR:   SMD CER 0402 47pF 50V ±5% C0G   [04025A470JAT2A] [SMD]</v>
      </c>
      <c r="B77" s="4" t="str">
        <f>IFERROR(__xludf.DUMMYFUNCTION("""COMPUTED_VALUE"""),"OEPS010011")</f>
        <v>OEPS010011</v>
      </c>
      <c r="C77" s="4" t="str">
        <f>IFERROR(__xludf.DUMMYFUNCTION("""COMPUTED_VALUE"""),"SMD")</f>
        <v>SMD</v>
      </c>
      <c r="D77" s="4" t="str">
        <f>IFERROR(__xludf.DUMMYFUNCTION("""COMPUTED_VALUE"""),"04025A470JAT2A")</f>
        <v>04025A470JAT2A</v>
      </c>
      <c r="E77" s="4">
        <f>IFERROR(__xludf.DUMMYFUNCTION("""COMPUTED_VALUE"""),30.0)</f>
        <v>30</v>
      </c>
      <c r="F77" s="4" t="str">
        <f>IFERROR(__xludf.DUMMYFUNCTION("""COMPUTED_VALUE"""),"DigiKey")</f>
        <v>DigiKey</v>
      </c>
      <c r="G77" s="4" t="str">
        <f>IFERROR(__xludf.DUMMYFUNCTION("""COMPUTED_VALUE"""),"478-1078-6-ND")</f>
        <v>478-1078-6-ND</v>
      </c>
      <c r="H77" s="4"/>
      <c r="I77" s="4"/>
      <c r="J77" s="4"/>
      <c r="K77" s="4"/>
      <c r="L77" s="4"/>
      <c r="M77" s="4"/>
      <c r="N77" s="9" t="str">
        <f>IFERROR(__xludf.DUMMYFUNCTION("""COMPUTED_VALUE"""),"OEPS F01 002")</f>
        <v>OEPS F01 002</v>
      </c>
      <c r="O77" s="4" t="str">
        <f>IFERROR(__xludf.DUMMYFUNCTION("""COMPUTED_VALUE"""),"CGA4J3X7R1E105K")</f>
        <v>CGA4J3X7R1E105K</v>
      </c>
      <c r="P77" s="4" t="str">
        <f>IFERROR(__xludf.DUMMYFUNCTION("""COMPUTED_VALUE"""),"38(R) ")</f>
        <v>38(R) </v>
      </c>
      <c r="Q77" s="4">
        <f>IFERROR(__xludf.DUMMYFUNCTION("""COMPUTED_VALUE"""),38.0)</f>
        <v>38</v>
      </c>
      <c r="R77" s="4">
        <f>IFERROR(__xludf.DUMMYFUNCTION("""COMPUTED_VALUE"""),38.0)</f>
        <v>38</v>
      </c>
      <c r="S77" s="4" t="str">
        <f>IFERROR(__xludf.DUMMYFUNCTION("""COMPUTED_VALUE"""),"Reel")</f>
        <v>Reel</v>
      </c>
      <c r="T77" s="4" t="str">
        <f>IFERROR(__xludf.DUMMYFUNCTION("""COMPUTED_VALUE"""),"0421")</f>
        <v>0421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>
      <c r="A78" s="4" t="str">
        <f>IFERROR(__xludf.DUMMYFUNCTION("""COMPUTED_VALUE"""),"CAPACITOR:   SMD CER 0603 100nF 100V ±10% X7R   [CL10B104KC8NNNC] [SMD]")</f>
        <v>CAPACITOR:   SMD CER 0603 100nF 100V ±10% X7R   [CL10B104KC8NNNC] [SMD]</v>
      </c>
      <c r="B78" s="4" t="str">
        <f>IFERROR(__xludf.DUMMYFUNCTION("""COMPUTED_VALUE"""),"OEPS010095")</f>
        <v>OEPS010095</v>
      </c>
      <c r="C78" s="4" t="str">
        <f>IFERROR(__xludf.DUMMYFUNCTION("""COMPUTED_VALUE"""),"SMD")</f>
        <v>SMD</v>
      </c>
      <c r="D78" s="4" t="str">
        <f>IFERROR(__xludf.DUMMYFUNCTION("""COMPUTED_VALUE"""),"CL10B104KC8NNNC")</f>
        <v>CL10B104KC8NNNC</v>
      </c>
      <c r="E78" s="4">
        <f>IFERROR(__xludf.DUMMYFUNCTION("""COMPUTED_VALUE"""),20.0)</f>
        <v>20</v>
      </c>
      <c r="F78" s="4" t="str">
        <f>IFERROR(__xludf.DUMMYFUNCTION("""COMPUTED_VALUE"""),"DigiKey")</f>
        <v>DigiKey</v>
      </c>
      <c r="G78" s="4" t="str">
        <f>IFERROR(__xludf.DUMMYFUNCTION("""COMPUTED_VALUE"""),"1276-6807-6-ND")</f>
        <v>1276-6807-6-ND</v>
      </c>
      <c r="H78" s="4"/>
      <c r="I78" s="4"/>
      <c r="J78" s="4"/>
      <c r="K78" s="4"/>
      <c r="L78" s="4"/>
      <c r="M78" s="4"/>
      <c r="N78" s="9" t="str">
        <f>IFERROR(__xludf.DUMMYFUNCTION("""COMPUTED_VALUE"""),"OEPS F01 015")</f>
        <v>OEPS F01 015</v>
      </c>
      <c r="O78" s="4" t="str">
        <f>IFERROR(__xludf.DUMMYFUNCTION("""COMPUTED_VALUE"""),"UCD1E101MCL6GS")</f>
        <v>UCD1E101MCL6GS</v>
      </c>
      <c r="P78" s="4" t="str">
        <f>IFERROR(__xludf.DUMMYFUNCTION("""COMPUTED_VALUE"""),"3 ")</f>
        <v>3 </v>
      </c>
      <c r="Q78" s="4">
        <f>IFERROR(__xludf.DUMMYFUNCTION("""COMPUTED_VALUE"""),3.0)</f>
        <v>3</v>
      </c>
      <c r="R78" s="4">
        <f>IFERROR(__xludf.DUMMYFUNCTION("""COMPUTED_VALUE"""),3.0)</f>
        <v>3</v>
      </c>
      <c r="S78" s="4" t="str">
        <f>IFERROR(__xludf.DUMMYFUNCTION("""COMPUTED_VALUE"""),"Bag")</f>
        <v>Bag</v>
      </c>
      <c r="T78" s="4" t="str">
        <f>IFERROR(__xludf.DUMMYFUNCTION("""COMPUTED_VALUE"""),"N/A")</f>
        <v>N/A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>
      <c r="A79" s="4" t="str">
        <f>IFERROR(__xludf.DUMMYFUNCTION("""COMPUTED_VALUE"""),"CAPACITOR:   SMD CER 0603 100nF 100V ±10% X7R   [GRM188R72A104KA35D] [SMD]")</f>
        <v>CAPACITOR:   SMD CER 0603 100nF 100V ±10% X7R   [GRM188R72A104KA35D] [SMD]</v>
      </c>
      <c r="B79" s="4" t="str">
        <f>IFERROR(__xludf.DUMMYFUNCTION("""COMPUTED_VALUE"""),"OEPS010009")</f>
        <v>OEPS010009</v>
      </c>
      <c r="C79" s="4" t="str">
        <f>IFERROR(__xludf.DUMMYFUNCTION("""COMPUTED_VALUE"""),"SMD")</f>
        <v>SMD</v>
      </c>
      <c r="D79" s="4" t="str">
        <f>IFERROR(__xludf.DUMMYFUNCTION("""COMPUTED_VALUE"""),"GRM188R72A104KA35D")</f>
        <v>GRM188R72A104KA35D</v>
      </c>
      <c r="E79" s="4">
        <f>IFERROR(__xludf.DUMMYFUNCTION("""COMPUTED_VALUE"""),20.0)</f>
        <v>20</v>
      </c>
      <c r="F79" s="4" t="str">
        <f>IFERROR(__xludf.DUMMYFUNCTION("""COMPUTED_VALUE"""),"DigiKey")</f>
        <v>DigiKey</v>
      </c>
      <c r="G79" s="4" t="str">
        <f>IFERROR(__xludf.DUMMYFUNCTION("""COMPUTED_VALUE"""),"490-3285-6-ND")</f>
        <v>490-3285-6-ND</v>
      </c>
      <c r="H79" s="4"/>
      <c r="I79" s="4"/>
      <c r="J79" s="4"/>
      <c r="K79" s="4"/>
      <c r="L79" s="4"/>
      <c r="M79" s="4"/>
      <c r="N79" s="9" t="str">
        <f>IFERROR(__xludf.DUMMYFUNCTION("""COMPUTED_VALUE"""),"OEPS F01 017")</f>
        <v>OEPS F01 017</v>
      </c>
      <c r="O79" s="4" t="str">
        <f>IFERROR(__xludf.DUMMYFUNCTION("""COMPUTED_VALUE"""),"SZMM3Z5V1ST1G")</f>
        <v>SZMM3Z5V1ST1G</v>
      </c>
      <c r="P79" s="4" t="str">
        <f>IFERROR(__xludf.DUMMYFUNCTION("""COMPUTED_VALUE"""),"13(R) ")</f>
        <v>13(R) </v>
      </c>
      <c r="Q79" s="4">
        <f>IFERROR(__xludf.DUMMYFUNCTION("""COMPUTED_VALUE"""),13.0)</f>
        <v>13</v>
      </c>
      <c r="R79" s="4">
        <f>IFERROR(__xludf.DUMMYFUNCTION("""COMPUTED_VALUE"""),13.0)</f>
        <v>13</v>
      </c>
      <c r="S79" s="4" t="str">
        <f>IFERROR(__xludf.DUMMYFUNCTION("""COMPUTED_VALUE"""),"Reel")</f>
        <v>Reel</v>
      </c>
      <c r="T79" s="4" t="str">
        <f>IFERROR(__xludf.DUMMYFUNCTION("""COMPUTED_VALUE"""),"0421")</f>
        <v>0421</v>
      </c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>
      <c r="A80" s="4" t="str">
        <f>IFERROR(__xludf.DUMMYFUNCTION("""COMPUTED_VALUE"""),"CAPACITOR:   SMD CER 0603 100nF 100V ±10% X7R (OEPS J05 001)   [GRJ188R72A104KE11D] [SMD]")</f>
        <v>CAPACITOR:   SMD CER 0603 100nF 100V ±10% X7R (OEPS J05 001)   [GRJ188R72A104KE11D] [SMD]</v>
      </c>
      <c r="B80" s="4" t="str">
        <f>IFERROR(__xludf.DUMMYFUNCTION("""COMPUTED_VALUE"""),"OEPS010039")</f>
        <v>OEPS010039</v>
      </c>
      <c r="C80" s="4" t="str">
        <f>IFERROR(__xludf.DUMMYFUNCTION("""COMPUTED_VALUE"""),"SMD")</f>
        <v>SMD</v>
      </c>
      <c r="D80" s="4" t="str">
        <f>IFERROR(__xludf.DUMMYFUNCTION("""COMPUTED_VALUE"""),"GRJ188R72A104KE11D")</f>
        <v>GRJ188R72A104KE11D</v>
      </c>
      <c r="E80" s="4">
        <f>IFERROR(__xludf.DUMMYFUNCTION("""COMPUTED_VALUE"""),20.0)</f>
        <v>20</v>
      </c>
      <c r="F80" s="4" t="str">
        <f>IFERROR(__xludf.DUMMYFUNCTION("""COMPUTED_VALUE"""),"DigiKey")</f>
        <v>DigiKey</v>
      </c>
      <c r="G80" s="4" t="str">
        <f>IFERROR(__xludf.DUMMYFUNCTION("""COMPUTED_VALUE"""),"490-10901-6-ND")</f>
        <v>490-10901-6-ND</v>
      </c>
      <c r="H80" s="4"/>
      <c r="I80" s="4"/>
      <c r="J80" s="4"/>
      <c r="K80" s="4"/>
      <c r="L80" s="4"/>
      <c r="M80" s="4"/>
      <c r="N80" s="9" t="str">
        <f>IFERROR(__xludf.DUMMYFUNCTION("""COMPUTED_VALUE"""),"OEPS F01 019")</f>
        <v>OEPS F01 019</v>
      </c>
      <c r="O80" s="4" t="str">
        <f>IFERROR(__xludf.DUMMYFUNCTION("""COMPUTED_VALUE"""),"MBR0520LT1G")</f>
        <v>MBR0520LT1G</v>
      </c>
      <c r="P80" s="4" t="str">
        <f>IFERROR(__xludf.DUMMYFUNCTION("""COMPUTED_VALUE"""),"122(R) ")</f>
        <v>122(R) </v>
      </c>
      <c r="Q80" s="4">
        <f>IFERROR(__xludf.DUMMYFUNCTION("""COMPUTED_VALUE"""),122.0)</f>
        <v>122</v>
      </c>
      <c r="R80" s="4">
        <f>IFERROR(__xludf.DUMMYFUNCTION("""COMPUTED_VALUE"""),122.0)</f>
        <v>122</v>
      </c>
      <c r="S80" s="4" t="str">
        <f>IFERROR(__xludf.DUMMYFUNCTION("""COMPUTED_VALUE"""),"Reel")</f>
        <v>Reel</v>
      </c>
      <c r="T80" s="4" t="str">
        <f>IFERROR(__xludf.DUMMYFUNCTION("""COMPUTED_VALUE"""),"0617")</f>
        <v>0617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>
      <c r="A81" s="4" t="str">
        <f>IFERROR(__xludf.DUMMYFUNCTION("""COMPUTED_VALUE"""),"CAPACITOR:   SMD CER 0603 100pF 50V ±5% C0G   [CC0603JRNPO9BN101] [SMD]")</f>
        <v>CAPACITOR:   SMD CER 0603 100pF 50V ±5% C0G   [CC0603JRNPO9BN101] [SMD]</v>
      </c>
      <c r="B81" s="4" t="str">
        <f>IFERROR(__xludf.DUMMYFUNCTION("""COMPUTED_VALUE"""),"OEPS010078")</f>
        <v>OEPS010078</v>
      </c>
      <c r="C81" s="4" t="str">
        <f>IFERROR(__xludf.DUMMYFUNCTION("""COMPUTED_VALUE"""),"SMD")</f>
        <v>SMD</v>
      </c>
      <c r="D81" s="4" t="str">
        <f>IFERROR(__xludf.DUMMYFUNCTION("""COMPUTED_VALUE"""),"CC0603JRNPO9BN101")</f>
        <v>CC0603JRNPO9BN101</v>
      </c>
      <c r="E81" s="4">
        <f>IFERROR(__xludf.DUMMYFUNCTION("""COMPUTED_VALUE"""),30.0)</f>
        <v>30</v>
      </c>
      <c r="F81" s="4" t="str">
        <f>IFERROR(__xludf.DUMMYFUNCTION("""COMPUTED_VALUE"""),"Digikey")</f>
        <v>Digikey</v>
      </c>
      <c r="G81" s="4" t="str">
        <f>IFERROR(__xludf.DUMMYFUNCTION("""COMPUTED_VALUE"""),"311-1069-6-ND")</f>
        <v>311-1069-6-ND</v>
      </c>
      <c r="H81" s="4"/>
      <c r="I81" s="4"/>
      <c r="J81" s="4"/>
      <c r="K81" s="4"/>
      <c r="L81" s="4"/>
      <c r="M81" s="4"/>
      <c r="N81" s="9" t="str">
        <f>IFERROR(__xludf.DUMMYFUNCTION("""COMPUTED_VALUE"""),"OEPS F01 020")</f>
        <v>OEPS F01 020</v>
      </c>
      <c r="O81" s="4" t="str">
        <f>IFERROR(__xludf.DUMMYFUNCTION("""COMPUTED_VALUE"""),"SBH11-PBPC-D05-RA-BK")</f>
        <v>SBH11-PBPC-D05-RA-BK</v>
      </c>
      <c r="P81" s="4" t="str">
        <f>IFERROR(__xludf.DUMMYFUNCTION("""COMPUTED_VALUE"""),"1 ")</f>
        <v>1 </v>
      </c>
      <c r="Q81" s="4">
        <f>IFERROR(__xludf.DUMMYFUNCTION("""COMPUTED_VALUE"""),1.0)</f>
        <v>1</v>
      </c>
      <c r="R81" s="4">
        <f>IFERROR(__xludf.DUMMYFUNCTION("""COMPUTED_VALUE"""),1.0)</f>
        <v>1</v>
      </c>
      <c r="S81" s="4" t="str">
        <f>IFERROR(__xludf.DUMMYFUNCTION("""COMPUTED_VALUE"""),"Bag")</f>
        <v>Bag</v>
      </c>
      <c r="T81" s="4" t="str">
        <f>IFERROR(__xludf.DUMMYFUNCTION("""COMPUTED_VALUE"""),"0421")</f>
        <v>0421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>
      <c r="A82" s="4" t="str">
        <f>IFERROR(__xludf.DUMMYFUNCTION("""COMPUTED_VALUE"""),"CAPACITOR:   SMD CER 0603 10nF 50V ±10% X7R   [C1608X7R1H103K080AA] [SMD]")</f>
        <v>CAPACITOR:   SMD CER 0603 10nF 50V ±10% X7R   [C1608X7R1H103K080AA] [SMD]</v>
      </c>
      <c r="B82" s="4" t="str">
        <f>IFERROR(__xludf.DUMMYFUNCTION("""COMPUTED_VALUE"""),"OEPS010074")</f>
        <v>OEPS010074</v>
      </c>
      <c r="C82" s="4" t="str">
        <f>IFERROR(__xludf.DUMMYFUNCTION("""COMPUTED_VALUE"""),"SMD")</f>
        <v>SMD</v>
      </c>
      <c r="D82" s="4" t="str">
        <f>IFERROR(__xludf.DUMMYFUNCTION("""COMPUTED_VALUE"""),"C1608X7R1H103K080AA")</f>
        <v>C1608X7R1H103K080AA</v>
      </c>
      <c r="E82" s="4">
        <f>IFERROR(__xludf.DUMMYFUNCTION("""COMPUTED_VALUE"""),30.0)</f>
        <v>30</v>
      </c>
      <c r="F82" s="4" t="str">
        <f>IFERROR(__xludf.DUMMYFUNCTION("""COMPUTED_VALUE"""),"Digikey")</f>
        <v>Digikey</v>
      </c>
      <c r="G82" s="4" t="str">
        <f>IFERROR(__xludf.DUMMYFUNCTION("""COMPUTED_VALUE"""),"445-1311-6-ND")</f>
        <v>445-1311-6-ND</v>
      </c>
      <c r="H82" s="4"/>
      <c r="I82" s="4"/>
      <c r="J82" s="4"/>
      <c r="K82" s="4"/>
      <c r="L82" s="4"/>
      <c r="M82" s="4"/>
      <c r="N82" s="9" t="str">
        <f>IFERROR(__xludf.DUMMYFUNCTION("""COMPUTED_VALUE"""),"OEPS F01 023")</f>
        <v>OEPS F01 023</v>
      </c>
      <c r="O82" s="4" t="str">
        <f>IFERROR(__xludf.DUMMYFUNCTION("""COMPUTED_VALUE"""),"569-0112-200F")</f>
        <v>569-0112-200F</v>
      </c>
      <c r="P82" s="4" t="str">
        <f>IFERROR(__xludf.DUMMYFUNCTION("""COMPUTED_VALUE"""),"1 ")</f>
        <v>1 </v>
      </c>
      <c r="Q82" s="4">
        <f>IFERROR(__xludf.DUMMYFUNCTION("""COMPUTED_VALUE"""),1.0)</f>
        <v>1</v>
      </c>
      <c r="R82" s="4">
        <f>IFERROR(__xludf.DUMMYFUNCTION("""COMPUTED_VALUE"""),1.0)</f>
        <v>1</v>
      </c>
      <c r="S82" s="4" t="str">
        <f>IFERROR(__xludf.DUMMYFUNCTION("""COMPUTED_VALUE"""),"Bag")</f>
        <v>Bag</v>
      </c>
      <c r="T82" s="4" t="str">
        <f>IFERROR(__xludf.DUMMYFUNCTION("""COMPUTED_VALUE"""),"0421")</f>
        <v>0421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>
      <c r="A83" s="4" t="str">
        <f>IFERROR(__xludf.DUMMYFUNCTION("""COMPUTED_VALUE"""),"CAPACITOR:   SMD CER 0603 10pF 50V ±5% C0G   [C0603C100J5GACTU] [SMD]")</f>
        <v>CAPACITOR:   SMD CER 0603 10pF 50V ±5% C0G   [C0603C100J5GACTU] [SMD]</v>
      </c>
      <c r="B83" s="4" t="str">
        <f>IFERROR(__xludf.DUMMYFUNCTION("""COMPUTED_VALUE"""),"OEPS010096")</f>
        <v>OEPS010096</v>
      </c>
      <c r="C83" s="4" t="str">
        <f>IFERROR(__xludf.DUMMYFUNCTION("""COMPUTED_VALUE"""),"SMD")</f>
        <v>SMD</v>
      </c>
      <c r="D83" s="4" t="str">
        <f>IFERROR(__xludf.DUMMYFUNCTION("""COMPUTED_VALUE"""),"C0603C100J5GACTU")</f>
        <v>C0603C100J5GACTU</v>
      </c>
      <c r="E83" s="4">
        <f>IFERROR(__xludf.DUMMYFUNCTION("""COMPUTED_VALUE"""),20.0)</f>
        <v>20</v>
      </c>
      <c r="F83" s="4" t="str">
        <f>IFERROR(__xludf.DUMMYFUNCTION("""COMPUTED_VALUE"""),"DigiKey")</f>
        <v>DigiKey</v>
      </c>
      <c r="G83" s="4" t="str">
        <f>IFERROR(__xludf.DUMMYFUNCTION("""COMPUTED_VALUE"""),"399-C0603C100J5GACTUDKR-ND")</f>
        <v>399-C0603C100J5GACTUDKR-ND</v>
      </c>
      <c r="H83" s="4"/>
      <c r="I83" s="4"/>
      <c r="J83" s="4"/>
      <c r="K83" s="4"/>
      <c r="L83" s="4"/>
      <c r="M83" s="4"/>
      <c r="N83" s="9" t="str">
        <f>IFERROR(__xludf.DUMMYFUNCTION("""COMPUTED_VALUE"""),"OEPS F01 028")</f>
        <v>OEPS F01 028</v>
      </c>
      <c r="O83" s="4" t="str">
        <f>IFERROR(__xludf.DUMMYFUNCTION("""COMPUTED_VALUE"""),"164-6218")</f>
        <v>164-6218</v>
      </c>
      <c r="P83" s="4" t="str">
        <f>IFERROR(__xludf.DUMMYFUNCTION("""COMPUTED_VALUE"""),"1 ")</f>
        <v>1 </v>
      </c>
      <c r="Q83" s="4">
        <f>IFERROR(__xludf.DUMMYFUNCTION("""COMPUTED_VALUE"""),1.0)</f>
        <v>1</v>
      </c>
      <c r="R83" s="4">
        <f>IFERROR(__xludf.DUMMYFUNCTION("""COMPUTED_VALUE"""),1.0)</f>
        <v>1</v>
      </c>
      <c r="S83" s="4" t="str">
        <f>IFERROR(__xludf.DUMMYFUNCTION("""COMPUTED_VALUE"""),"Bag")</f>
        <v>Bag</v>
      </c>
      <c r="T83" s="4" t="str">
        <f>IFERROR(__xludf.DUMMYFUNCTION("""COMPUTED_VALUE"""),"XX21")</f>
        <v>XX21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>
      <c r="A84" s="4" t="str">
        <f>IFERROR(__xludf.DUMMYFUNCTION("""COMPUTED_VALUE"""),"CAPACITOR:   SMD CER 0603 10uF 16V ±20% X5R   [EMK107BBJ106MA-T] [SMD]")</f>
        <v>CAPACITOR:   SMD CER 0603 10uF 16V ±20% X5R   [EMK107BBJ106MA-T] [SMD]</v>
      </c>
      <c r="B84" s="4" t="str">
        <f>IFERROR(__xludf.DUMMYFUNCTION("""COMPUTED_VALUE"""),"OEPS010015")</f>
        <v>OEPS010015</v>
      </c>
      <c r="C84" s="4" t="str">
        <f>IFERROR(__xludf.DUMMYFUNCTION("""COMPUTED_VALUE"""),"SMD")</f>
        <v>SMD</v>
      </c>
      <c r="D84" s="4" t="str">
        <f>IFERROR(__xludf.DUMMYFUNCTION("""COMPUTED_VALUE"""),"EMK107BBJ106MA-T")</f>
        <v>EMK107BBJ106MA-T</v>
      </c>
      <c r="E84" s="4">
        <f>IFERROR(__xludf.DUMMYFUNCTION("""COMPUTED_VALUE"""),20.0)</f>
        <v>20</v>
      </c>
      <c r="F84" s="4" t="str">
        <f>IFERROR(__xludf.DUMMYFUNCTION("""COMPUTED_VALUE"""),"DigiKey")</f>
        <v>DigiKey</v>
      </c>
      <c r="G84" s="4" t="str">
        <f>IFERROR(__xludf.DUMMYFUNCTION("""COMPUTED_VALUE"""),"587-3238-6-ND")</f>
        <v>587-3238-6-ND</v>
      </c>
      <c r="H84" s="4"/>
      <c r="I84" s="4"/>
      <c r="J84" s="4"/>
      <c r="K84" s="4"/>
      <c r="L84" s="4"/>
      <c r="M84" s="4"/>
      <c r="N84" s="9" t="str">
        <f>IFERROR(__xludf.DUMMYFUNCTION("""COMPUTED_VALUE"""),"OEPS F01 029")</f>
        <v>OEPS F01 029</v>
      </c>
      <c r="O84" s="4" t="str">
        <f>IFERROR(__xludf.DUMMYFUNCTION("""COMPUTED_VALUE"""),"571-0500")</f>
        <v>571-0500</v>
      </c>
      <c r="P84" s="4" t="str">
        <f>IFERROR(__xludf.DUMMYFUNCTION("""COMPUTED_VALUE"""),"1 ")</f>
        <v>1 </v>
      </c>
      <c r="Q84" s="4">
        <f>IFERROR(__xludf.DUMMYFUNCTION("""COMPUTED_VALUE"""),1.0)</f>
        <v>1</v>
      </c>
      <c r="R84" s="4">
        <f>IFERROR(__xludf.DUMMYFUNCTION("""COMPUTED_VALUE"""),1.0)</f>
        <v>1</v>
      </c>
      <c r="S84" s="4" t="str">
        <f>IFERROR(__xludf.DUMMYFUNCTION("""COMPUTED_VALUE"""),"Bag")</f>
        <v>Bag</v>
      </c>
      <c r="T84" s="4" t="str">
        <f>IFERROR(__xludf.DUMMYFUNCTION("""COMPUTED_VALUE"""),"XX21")</f>
        <v>XX21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>
      <c r="A85" s="4" t="str">
        <f>IFERROR(__xludf.DUMMYFUNCTION("""COMPUTED_VALUE"""),"CAPACITOR:   SMD CER 0603 10uF 35V ±20% X5R   [GRM188R6YA106MA73J] [SMD]")</f>
        <v>CAPACITOR:   SMD CER 0603 10uF 35V ±20% X5R   [GRM188R6YA106MA73J] [SMD]</v>
      </c>
      <c r="B85" s="4" t="str">
        <f>IFERROR(__xludf.DUMMYFUNCTION("""COMPUTED_VALUE"""),"OEPS010093")</f>
        <v>OEPS010093</v>
      </c>
      <c r="C85" s="4" t="str">
        <f>IFERROR(__xludf.DUMMYFUNCTION("""COMPUTED_VALUE"""),"SMD")</f>
        <v>SMD</v>
      </c>
      <c r="D85" s="4" t="str">
        <f>IFERROR(__xludf.DUMMYFUNCTION("""COMPUTED_VALUE"""),"GRM188R6YA106MA73J")</f>
        <v>GRM188R6YA106MA73J</v>
      </c>
      <c r="E85" s="4">
        <f>IFERROR(__xludf.DUMMYFUNCTION("""COMPUTED_VALUE"""),20.0)</f>
        <v>20</v>
      </c>
      <c r="F85" s="4" t="str">
        <f>IFERROR(__xludf.DUMMYFUNCTION("""COMPUTED_VALUE"""),"Digikey")</f>
        <v>Digikey</v>
      </c>
      <c r="G85" s="4" t="str">
        <f>IFERROR(__xludf.DUMMYFUNCTION("""COMPUTED_VALUE"""),"490-GRM188R6YA106MA73JDKR-ND")</f>
        <v>490-GRM188R6YA106MA73JDKR-ND</v>
      </c>
      <c r="H85" s="4"/>
      <c r="I85" s="4"/>
      <c r="J85" s="4"/>
      <c r="K85" s="4"/>
      <c r="L85" s="4"/>
      <c r="M85" s="4"/>
      <c r="N85" s="9" t="str">
        <f>IFERROR(__xludf.DUMMYFUNCTION("""COMPUTED_VALUE"""),"OEPS F01 030")</f>
        <v>OEPS F01 030</v>
      </c>
      <c r="O85" s="4" t="str">
        <f>IFERROR(__xludf.DUMMYFUNCTION("""COMPUTED_VALUE"""),"569-0111-100F")</f>
        <v>569-0111-100F</v>
      </c>
      <c r="P85" s="4" t="str">
        <f>IFERROR(__xludf.DUMMYFUNCTION("""COMPUTED_VALUE"""),"1 ")</f>
        <v>1 </v>
      </c>
      <c r="Q85" s="4">
        <f>IFERROR(__xludf.DUMMYFUNCTION("""COMPUTED_VALUE"""),1.0)</f>
        <v>1</v>
      </c>
      <c r="R85" s="4">
        <f>IFERROR(__xludf.DUMMYFUNCTION("""COMPUTED_VALUE"""),1.0)</f>
        <v>1</v>
      </c>
      <c r="S85" s="4" t="str">
        <f>IFERROR(__xludf.DUMMYFUNCTION("""COMPUTED_VALUE"""),"Bag")</f>
        <v>Bag</v>
      </c>
      <c r="T85" s="4" t="str">
        <f>IFERROR(__xludf.DUMMYFUNCTION("""COMPUTED_VALUE"""),"XX21")</f>
        <v>XX21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>
      <c r="A86" s="4" t="str">
        <f>IFERROR(__xludf.DUMMYFUNCTION("""COMPUTED_VALUE"""),"CAPACITOR:   SMD CER 0603 15nF 50V ±10% X7R   [C0603C153K5RACTU] [SMD]")</f>
        <v>CAPACITOR:   SMD CER 0603 15nF 50V ±10% X7R   [C0603C153K5RACTU] [SMD]</v>
      </c>
      <c r="B86" s="4" t="str">
        <f>IFERROR(__xludf.DUMMYFUNCTION("""COMPUTED_VALUE"""),"OEPS010084")</f>
        <v>OEPS010084</v>
      </c>
      <c r="C86" s="4" t="str">
        <f>IFERROR(__xludf.DUMMYFUNCTION("""COMPUTED_VALUE"""),"SMD")</f>
        <v>SMD</v>
      </c>
      <c r="D86" s="4" t="str">
        <f>IFERROR(__xludf.DUMMYFUNCTION("""COMPUTED_VALUE"""),"C0603C153K5RACTU")</f>
        <v>C0603C153K5RACTU</v>
      </c>
      <c r="E86" s="4">
        <f>IFERROR(__xludf.DUMMYFUNCTION("""COMPUTED_VALUE"""),30.0)</f>
        <v>30</v>
      </c>
      <c r="F86" s="4" t="str">
        <f>IFERROR(__xludf.DUMMYFUNCTION("""COMPUTED_VALUE"""),"Digikey")</f>
        <v>Digikey</v>
      </c>
      <c r="G86" s="4" t="str">
        <f>IFERROR(__xludf.DUMMYFUNCTION("""COMPUTED_VALUE"""),"399-C0603C153K5RACTUDKR-ND")</f>
        <v>399-C0603C153K5RACTUDKR-ND</v>
      </c>
      <c r="H86" s="4"/>
      <c r="I86" s="4"/>
      <c r="J86" s="4"/>
      <c r="K86" s="4"/>
      <c r="L86" s="4"/>
      <c r="M86" s="4"/>
      <c r="N86" s="9" t="str">
        <f>IFERROR(__xludf.DUMMYFUNCTION("""COMPUTED_VALUE"""),"OEPS F01 031")</f>
        <v>OEPS F01 031</v>
      </c>
      <c r="O86" s="4" t="str">
        <f>IFERROR(__xludf.DUMMYFUNCTION("""COMPUTED_VALUE"""),"PJ-063AH")</f>
        <v>PJ-063AH</v>
      </c>
      <c r="P86" s="4" t="str">
        <f>IFERROR(__xludf.DUMMYFUNCTION("""COMPUTED_VALUE"""),"1 ")</f>
        <v>1 </v>
      </c>
      <c r="Q86" s="4">
        <f>IFERROR(__xludf.DUMMYFUNCTION("""COMPUTED_VALUE"""),1.0)</f>
        <v>1</v>
      </c>
      <c r="R86" s="4">
        <f>IFERROR(__xludf.DUMMYFUNCTION("""COMPUTED_VALUE"""),1.0)</f>
        <v>1</v>
      </c>
      <c r="S86" s="4" t="str">
        <f>IFERROR(__xludf.DUMMYFUNCTION("""COMPUTED_VALUE"""),"Bag")</f>
        <v>Bag</v>
      </c>
      <c r="T86" s="4" t="str">
        <f>IFERROR(__xludf.DUMMYFUNCTION("""COMPUTED_VALUE"""),"0421")</f>
        <v>0421</v>
      </c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>
      <c r="A87" s="4" t="str">
        <f>IFERROR(__xludf.DUMMYFUNCTION("""COMPUTED_VALUE"""),"CAPACITOR:   SMD CER 0603 15pF 50V ±5% C0G   [C1608C0G1H150J080AA] [SMD]")</f>
        <v>CAPACITOR:   SMD CER 0603 15pF 50V ±5% C0G   [C1608C0G1H150J080AA] [SMD]</v>
      </c>
      <c r="B87" s="4" t="str">
        <f>IFERROR(__xludf.DUMMYFUNCTION("""COMPUTED_VALUE"""),"OEPS010072")</f>
        <v>OEPS010072</v>
      </c>
      <c r="C87" s="4" t="str">
        <f>IFERROR(__xludf.DUMMYFUNCTION("""COMPUTED_VALUE"""),"SMD")</f>
        <v>SMD</v>
      </c>
      <c r="D87" s="4" t="str">
        <f>IFERROR(__xludf.DUMMYFUNCTION("""COMPUTED_VALUE"""),"C1608C0G1H150J080AA")</f>
        <v>C1608C0G1H150J080AA</v>
      </c>
      <c r="E87" s="4">
        <f>IFERROR(__xludf.DUMMYFUNCTION("""COMPUTED_VALUE"""),30.0)</f>
        <v>30</v>
      </c>
      <c r="F87" s="4" t="str">
        <f>IFERROR(__xludf.DUMMYFUNCTION("""COMPUTED_VALUE"""),"Digikey")</f>
        <v>Digikey</v>
      </c>
      <c r="G87" s="4" t="str">
        <f>IFERROR(__xludf.DUMMYFUNCTION("""COMPUTED_VALUE"""),"445-1271-6-ND")</f>
        <v>445-1271-6-ND</v>
      </c>
      <c r="H87" s="4"/>
      <c r="I87" s="4"/>
      <c r="J87" s="4"/>
      <c r="K87" s="4"/>
      <c r="L87" s="4"/>
      <c r="M87" s="4"/>
      <c r="N87" s="9" t="str">
        <f>IFERROR(__xludf.DUMMYFUNCTION("""COMPUTED_VALUE"""),"OEPS F01 034")</f>
        <v>OEPS F01 034</v>
      </c>
      <c r="O87" s="4" t="str">
        <f>IFERROR(__xludf.DUMMYFUNCTION("""COMPUTED_VALUE"""),"IRF510STRRPBF")</f>
        <v>IRF510STRRPBF</v>
      </c>
      <c r="P87" s="4" t="str">
        <f>IFERROR(__xludf.DUMMYFUNCTION("""COMPUTED_VALUE"""),"14(R) 5 ")</f>
        <v>14(R) 5 </v>
      </c>
      <c r="Q87" s="4">
        <f>IFERROR(__xludf.DUMMYFUNCTION("""COMPUTED_VALUE"""),19.0)</f>
        <v>19</v>
      </c>
      <c r="R87" s="4">
        <f>IFERROR(__xludf.DUMMYFUNCTION("""COMPUTED_VALUE"""),14.0)</f>
        <v>14</v>
      </c>
      <c r="S87" s="4" t="str">
        <f>IFERROR(__xludf.DUMMYFUNCTION("""COMPUTED_VALUE"""),"Reel")</f>
        <v>Reel</v>
      </c>
      <c r="T87" s="4" t="str">
        <f>IFERROR(__xludf.DUMMYFUNCTION("""COMPUTED_VALUE"""),"0421")</f>
        <v>0421</v>
      </c>
      <c r="U87" s="4">
        <f>IFERROR(__xludf.DUMMYFUNCTION("""COMPUTED_VALUE"""),5.0)</f>
        <v>5</v>
      </c>
      <c r="V87" s="4" t="str">
        <f>IFERROR(__xludf.DUMMYFUNCTION("""COMPUTED_VALUE"""),"Bag")</f>
        <v>Bag</v>
      </c>
      <c r="W87" s="4" t="str">
        <f>IFERROR(__xludf.DUMMYFUNCTION("""COMPUTED_VALUE"""),"N/A")</f>
        <v>N/A</v>
      </c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>
      <c r="A88" s="4" t="str">
        <f>IFERROR(__xludf.DUMMYFUNCTION("""COMPUTED_VALUE"""),"CAPACITOR:   SMD CER 0603 180nF 50V ±10% X8R   [GCG188R91H184KA01D] [SMD]")</f>
        <v>CAPACITOR:   SMD CER 0603 180nF 50V ±10% X8R   [GCG188R91H184KA01D] [SMD]</v>
      </c>
      <c r="B88" s="4" t="str">
        <f>IFERROR(__xludf.DUMMYFUNCTION("""COMPUTED_VALUE"""),"OEPS010019")</f>
        <v>OEPS010019</v>
      </c>
      <c r="C88" s="4" t="str">
        <f>IFERROR(__xludf.DUMMYFUNCTION("""COMPUTED_VALUE"""),"SMD")</f>
        <v>SMD</v>
      </c>
      <c r="D88" s="4" t="str">
        <f>IFERROR(__xludf.DUMMYFUNCTION("""COMPUTED_VALUE"""),"GCG188R91H184KA01D")</f>
        <v>GCG188R91H184KA01D</v>
      </c>
      <c r="E88" s="4">
        <f>IFERROR(__xludf.DUMMYFUNCTION("""COMPUTED_VALUE"""),20.0)</f>
        <v>20</v>
      </c>
      <c r="F88" s="4" t="str">
        <f>IFERROR(__xludf.DUMMYFUNCTION("""COMPUTED_VALUE"""),"DigiKey")</f>
        <v>DigiKey</v>
      </c>
      <c r="G88" s="4" t="str">
        <f>IFERROR(__xludf.DUMMYFUNCTION("""COMPUTED_VALUE"""),"490-GCG188R91H184KA01DDKR-ND")</f>
        <v>490-GCG188R91H184KA01DDKR-ND</v>
      </c>
      <c r="H88" s="4"/>
      <c r="I88" s="4"/>
      <c r="J88" s="4"/>
      <c r="K88" s="4"/>
      <c r="L88" s="4"/>
      <c r="M88" s="4"/>
      <c r="N88" s="9" t="str">
        <f>IFERROR(__xludf.DUMMYFUNCTION("""COMPUTED_VALUE"""),"OEPS F01 050 ")</f>
        <v>OEPS F01 050 </v>
      </c>
      <c r="O88" s="4" t="str">
        <f>IFERROR(__xludf.DUMMYFUNCTION("""COMPUTED_VALUE"""),"CSR0603FKR500")</f>
        <v>CSR0603FKR500</v>
      </c>
      <c r="P88" s="4" t="str">
        <f>IFERROR(__xludf.DUMMYFUNCTION("""COMPUTED_VALUE"""),"80(R) ")</f>
        <v>80(R) </v>
      </c>
      <c r="Q88" s="4">
        <f>IFERROR(__xludf.DUMMYFUNCTION("""COMPUTED_VALUE"""),80.0)</f>
        <v>80</v>
      </c>
      <c r="R88" s="4">
        <f>IFERROR(__xludf.DUMMYFUNCTION("""COMPUTED_VALUE"""),80.0)</f>
        <v>80</v>
      </c>
      <c r="S88" s="4" t="str">
        <f>IFERROR(__xludf.DUMMYFUNCTION("""COMPUTED_VALUE"""),"Reel")</f>
        <v>Reel</v>
      </c>
      <c r="T88" s="4" t="str">
        <f>IFERROR(__xludf.DUMMYFUNCTION("""COMPUTED_VALUE"""),"0421")</f>
        <v>0421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>
      <c r="A89" s="4" t="str">
        <f>IFERROR(__xludf.DUMMYFUNCTION("""COMPUTED_VALUE"""),"CAPACITOR:   SMD CER 0603 18pF 50V ±5% C0G   [C0603C180J5GAC7867] [SMD]")</f>
        <v>CAPACITOR:   SMD CER 0603 18pF 50V ±5% C0G   [C0603C180J5GAC7867] [SMD]</v>
      </c>
      <c r="B89" s="4" t="str">
        <f>IFERROR(__xludf.DUMMYFUNCTION("""COMPUTED_VALUE"""),"OEPS010064")</f>
        <v>OEPS010064</v>
      </c>
      <c r="C89" s="4" t="str">
        <f>IFERROR(__xludf.DUMMYFUNCTION("""COMPUTED_VALUE"""),"SMD")</f>
        <v>SMD</v>
      </c>
      <c r="D89" s="4" t="str">
        <f>IFERROR(__xludf.DUMMYFUNCTION("""COMPUTED_VALUE"""),"C0603C180J5GAC7867")</f>
        <v>C0603C180J5GAC7867</v>
      </c>
      <c r="E89" s="4">
        <f>IFERROR(__xludf.DUMMYFUNCTION("""COMPUTED_VALUE"""),30.0)</f>
        <v>30</v>
      </c>
      <c r="F89" s="4" t="str">
        <f>IFERROR(__xludf.DUMMYFUNCTION("""COMPUTED_VALUE"""),"DigiKey")</f>
        <v>DigiKey</v>
      </c>
      <c r="G89" s="4" t="str">
        <f>IFERROR(__xludf.DUMMYFUNCTION("""COMPUTED_VALUE"""),"399-C0603C180J5GAC7867DKR-ND")</f>
        <v>399-C0603C180J5GAC7867DKR-ND</v>
      </c>
      <c r="H89" s="4"/>
      <c r="I89" s="4"/>
      <c r="J89" s="4"/>
      <c r="K89" s="4"/>
      <c r="L89" s="4"/>
      <c r="M89" s="4"/>
      <c r="N89" s="9" t="str">
        <f>IFERROR(__xludf.DUMMYFUNCTION("""COMPUTED_VALUE"""),"OEPS F01 062")</f>
        <v>OEPS F01 062</v>
      </c>
      <c r="O89" s="4" t="str">
        <f>IFERROR(__xludf.DUMMYFUNCTION("""COMPUTED_VALUE"""),"CFPA-1FB4-A2T")</f>
        <v>CFPA-1FB4-A2T</v>
      </c>
      <c r="P89" s="4" t="str">
        <f>IFERROR(__xludf.DUMMYFUNCTION("""COMPUTED_VALUE"""),"1 ")</f>
        <v>1 </v>
      </c>
      <c r="Q89" s="4">
        <f>IFERROR(__xludf.DUMMYFUNCTION("""COMPUTED_VALUE"""),1.0)</f>
        <v>1</v>
      </c>
      <c r="R89" s="4">
        <f>IFERROR(__xludf.DUMMYFUNCTION("""COMPUTED_VALUE"""),1.0)</f>
        <v>1</v>
      </c>
      <c r="S89" s="4" t="str">
        <f>IFERROR(__xludf.DUMMYFUNCTION("""COMPUTED_VALUE"""),"Bag")</f>
        <v>Bag</v>
      </c>
      <c r="T89" s="4" t="str">
        <f>IFERROR(__xludf.DUMMYFUNCTION("""COMPUTED_VALUE"""),"N/A")</f>
        <v>N/A</v>
      </c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>
      <c r="A90" s="4" t="str">
        <f>IFERROR(__xludf.DUMMYFUNCTION("""COMPUTED_VALUE"""),"CAPACITOR:   SMD CER 0603 1nF 100V ±10% X7R   [C1608X7R2A102K080AA] [SMD]")</f>
        <v>CAPACITOR:   SMD CER 0603 1nF 100V ±10% X7R   [C1608X7R2A102K080AA] [SMD]</v>
      </c>
      <c r="B90" s="4" t="str">
        <f>IFERROR(__xludf.DUMMYFUNCTION("""COMPUTED_VALUE"""),"OEPS010073")</f>
        <v>OEPS010073</v>
      </c>
      <c r="C90" s="4" t="str">
        <f>IFERROR(__xludf.DUMMYFUNCTION("""COMPUTED_VALUE"""),"SMD")</f>
        <v>SMD</v>
      </c>
      <c r="D90" s="4" t="str">
        <f>IFERROR(__xludf.DUMMYFUNCTION("""COMPUTED_VALUE"""),"C1608X7R2A102K080AA")</f>
        <v>C1608X7R2A102K080AA</v>
      </c>
      <c r="E90" s="4">
        <f>IFERROR(__xludf.DUMMYFUNCTION("""COMPUTED_VALUE"""),30.0)</f>
        <v>30</v>
      </c>
      <c r="F90" s="4" t="str">
        <f>IFERROR(__xludf.DUMMYFUNCTION("""COMPUTED_VALUE"""),"Digikey")</f>
        <v>Digikey</v>
      </c>
      <c r="G90" s="4" t="str">
        <f>IFERROR(__xludf.DUMMYFUNCTION("""COMPUTED_VALUE"""),"445-1298-6-ND")</f>
        <v>445-1298-6-ND</v>
      </c>
      <c r="H90" s="4"/>
      <c r="I90" s="4"/>
      <c r="J90" s="4"/>
      <c r="K90" s="4"/>
      <c r="L90" s="4"/>
      <c r="M90" s="4"/>
      <c r="N90" s="9" t="str">
        <f>IFERROR(__xludf.DUMMYFUNCTION("""COMPUTED_VALUE"""),"OEPS F01 063")</f>
        <v>OEPS F01 063</v>
      </c>
      <c r="O90" s="4" t="str">
        <f>IFERROR(__xludf.DUMMYFUNCTION("""COMPUTED_VALUE"""),"731000105")</f>
        <v>731000105</v>
      </c>
      <c r="P90" s="4" t="str">
        <f>IFERROR(__xludf.DUMMYFUNCTION("""COMPUTED_VALUE"""),"1 ")</f>
        <v>1 </v>
      </c>
      <c r="Q90" s="4">
        <f>IFERROR(__xludf.DUMMYFUNCTION("""COMPUTED_VALUE"""),1.0)</f>
        <v>1</v>
      </c>
      <c r="R90" s="4">
        <f>IFERROR(__xludf.DUMMYFUNCTION("""COMPUTED_VALUE"""),1.0)</f>
        <v>1</v>
      </c>
      <c r="S90" s="4" t="str">
        <f>IFERROR(__xludf.DUMMYFUNCTION("""COMPUTED_VALUE"""),"Bag")</f>
        <v>Bag</v>
      </c>
      <c r="T90" s="4" t="str">
        <f>IFERROR(__xludf.DUMMYFUNCTION("""COMPUTED_VALUE"""),"XX21")</f>
        <v>XX21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>
      <c r="A91" s="4" t="str">
        <f>IFERROR(__xludf.DUMMYFUNCTION("""COMPUTED_VALUE"""),"CAPACITOR:   SMD CER 0603 1uF 25V ±10% X5R   [CL10A105KA8NNNC] [SMD]")</f>
        <v>CAPACITOR:   SMD CER 0603 1uF 25V ±10% X5R   [CL10A105KA8NNNC] [SMD]</v>
      </c>
      <c r="B91" s="4" t="str">
        <f>IFERROR(__xludf.DUMMYFUNCTION("""COMPUTED_VALUE"""),"OEPS010022")</f>
        <v>OEPS010022</v>
      </c>
      <c r="C91" s="4" t="str">
        <f>IFERROR(__xludf.DUMMYFUNCTION("""COMPUTED_VALUE"""),"SMD")</f>
        <v>SMD</v>
      </c>
      <c r="D91" s="4" t="str">
        <f>IFERROR(__xludf.DUMMYFUNCTION("""COMPUTED_VALUE"""),"CL10A105KA8NNNC")</f>
        <v>CL10A105KA8NNNC</v>
      </c>
      <c r="E91" s="4">
        <f>IFERROR(__xludf.DUMMYFUNCTION("""COMPUTED_VALUE"""),20.0)</f>
        <v>20</v>
      </c>
      <c r="F91" s="4" t="str">
        <f>IFERROR(__xludf.DUMMYFUNCTION("""COMPUTED_VALUE"""),"DigiKey")</f>
        <v>DigiKey</v>
      </c>
      <c r="G91" s="4" t="str">
        <f>IFERROR(__xludf.DUMMYFUNCTION("""COMPUTED_VALUE"""),"1276-1102-6-ND")</f>
        <v>1276-1102-6-ND</v>
      </c>
      <c r="H91" s="4"/>
      <c r="I91" s="4"/>
      <c r="J91" s="4"/>
      <c r="K91" s="4"/>
      <c r="L91" s="4"/>
      <c r="M91" s="4"/>
      <c r="N91" s="9" t="str">
        <f>IFERROR(__xludf.DUMMYFUNCTION("""COMPUTED_VALUE"""),"OEPS F01 067")</f>
        <v>OEPS F01 067</v>
      </c>
      <c r="O91" s="4" t="str">
        <f>IFERROR(__xludf.DUMMYFUNCTION("""COMPUTED_VALUE"""),"ADG1201BRJZ-R2")</f>
        <v>ADG1201BRJZ-R2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>
      <c r="A92" s="4" t="str">
        <f>IFERROR(__xludf.DUMMYFUNCTION("""COMPUTED_VALUE"""),"CAPACITOR:   SMD CER 0603 1uF 50V ±10% X7R   [06035C105KAT2A] [SMD]")</f>
        <v>CAPACITOR:   SMD CER 0603 1uF 50V ±10% X7R   [06035C105KAT2A] [SMD]</v>
      </c>
      <c r="B92" s="4" t="str">
        <f>IFERROR(__xludf.DUMMYFUNCTION("""COMPUTED_VALUE"""),"OEPS010054")</f>
        <v>OEPS010054</v>
      </c>
      <c r="C92" s="4" t="str">
        <f>IFERROR(__xludf.DUMMYFUNCTION("""COMPUTED_VALUE"""),"SMD")</f>
        <v>SMD</v>
      </c>
      <c r="D92" s="4" t="str">
        <f>IFERROR(__xludf.DUMMYFUNCTION("""COMPUTED_VALUE"""),"06035C105KAT2A")</f>
        <v>06035C105KAT2A</v>
      </c>
      <c r="E92" s="4">
        <f>IFERROR(__xludf.DUMMYFUNCTION("""COMPUTED_VALUE"""),20.0)</f>
        <v>20</v>
      </c>
      <c r="F92" s="4" t="str">
        <f>IFERROR(__xludf.DUMMYFUNCTION("""COMPUTED_VALUE"""),"DigiKey")</f>
        <v>DigiKey</v>
      </c>
      <c r="G92" s="4" t="str">
        <f>IFERROR(__xludf.DUMMYFUNCTION("""COMPUTED_VALUE"""),"478-10073-6-ND")</f>
        <v>478-10073-6-ND</v>
      </c>
      <c r="H92" s="4"/>
      <c r="I92" s="4"/>
      <c r="J92" s="4"/>
      <c r="K92" s="4"/>
      <c r="L92" s="4"/>
      <c r="M92" s="4"/>
      <c r="N92" s="9" t="str">
        <f>IFERROR(__xludf.DUMMYFUNCTION("""COMPUTED_VALUE"""),"OEPS F01 070")</f>
        <v>OEPS F01 070</v>
      </c>
      <c r="O92" s="4" t="str">
        <f>IFERROR(__xludf.DUMMYFUNCTION("""COMPUTED_VALUE"""),"LT1764AEQ#TRPBF")</f>
        <v>LT1764AEQ#TRPBF</v>
      </c>
      <c r="P92" s="4" t="str">
        <f>IFERROR(__xludf.DUMMYFUNCTION("""COMPUTED_VALUE"""),"1 ")</f>
        <v>1 </v>
      </c>
      <c r="Q92" s="4">
        <f>IFERROR(__xludf.DUMMYFUNCTION("""COMPUTED_VALUE"""),1.0)</f>
        <v>1</v>
      </c>
      <c r="R92" s="4">
        <f>IFERROR(__xludf.DUMMYFUNCTION("""COMPUTED_VALUE"""),1.0)</f>
        <v>1</v>
      </c>
      <c r="S92" s="4" t="str">
        <f>IFERROR(__xludf.DUMMYFUNCTION("""COMPUTED_VALUE"""),"Bag")</f>
        <v>Bag</v>
      </c>
      <c r="T92" s="4" t="str">
        <f>IFERROR(__xludf.DUMMYFUNCTION("""COMPUTED_VALUE"""),"N/A")</f>
        <v>N/A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>
      <c r="A93" s="4" t="str">
        <f>IFERROR(__xludf.DUMMYFUNCTION("""COMPUTED_VALUE"""),"CAPACITOR:   SMD CER 0603 2.2uF 25V ±10% X5R (OEPS J30 006)   [GRM188R61E225KA12D] [SMD]")</f>
        <v>CAPACITOR:   SMD CER 0603 2.2uF 25V ±10% X5R (OEPS J30 006)   [GRM188R61E225KA12D] [SMD]</v>
      </c>
      <c r="B93" s="4" t="str">
        <f>IFERROR(__xludf.DUMMYFUNCTION("""COMPUTED_VALUE"""),"OEPS010075")</f>
        <v>OEPS010075</v>
      </c>
      <c r="C93" s="4" t="str">
        <f>IFERROR(__xludf.DUMMYFUNCTION("""COMPUTED_VALUE"""),"SMD")</f>
        <v>SMD</v>
      </c>
      <c r="D93" s="4" t="str">
        <f>IFERROR(__xludf.DUMMYFUNCTION("""COMPUTED_VALUE"""),"GRM188R61E225KA12D")</f>
        <v>GRM188R61E225KA12D</v>
      </c>
      <c r="E93" s="4">
        <f>IFERROR(__xludf.DUMMYFUNCTION("""COMPUTED_VALUE"""),30.0)</f>
        <v>30</v>
      </c>
      <c r="F93" s="4" t="str">
        <f>IFERROR(__xludf.DUMMYFUNCTION("""COMPUTED_VALUE"""),"Digikey")</f>
        <v>Digikey</v>
      </c>
      <c r="G93" s="4" t="str">
        <f>IFERROR(__xludf.DUMMYFUNCTION("""COMPUTED_VALUE"""),"490-10731-6-ND")</f>
        <v>490-10731-6-ND</v>
      </c>
      <c r="H93" s="4"/>
      <c r="I93" s="4"/>
      <c r="J93" s="4"/>
      <c r="K93" s="4"/>
      <c r="L93" s="4"/>
      <c r="M93" s="4"/>
      <c r="N93" s="9" t="str">
        <f>IFERROR(__xludf.DUMMYFUNCTION("""COMPUTED_VALUE"""),"OEPS F01 071")</f>
        <v>OEPS F01 071</v>
      </c>
      <c r="O93" s="4" t="str">
        <f>IFERROR(__xludf.DUMMYFUNCTION("""COMPUTED_VALUE"""),"BD00FC0WEFJ-E2")</f>
        <v>BD00FC0WEFJ-E2</v>
      </c>
      <c r="P93" s="4" t="str">
        <f>IFERROR(__xludf.DUMMYFUNCTION("""COMPUTED_VALUE"""),"16(R) ")</f>
        <v>16(R) </v>
      </c>
      <c r="Q93" s="4">
        <f>IFERROR(__xludf.DUMMYFUNCTION("""COMPUTED_VALUE"""),16.0)</f>
        <v>16</v>
      </c>
      <c r="R93" s="4">
        <f>IFERROR(__xludf.DUMMYFUNCTION("""COMPUTED_VALUE"""),16.0)</f>
        <v>16</v>
      </c>
      <c r="S93" s="4" t="str">
        <f>IFERROR(__xludf.DUMMYFUNCTION("""COMPUTED_VALUE"""),"Reel")</f>
        <v>Reel</v>
      </c>
      <c r="T93" s="4" t="str">
        <f>IFERROR(__xludf.DUMMYFUNCTION("""COMPUTED_VALUE"""),"0421")</f>
        <v>0421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>
      <c r="A94" s="4" t="str">
        <f>IFERROR(__xludf.DUMMYFUNCTION("""COMPUTED_VALUE"""),"CAPACITOR:   SMD CER 0603 22nF 100V ±10% X7R   [C1608X7R2A223K080AA] [SMD]")</f>
        <v>CAPACITOR:   SMD CER 0603 22nF 100V ±10% X7R   [C1608X7R2A223K080AA] [SMD]</v>
      </c>
      <c r="B94" s="4" t="str">
        <f>IFERROR(__xludf.DUMMYFUNCTION("""COMPUTED_VALUE"""),"OEPS010056")</f>
        <v>OEPS010056</v>
      </c>
      <c r="C94" s="4" t="str">
        <f>IFERROR(__xludf.DUMMYFUNCTION("""COMPUTED_VALUE"""),"SMD")</f>
        <v>SMD</v>
      </c>
      <c r="D94" s="4" t="str">
        <f>IFERROR(__xludf.DUMMYFUNCTION("""COMPUTED_VALUE"""),"C1608X7R2A223K080AA")</f>
        <v>C1608X7R2A223K080AA</v>
      </c>
      <c r="E94" s="4">
        <f>IFERROR(__xludf.DUMMYFUNCTION("""COMPUTED_VALUE"""),30.0)</f>
        <v>30</v>
      </c>
      <c r="F94" s="4" t="str">
        <f>IFERROR(__xludf.DUMMYFUNCTION("""COMPUTED_VALUE"""),"DigiKey")</f>
        <v>DigiKey</v>
      </c>
      <c r="G94" s="4" t="str">
        <f>IFERROR(__xludf.DUMMYFUNCTION("""COMPUTED_VALUE"""),"445-2275-6-ND")</f>
        <v>445-2275-6-ND</v>
      </c>
      <c r="H94" s="4"/>
      <c r="I94" s="4"/>
      <c r="J94" s="4"/>
      <c r="K94" s="4"/>
      <c r="L94" s="4"/>
      <c r="M94" s="4"/>
      <c r="N94" s="9" t="str">
        <f>IFERROR(__xludf.DUMMYFUNCTION("""COMPUTED_VALUE"""),"OEPS F01 078")</f>
        <v>OEPS F01 078</v>
      </c>
      <c r="O94" s="4" t="str">
        <f>IFERROR(__xludf.DUMMYFUNCTION("""COMPUTED_VALUE"""),"ADR03BKSZ-REEL7")</f>
        <v>ADR03BKSZ-REEL7</v>
      </c>
      <c r="P94" s="4" t="str">
        <f>IFERROR(__xludf.DUMMYFUNCTION("""COMPUTED_VALUE"""),"14(R) ")</f>
        <v>14(R) </v>
      </c>
      <c r="Q94" s="4">
        <f>IFERROR(__xludf.DUMMYFUNCTION("""COMPUTED_VALUE"""),14.0)</f>
        <v>14</v>
      </c>
      <c r="R94" s="4">
        <f>IFERROR(__xludf.DUMMYFUNCTION("""COMPUTED_VALUE"""),14.0)</f>
        <v>14</v>
      </c>
      <c r="S94" s="4" t="str">
        <f>IFERROR(__xludf.DUMMYFUNCTION("""COMPUTED_VALUE"""),"Reel")</f>
        <v>Reel</v>
      </c>
      <c r="T94" s="4" t="str">
        <f>IFERROR(__xludf.DUMMYFUNCTION("""COMPUTED_VALUE"""),"0421")</f>
        <v>0421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>
      <c r="A95" s="4" t="str">
        <f>IFERROR(__xludf.DUMMYFUNCTION("""COMPUTED_VALUE"""),"CAPACITOR:   SMD CER 0603 22uF 6.3V ±20% X5R (OEPS J30 009)   [GRM188R60J226MEA0D] [SMD]")</f>
        <v>CAPACITOR:   SMD CER 0603 22uF 6.3V ±20% X5R (OEPS J30 009)   [GRM188R60J226MEA0D] [SMD]</v>
      </c>
      <c r="B95" s="4" t="str">
        <f>IFERROR(__xludf.DUMMYFUNCTION("""COMPUTED_VALUE"""),"OEPS010076")</f>
        <v>OEPS010076</v>
      </c>
      <c r="C95" s="4" t="str">
        <f>IFERROR(__xludf.DUMMYFUNCTION("""COMPUTED_VALUE"""),"SMD")</f>
        <v>SMD</v>
      </c>
      <c r="D95" s="4" t="str">
        <f>IFERROR(__xludf.DUMMYFUNCTION("""COMPUTED_VALUE"""),"GRM188R60J226MEA0D")</f>
        <v>GRM188R60J226MEA0D</v>
      </c>
      <c r="E95" s="4">
        <f>IFERROR(__xludf.DUMMYFUNCTION("""COMPUTED_VALUE"""),30.0)</f>
        <v>30</v>
      </c>
      <c r="F95" s="4" t="str">
        <f>IFERROR(__xludf.DUMMYFUNCTION("""COMPUTED_VALUE"""),"Digikey")</f>
        <v>Digikey</v>
      </c>
      <c r="G95" s="4" t="str">
        <f>IFERROR(__xludf.DUMMYFUNCTION("""COMPUTED_VALUE"""),"490-7611-6-ND")</f>
        <v>490-7611-6-ND</v>
      </c>
      <c r="H95" s="4"/>
      <c r="I95" s="4"/>
      <c r="J95" s="4"/>
      <c r="K95" s="4"/>
      <c r="L95" s="4"/>
      <c r="M95" s="4"/>
      <c r="N95" s="9" t="str">
        <f>IFERROR(__xludf.DUMMYFUNCTION("""COMPUTED_VALUE"""),"OEPS F01 079")</f>
        <v>OEPS F01 079</v>
      </c>
      <c r="O95" s="4" t="str">
        <f>IFERROR(__xludf.DUMMYFUNCTION("""COMPUTED_VALUE"""),"AS12CV")</f>
        <v>AS12CV</v>
      </c>
      <c r="P95" s="4" t="str">
        <f>IFERROR(__xludf.DUMMYFUNCTION("""COMPUTED_VALUE"""),"1 ")</f>
        <v>1 </v>
      </c>
      <c r="Q95" s="4">
        <f>IFERROR(__xludf.DUMMYFUNCTION("""COMPUTED_VALUE"""),1.0)</f>
        <v>1</v>
      </c>
      <c r="R95" s="4">
        <f>IFERROR(__xludf.DUMMYFUNCTION("""COMPUTED_VALUE"""),1.0)</f>
        <v>1</v>
      </c>
      <c r="S95" s="4" t="str">
        <f>IFERROR(__xludf.DUMMYFUNCTION("""COMPUTED_VALUE"""),"Bag")</f>
        <v>Bag</v>
      </c>
      <c r="T95" s="4" t="str">
        <f>IFERROR(__xludf.DUMMYFUNCTION("""COMPUTED_VALUE"""),"0421")</f>
        <v>0421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>
      <c r="A96" s="4" t="str">
        <f>IFERROR(__xludf.DUMMYFUNCTION("""COMPUTED_VALUE"""),"CAPACITOR:   SMD CER 0603 4.7nF 100V ±10% X7R   [885012206112] [SMD]")</f>
        <v>CAPACITOR:   SMD CER 0603 4.7nF 100V ±10% X7R   [885012206112] [SMD]</v>
      </c>
      <c r="B96" s="4" t="str">
        <f>IFERROR(__xludf.DUMMYFUNCTION("""COMPUTED_VALUE"""),"OEPS010014")</f>
        <v>OEPS010014</v>
      </c>
      <c r="C96" s="4" t="str">
        <f>IFERROR(__xludf.DUMMYFUNCTION("""COMPUTED_VALUE"""),"SMD")</f>
        <v>SMD</v>
      </c>
      <c r="D96" s="4" t="str">
        <f>IFERROR(__xludf.DUMMYFUNCTION("""COMPUTED_VALUE"""),"885012206112")</f>
        <v>885012206112</v>
      </c>
      <c r="E96" s="4">
        <f>IFERROR(__xludf.DUMMYFUNCTION("""COMPUTED_VALUE"""),20.0)</f>
        <v>20</v>
      </c>
      <c r="F96" s="4" t="str">
        <f>IFERROR(__xludf.DUMMYFUNCTION("""COMPUTED_VALUE"""),"DigiKey")</f>
        <v>DigiKey</v>
      </c>
      <c r="G96" s="4" t="str">
        <f>IFERROR(__xludf.DUMMYFUNCTION("""COMPUTED_VALUE"""),"732-12240-6-ND")</f>
        <v>732-12240-6-ND</v>
      </c>
      <c r="H96" s="4"/>
      <c r="I96" s="4"/>
      <c r="J96" s="4"/>
      <c r="K96" s="4"/>
      <c r="L96" s="4"/>
      <c r="M96" s="4"/>
      <c r="N96" s="9" t="str">
        <f>IFERROR(__xludf.DUMMYFUNCTION("""COMPUTED_VALUE"""),"OEPS F01 080")</f>
        <v>OEPS F01 080</v>
      </c>
      <c r="O96" s="4" t="str">
        <f>IFERROR(__xludf.DUMMYFUNCTION("""COMPUTED_VALUE"""),"100SP3T2B4M6RE")</f>
        <v>100SP3T2B4M6RE</v>
      </c>
      <c r="P96" s="4" t="str">
        <f>IFERROR(__xludf.DUMMYFUNCTION("""COMPUTED_VALUE"""),"1 ")</f>
        <v>1 </v>
      </c>
      <c r="Q96" s="4">
        <f>IFERROR(__xludf.DUMMYFUNCTION("""COMPUTED_VALUE"""),1.0)</f>
        <v>1</v>
      </c>
      <c r="R96" s="4">
        <f>IFERROR(__xludf.DUMMYFUNCTION("""COMPUTED_VALUE"""),1.0)</f>
        <v>1</v>
      </c>
      <c r="S96" s="4" t="str">
        <f>IFERROR(__xludf.DUMMYFUNCTION("""COMPUTED_VALUE"""),"Bag")</f>
        <v>Bag</v>
      </c>
      <c r="T96" s="4" t="str">
        <f>IFERROR(__xludf.DUMMYFUNCTION("""COMPUTED_VALUE"""),"0421")</f>
        <v>0421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>
      <c r="A97" s="4" t="str">
        <f>IFERROR(__xludf.DUMMYFUNCTION("""COMPUTED_VALUE"""),"CAPACITOR:   SMD CER 0603 4.7uF 16V ±10% X6S   [C1608X6S1C475K080AC] [SMD]")</f>
        <v>CAPACITOR:   SMD CER 0603 4.7uF 16V ±10% X6S   [C1608X6S1C475K080AC] [SMD]</v>
      </c>
      <c r="B97" s="4" t="str">
        <f>IFERROR(__xludf.DUMMYFUNCTION("""COMPUTED_VALUE"""),"OEPS010018")</f>
        <v>OEPS010018</v>
      </c>
      <c r="C97" s="4" t="str">
        <f>IFERROR(__xludf.DUMMYFUNCTION("""COMPUTED_VALUE"""),"SMD")</f>
        <v>SMD</v>
      </c>
      <c r="D97" s="4" t="str">
        <f>IFERROR(__xludf.DUMMYFUNCTION("""COMPUTED_VALUE"""),"C1608X6S1C475K080AC")</f>
        <v>C1608X6S1C475K080AC</v>
      </c>
      <c r="E97" s="4">
        <f>IFERROR(__xludf.DUMMYFUNCTION("""COMPUTED_VALUE"""),20.0)</f>
        <v>20</v>
      </c>
      <c r="F97" s="4" t="str">
        <f>IFERROR(__xludf.DUMMYFUNCTION("""COMPUTED_VALUE"""),"DigiKey")</f>
        <v>DigiKey</v>
      </c>
      <c r="G97" s="4" t="str">
        <f>IFERROR(__xludf.DUMMYFUNCTION("""COMPUTED_VALUE"""),"445-9118-6-ND")</f>
        <v>445-9118-6-ND</v>
      </c>
      <c r="H97" s="4"/>
      <c r="I97" s="4"/>
      <c r="J97" s="4"/>
      <c r="K97" s="4"/>
      <c r="L97" s="4"/>
      <c r="M97" s="4"/>
      <c r="N97" s="9" t="str">
        <f>IFERROR(__xludf.DUMMYFUNCTION("""COMPUTED_VALUE"""),"OEPS F01 082")</f>
        <v>OEPS F01 082</v>
      </c>
      <c r="O97" s="4" t="str">
        <f>IFERROR(__xludf.DUMMYFUNCTION("""COMPUTED_VALUE"""),"SSQ-102-03-G-S")</f>
        <v>SSQ-102-03-G-S</v>
      </c>
      <c r="P97" s="4" t="str">
        <f>IFERROR(__xludf.DUMMYFUNCTION("""COMPUTED_VALUE"""),"1 3 ")</f>
        <v>1 3 </v>
      </c>
      <c r="Q97" s="4">
        <f>IFERROR(__xludf.DUMMYFUNCTION("""COMPUTED_VALUE"""),4.0)</f>
        <v>4</v>
      </c>
      <c r="R97" s="4">
        <f>IFERROR(__xludf.DUMMYFUNCTION("""COMPUTED_VALUE"""),1.0)</f>
        <v>1</v>
      </c>
      <c r="S97" s="4" t="str">
        <f>IFERROR(__xludf.DUMMYFUNCTION("""COMPUTED_VALUE"""),"Bag")</f>
        <v>Bag</v>
      </c>
      <c r="T97" s="4" t="str">
        <f>IFERROR(__xludf.DUMMYFUNCTION("""COMPUTED_VALUE"""),"0421")</f>
        <v>0421</v>
      </c>
      <c r="U97" s="4">
        <f>IFERROR(__xludf.DUMMYFUNCTION("""COMPUTED_VALUE"""),3.0)</f>
        <v>3</v>
      </c>
      <c r="V97" s="4" t="str">
        <f>IFERROR(__xludf.DUMMYFUNCTION("""COMPUTED_VALUE"""),"Bag")</f>
        <v>Bag</v>
      </c>
      <c r="W97" s="4" t="str">
        <f>IFERROR(__xludf.DUMMYFUNCTION("""COMPUTED_VALUE"""),"N/A")</f>
        <v>N/A</v>
      </c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>
      <c r="A98" s="4" t="str">
        <f>IFERROR(__xludf.DUMMYFUNCTION("""COMPUTED_VALUE"""),"CAPACITOR:   SMD CER 0603 4.7uF 25V ±10% X5R (OEPS J05 009)   [GRM188R61E475KE11D] [SMD]")</f>
        <v>CAPACITOR:   SMD CER 0603 4.7uF 25V ±10% X5R (OEPS J05 009)   [GRM188R61E475KE11D] [SMD]</v>
      </c>
      <c r="B98" s="4" t="str">
        <f>IFERROR(__xludf.DUMMYFUNCTION("""COMPUTED_VALUE"""),"OEPS010047")</f>
        <v>OEPS010047</v>
      </c>
      <c r="C98" s="4" t="str">
        <f>IFERROR(__xludf.DUMMYFUNCTION("""COMPUTED_VALUE"""),"SMD")</f>
        <v>SMD</v>
      </c>
      <c r="D98" s="4" t="str">
        <f>IFERROR(__xludf.DUMMYFUNCTION("""COMPUTED_VALUE"""),"GRM188R61E475KE11D")</f>
        <v>GRM188R61E475KE11D</v>
      </c>
      <c r="E98" s="4">
        <f>IFERROR(__xludf.DUMMYFUNCTION("""COMPUTED_VALUE"""),30.0)</f>
        <v>30</v>
      </c>
      <c r="F98" s="4" t="str">
        <f>IFERROR(__xludf.DUMMYFUNCTION("""COMPUTED_VALUE"""),"DigiKey")</f>
        <v>DigiKey</v>
      </c>
      <c r="G98" s="4" t="str">
        <f>IFERROR(__xludf.DUMMYFUNCTION("""COMPUTED_VALUE"""),"490-7203-6-ND")</f>
        <v>490-7203-6-ND</v>
      </c>
      <c r="H98" s="4"/>
      <c r="I98" s="4"/>
      <c r="J98" s="4"/>
      <c r="K98" s="4"/>
      <c r="L98" s="4"/>
      <c r="M98" s="4"/>
      <c r="N98" s="9" t="str">
        <f>IFERROR(__xludf.DUMMYFUNCTION("""COMPUTED_VALUE"""),"OEPS F01 084")</f>
        <v>OEPS F01 084</v>
      </c>
      <c r="O98" s="4" t="str">
        <f>IFERROR(__xludf.DUMMYFUNCTION("""COMPUTED_VALUE"""),"ESR03EZPF4700")</f>
        <v>ESR03EZPF4700</v>
      </c>
      <c r="P98" s="4" t="str">
        <f>IFERROR(__xludf.DUMMYFUNCTION("""COMPUTED_VALUE"""),"14(R) ")</f>
        <v>14(R) </v>
      </c>
      <c r="Q98" s="4">
        <f>IFERROR(__xludf.DUMMYFUNCTION("""COMPUTED_VALUE"""),14.0)</f>
        <v>14</v>
      </c>
      <c r="R98" s="4">
        <f>IFERROR(__xludf.DUMMYFUNCTION("""COMPUTED_VALUE"""),14.0)</f>
        <v>14</v>
      </c>
      <c r="S98" s="4" t="str">
        <f>IFERROR(__xludf.DUMMYFUNCTION("""COMPUTED_VALUE"""),"Reel")</f>
        <v>Reel</v>
      </c>
      <c r="T98" s="4" t="str">
        <f>IFERROR(__xludf.DUMMYFUNCTION("""COMPUTED_VALUE"""),"0421")</f>
        <v>0421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>
      <c r="A99" s="4" t="str">
        <f>IFERROR(__xludf.DUMMYFUNCTION("""COMPUTED_VALUE"""),"CAPACITOR:   SMD CER 0603 47pF 50V ±5% C0G   [06035A470JAT2A] [SMD]")</f>
        <v>CAPACITOR:   SMD CER 0603 47pF 50V ±5% C0G   [06035A470JAT2A] [SMD]</v>
      </c>
      <c r="B99" s="4" t="str">
        <f>IFERROR(__xludf.DUMMYFUNCTION("""COMPUTED_VALUE"""),"OEPS010012")</f>
        <v>OEPS010012</v>
      </c>
      <c r="C99" s="4" t="str">
        <f>IFERROR(__xludf.DUMMYFUNCTION("""COMPUTED_VALUE"""),"SMD")</f>
        <v>SMD</v>
      </c>
      <c r="D99" s="4" t="str">
        <f>IFERROR(__xludf.DUMMYFUNCTION("""COMPUTED_VALUE"""),"06035A470JAT2A")</f>
        <v>06035A470JAT2A</v>
      </c>
      <c r="E99" s="4">
        <f>IFERROR(__xludf.DUMMYFUNCTION("""COMPUTED_VALUE"""),20.0)</f>
        <v>20</v>
      </c>
      <c r="F99" s="4" t="str">
        <f>IFERROR(__xludf.DUMMYFUNCTION("""COMPUTED_VALUE"""),"DigiKey")</f>
        <v>DigiKey</v>
      </c>
      <c r="G99" s="4" t="str">
        <f>IFERROR(__xludf.DUMMYFUNCTION("""COMPUTED_VALUE"""),"478-1171-6-ND")</f>
        <v>478-1171-6-ND</v>
      </c>
      <c r="H99" s="4"/>
      <c r="I99" s="4"/>
      <c r="J99" s="4"/>
      <c r="K99" s="4"/>
      <c r="L99" s="4"/>
      <c r="M99" s="4"/>
      <c r="N99" s="9" t="str">
        <f>IFERROR(__xludf.DUMMYFUNCTION("""COMPUTED_VALUE"""),"OEPS H02 002")</f>
        <v>OEPS H02 002</v>
      </c>
      <c r="O99" s="4" t="str">
        <f>IFERROR(__xludf.DUMMYFUNCTION("""COMPUTED_VALUE"""),"C0402C273K4RACTU")</f>
        <v>C0402C273K4RACTU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>
      <c r="A100" s="4" t="str">
        <f>IFERROR(__xludf.DUMMYFUNCTION("""COMPUTED_VALUE"""),"CAPACITOR:   SMD CER 0603 75pF 50V C0G   [0603N750J500CT] [SMD]")</f>
        <v>CAPACITOR:   SMD CER 0603 75pF 50V C0G   [0603N750J500CT] [SMD]</v>
      </c>
      <c r="B100" s="4" t="str">
        <f>IFERROR(__xludf.DUMMYFUNCTION("""COMPUTED_VALUE"""),"OEPS010070")</f>
        <v>OEPS010070</v>
      </c>
      <c r="C100" s="4" t="str">
        <f>IFERROR(__xludf.DUMMYFUNCTION("""COMPUTED_VALUE"""),"SMD")</f>
        <v>SMD</v>
      </c>
      <c r="D100" s="4" t="str">
        <f>IFERROR(__xludf.DUMMYFUNCTION("""COMPUTED_VALUE"""),"0603N750J500CT")</f>
        <v>0603N750J500CT</v>
      </c>
      <c r="E100" s="4">
        <f>IFERROR(__xludf.DUMMYFUNCTION("""COMPUTED_VALUE"""),30.0)</f>
        <v>30</v>
      </c>
      <c r="F100" s="4" t="str">
        <f>IFERROR(__xludf.DUMMYFUNCTION("""COMPUTED_VALUE"""),"Digikey")</f>
        <v>Digikey</v>
      </c>
      <c r="G100" s="4" t="str">
        <f>IFERROR(__xludf.DUMMYFUNCTION("""COMPUTED_VALUE"""),"1292-1545-6-ND")</f>
        <v>1292-1545-6-ND</v>
      </c>
      <c r="H100" s="4"/>
      <c r="I100" s="4"/>
      <c r="J100" s="4"/>
      <c r="K100" s="4"/>
      <c r="L100" s="4"/>
      <c r="M100" s="4"/>
      <c r="N100" s="9" t="str">
        <f>IFERROR(__xludf.DUMMYFUNCTION("""COMPUTED_VALUE"""),"OEPS H02 005A")</f>
        <v>OEPS H02 005A</v>
      </c>
      <c r="O100" s="4" t="str">
        <f>IFERROR(__xludf.DUMMYFUNCTION("""COMPUTED_VALUE"""),"RC0603FR-070RL")</f>
        <v>RC0603FR-070RL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>
      <c r="A101" s="4" t="str">
        <f>IFERROR(__xludf.DUMMYFUNCTION("""COMPUTED_VALUE"""),"CAPACITOR:   SMD CER 0805 100nF 100V ±10% X7R   [C2012X7R2A104K125AA] [SMD]")</f>
        <v>CAPACITOR:   SMD CER 0805 100nF 100V ±10% X7R   [C2012X7R2A104K125AA] [SMD]</v>
      </c>
      <c r="B101" s="4" t="str">
        <f>IFERROR(__xludf.DUMMYFUNCTION("""COMPUTED_VALUE"""),"OEPS010077")</f>
        <v>OEPS010077</v>
      </c>
      <c r="C101" s="4" t="str">
        <f>IFERROR(__xludf.DUMMYFUNCTION("""COMPUTED_VALUE"""),"SMD")</f>
        <v>SMD</v>
      </c>
      <c r="D101" s="4" t="str">
        <f>IFERROR(__xludf.DUMMYFUNCTION("""COMPUTED_VALUE"""),"C2012X7R2A104K125AA")</f>
        <v>C2012X7R2A104K125AA</v>
      </c>
      <c r="E101" s="4">
        <f>IFERROR(__xludf.DUMMYFUNCTION("""COMPUTED_VALUE"""),20.0)</f>
        <v>20</v>
      </c>
      <c r="F101" s="4" t="str">
        <f>IFERROR(__xludf.DUMMYFUNCTION("""COMPUTED_VALUE"""),"Digikey")</f>
        <v>Digikey</v>
      </c>
      <c r="G101" s="4" t="str">
        <f>IFERROR(__xludf.DUMMYFUNCTION("""COMPUTED_VALUE"""),"445-1418-6-ND")</f>
        <v>445-1418-6-ND</v>
      </c>
      <c r="H101" s="4"/>
      <c r="I101" s="4"/>
      <c r="J101" s="4"/>
      <c r="K101" s="4"/>
      <c r="L101" s="4"/>
      <c r="M101" s="4"/>
      <c r="N101" s="9" t="str">
        <f>IFERROR(__xludf.DUMMYFUNCTION("""COMPUTED_VALUE"""),"OEPS J05 004")</f>
        <v>OEPS J05 004</v>
      </c>
      <c r="O101" s="4" t="str">
        <f>IFERROR(__xludf.DUMMYFUNCTION("""COMPUTED_VALUE"""),"GRM033R61A225ME47D")</f>
        <v>GRM033R61A225ME47D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>
      <c r="A102" s="4" t="str">
        <f>IFERROR(__xludf.DUMMYFUNCTION("""COMPUTED_VALUE"""),"CAPACITOR:   SMD CER 0805 100pF 50V ±5% C0G   [CC0805JRNPO9BN101] [SMD]")</f>
        <v>CAPACITOR:   SMD CER 0805 100pF 50V ±5% C0G   [CC0805JRNPO9BN101] [SMD]</v>
      </c>
      <c r="B102" s="4" t="str">
        <f>IFERROR(__xludf.DUMMYFUNCTION("""COMPUTED_VALUE"""),"OEPS010082")</f>
        <v>OEPS010082</v>
      </c>
      <c r="C102" s="4" t="str">
        <f>IFERROR(__xludf.DUMMYFUNCTION("""COMPUTED_VALUE"""),"SMD")</f>
        <v>SMD</v>
      </c>
      <c r="D102" s="4" t="str">
        <f>IFERROR(__xludf.DUMMYFUNCTION("""COMPUTED_VALUE"""),"CC0805JRNPO9BN101")</f>
        <v>CC0805JRNPO9BN101</v>
      </c>
      <c r="E102" s="4">
        <f>IFERROR(__xludf.DUMMYFUNCTION("""COMPUTED_VALUE"""),30.0)</f>
        <v>30</v>
      </c>
      <c r="F102" s="4" t="str">
        <f>IFERROR(__xludf.DUMMYFUNCTION("""COMPUTED_VALUE"""),"Digikey")</f>
        <v>Digikey</v>
      </c>
      <c r="G102" s="4" t="str">
        <f>IFERROR(__xludf.DUMMYFUNCTION("""COMPUTED_VALUE"""),"311-1111-6-ND")</f>
        <v>311-1111-6-ND</v>
      </c>
      <c r="H102" s="4"/>
      <c r="I102" s="4"/>
      <c r="J102" s="4"/>
      <c r="K102" s="4"/>
      <c r="L102" s="4"/>
      <c r="M102" s="4"/>
      <c r="N102" s="9" t="str">
        <f>IFERROR(__xludf.DUMMYFUNCTION("""COMPUTED_VALUE"""),"OEPS J05 010A")</f>
        <v>OEPS J05 010A</v>
      </c>
      <c r="O102" s="4" t="str">
        <f>IFERROR(__xludf.DUMMYFUNCTION("""COMPUTED_VALUE"""),"C2012JB1A476M125AC")</f>
        <v>C2012JB1A476M125AC</v>
      </c>
      <c r="P102" s="4" t="str">
        <f>IFERROR(__xludf.DUMMYFUNCTION("""COMPUTED_VALUE"""),"142(R) ")</f>
        <v>142(R) </v>
      </c>
      <c r="Q102" s="4">
        <f>IFERROR(__xludf.DUMMYFUNCTION("""COMPUTED_VALUE"""),142.0)</f>
        <v>142</v>
      </c>
      <c r="R102" s="4">
        <f>IFERROR(__xludf.DUMMYFUNCTION("""COMPUTED_VALUE"""),142.0)</f>
        <v>142</v>
      </c>
      <c r="S102" s="4" t="str">
        <f>IFERROR(__xludf.DUMMYFUNCTION("""COMPUTED_VALUE"""),"Reel")</f>
        <v>Reel</v>
      </c>
      <c r="T102" s="4" t="str">
        <f>IFERROR(__xludf.DUMMYFUNCTION("""COMPUTED_VALUE"""),"0621")</f>
        <v>0621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>
      <c r="A103" s="4" t="str">
        <f>IFERROR(__xludf.DUMMYFUNCTION("""COMPUTED_VALUE"""),"CAPACITOR:   SMD CER 0805 10uF 25V ±10% X5R   [GRM21BR61E106KA73L] [SMD]")</f>
        <v>CAPACITOR:   SMD CER 0805 10uF 25V ±10% X5R   [GRM21BR61E106KA73L] [SMD]</v>
      </c>
      <c r="B103" s="4" t="str">
        <f>IFERROR(__xludf.DUMMYFUNCTION("""COMPUTED_VALUE"""),"OEPS010006")</f>
        <v>OEPS010006</v>
      </c>
      <c r="C103" s="4" t="str">
        <f>IFERROR(__xludf.DUMMYFUNCTION("""COMPUTED_VALUE"""),"SMD")</f>
        <v>SMD</v>
      </c>
      <c r="D103" s="4" t="str">
        <f>IFERROR(__xludf.DUMMYFUNCTION("""COMPUTED_VALUE"""),"GRM21BR61E106KA73L")</f>
        <v>GRM21BR61E106KA73L</v>
      </c>
      <c r="E103" s="4">
        <f>IFERROR(__xludf.DUMMYFUNCTION("""COMPUTED_VALUE"""),20.0)</f>
        <v>20</v>
      </c>
      <c r="F103" s="4" t="str">
        <f>IFERROR(__xludf.DUMMYFUNCTION("""COMPUTED_VALUE"""),"DigiKey")</f>
        <v>DigiKey</v>
      </c>
      <c r="G103" s="4" t="str">
        <f>IFERROR(__xludf.DUMMYFUNCTION("""COMPUTED_VALUE"""),"490-5523-6-ND")</f>
        <v>490-5523-6-ND</v>
      </c>
      <c r="H103" s="4"/>
      <c r="I103" s="4"/>
      <c r="J103" s="4"/>
      <c r="K103" s="4"/>
      <c r="L103" s="4"/>
      <c r="M103" s="4"/>
      <c r="N103" s="9" t="str">
        <f>IFERROR(__xludf.DUMMYFUNCTION("""COMPUTED_VALUE"""),"OEPS J05 014")</f>
        <v>OEPS J05 014</v>
      </c>
      <c r="O103" s="4" t="str">
        <f>IFERROR(__xludf.DUMMYFUNCTION("""COMPUTED_VALUE"""),"U.FL-R-SMT-1(10)")</f>
        <v>U.FL-R-SMT-1(10)</v>
      </c>
      <c r="P103" s="4" t="str">
        <f>IFERROR(__xludf.DUMMYFUNCTION("""COMPUTED_VALUE"""),"20(Tp) 6 509(R) ")</f>
        <v>20(Tp) 6 509(R) </v>
      </c>
      <c r="Q103" s="4">
        <f>IFERROR(__xludf.DUMMYFUNCTION("""COMPUTED_VALUE"""),535.0)</f>
        <v>535</v>
      </c>
      <c r="R103" s="4">
        <f>IFERROR(__xludf.DUMMYFUNCTION("""COMPUTED_VALUE"""),20.0)</f>
        <v>20</v>
      </c>
      <c r="S103" s="4" t="str">
        <f>IFERROR(__xludf.DUMMYFUNCTION("""COMPUTED_VALUE"""),"Tape")</f>
        <v>Tape</v>
      </c>
      <c r="T103" s="4" t="str">
        <f>IFERROR(__xludf.DUMMYFUNCTION("""COMPUTED_VALUE"""),"XXXX")</f>
        <v>XXXX</v>
      </c>
      <c r="U103" s="4">
        <f>IFERROR(__xludf.DUMMYFUNCTION("""COMPUTED_VALUE"""),6.0)</f>
        <v>6</v>
      </c>
      <c r="V103" s="4" t="str">
        <f>IFERROR(__xludf.DUMMYFUNCTION("""COMPUTED_VALUE"""),"Bag")</f>
        <v>Bag</v>
      </c>
      <c r="W103" s="4" t="str">
        <f>IFERROR(__xludf.DUMMYFUNCTION("""COMPUTED_VALUE"""),"XXXX")</f>
        <v>XXXX</v>
      </c>
      <c r="X103" s="4">
        <f>IFERROR(__xludf.DUMMYFUNCTION("""COMPUTED_VALUE"""),509.0)</f>
        <v>509</v>
      </c>
      <c r="Y103" s="4" t="str">
        <f>IFERROR(__xludf.DUMMYFUNCTION("""COMPUTED_VALUE"""),"Reel")</f>
        <v>Reel</v>
      </c>
      <c r="Z103" s="4" t="str">
        <f>IFERROR(__xludf.DUMMYFUNCTION("""COMPUTED_VALUE"""),"0822")</f>
        <v>0822</v>
      </c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>
      <c r="A104" s="4" t="str">
        <f>IFERROR(__xludf.DUMMYFUNCTION("""COMPUTED_VALUE"""),"CAPACITOR:   SMD CER 0805 15nF 50V ±10% X7R   [C0805C153K5RACTU] [SMD]")</f>
        <v>CAPACITOR:   SMD CER 0805 15nF 50V ±10% X7R   [C0805C153K5RACTU] [SMD]</v>
      </c>
      <c r="B104" s="4" t="str">
        <f>IFERROR(__xludf.DUMMYFUNCTION("""COMPUTED_VALUE"""),"OEPS010083")</f>
        <v>OEPS010083</v>
      </c>
      <c r="C104" s="4" t="str">
        <f>IFERROR(__xludf.DUMMYFUNCTION("""COMPUTED_VALUE"""),"SMD")</f>
        <v>SMD</v>
      </c>
      <c r="D104" s="4" t="str">
        <f>IFERROR(__xludf.DUMMYFUNCTION("""COMPUTED_VALUE"""),"C0805C153K5RACTU")</f>
        <v>C0805C153K5RACTU</v>
      </c>
      <c r="E104" s="4">
        <f>IFERROR(__xludf.DUMMYFUNCTION("""COMPUTED_VALUE"""),30.0)</f>
        <v>30</v>
      </c>
      <c r="F104" s="4" t="str">
        <f>IFERROR(__xludf.DUMMYFUNCTION("""COMPUTED_VALUE"""),"Digikey")</f>
        <v>Digikey</v>
      </c>
      <c r="G104" s="4" t="str">
        <f>IFERROR(__xludf.DUMMYFUNCTION("""COMPUTED_VALUE"""),"399-C0805C153K5RACTUDKR-ND")</f>
        <v>399-C0805C153K5RACTUDKR-ND</v>
      </c>
      <c r="H104" s="4"/>
      <c r="I104" s="4"/>
      <c r="J104" s="4"/>
      <c r="K104" s="4"/>
      <c r="L104" s="4"/>
      <c r="M104" s="4"/>
      <c r="N104" s="9" t="str">
        <f>IFERROR(__xludf.DUMMYFUNCTION("""COMPUTED_VALUE"""),"OEPS J05 015")</f>
        <v>OEPS J05 015</v>
      </c>
      <c r="O104" s="4" t="str">
        <f>IFERROR(__xludf.DUMMYFUNCTION("""COMPUTED_VALUE"""),"ADL3225V-470MT-TL000")</f>
        <v>ADL3225V-470MT-TL000</v>
      </c>
      <c r="P104" s="4" t="str">
        <f>IFERROR(__xludf.DUMMYFUNCTION("""COMPUTED_VALUE"""),"514(R) ")</f>
        <v>514(R) </v>
      </c>
      <c r="Q104" s="4">
        <f>IFERROR(__xludf.DUMMYFUNCTION("""COMPUTED_VALUE"""),514.0)</f>
        <v>514</v>
      </c>
      <c r="R104" s="4">
        <f>IFERROR(__xludf.DUMMYFUNCTION("""COMPUTED_VALUE"""),514.0)</f>
        <v>514</v>
      </c>
      <c r="S104" s="4" t="str">
        <f>IFERROR(__xludf.DUMMYFUNCTION("""COMPUTED_VALUE"""),"Reel")</f>
        <v>Reel</v>
      </c>
      <c r="T104" s="4" t="str">
        <f>IFERROR(__xludf.DUMMYFUNCTION("""COMPUTED_VALUE"""),"0822")</f>
        <v>0822</v>
      </c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>
      <c r="A105" s="4" t="str">
        <f>IFERROR(__xludf.DUMMYFUNCTION("""COMPUTED_VALUE"""),"CAPACITOR:   SMD CER 0805 1uF 25V ±10% X7R   [GCM21BR71E105KA56L] [SMD]")</f>
        <v>CAPACITOR:   SMD CER 0805 1uF 25V ±10% X7R   [GCM21BR71E105KA56L] [SMD]</v>
      </c>
      <c r="B105" s="4" t="str">
        <f>IFERROR(__xludf.DUMMYFUNCTION("""COMPUTED_VALUE"""),"OEPS010005")</f>
        <v>OEPS010005</v>
      </c>
      <c r="C105" s="4" t="str">
        <f>IFERROR(__xludf.DUMMYFUNCTION("""COMPUTED_VALUE"""),"SMD")</f>
        <v>SMD</v>
      </c>
      <c r="D105" s="4" t="str">
        <f>IFERROR(__xludf.DUMMYFUNCTION("""COMPUTED_VALUE"""),"GCM21BR71E105KA56L")</f>
        <v>GCM21BR71E105KA56L</v>
      </c>
      <c r="E105" s="4">
        <f>IFERROR(__xludf.DUMMYFUNCTION("""COMPUTED_VALUE"""),20.0)</f>
        <v>20</v>
      </c>
      <c r="F105" s="4" t="str">
        <f>IFERROR(__xludf.DUMMYFUNCTION("""COMPUTED_VALUE"""),"DigiKey")</f>
        <v>DigiKey</v>
      </c>
      <c r="G105" s="4" t="str">
        <f>IFERROR(__xludf.DUMMYFUNCTION("""COMPUTED_VALUE"""),"490-4785-6-ND")</f>
        <v>490-4785-6-ND</v>
      </c>
      <c r="H105" s="4"/>
      <c r="I105" s="4"/>
      <c r="J105" s="4"/>
      <c r="K105" s="4"/>
      <c r="L105" s="4"/>
      <c r="M105" s="4"/>
      <c r="N105" s="9" t="str">
        <f>IFERROR(__xludf.DUMMYFUNCTION("""COMPUTED_VALUE"""),"OEPS J05 019")</f>
        <v>OEPS J05 019</v>
      </c>
      <c r="O105" s="4" t="str">
        <f>IFERROR(__xludf.DUMMYFUNCTION("""COMPUTED_VALUE"""),"MMBT3904LP-7B")</f>
        <v>MMBT3904LP-7B</v>
      </c>
      <c r="P105" s="4" t="str">
        <f>IFERROR(__xludf.DUMMYFUNCTION("""COMPUTED_VALUE"""),"514(R) ")</f>
        <v>514(R) </v>
      </c>
      <c r="Q105" s="4">
        <f>IFERROR(__xludf.DUMMYFUNCTION("""COMPUTED_VALUE"""),514.0)</f>
        <v>514</v>
      </c>
      <c r="R105" s="4">
        <f>IFERROR(__xludf.DUMMYFUNCTION("""COMPUTED_VALUE"""),514.0)</f>
        <v>514</v>
      </c>
      <c r="S105" s="4" t="str">
        <f>IFERROR(__xludf.DUMMYFUNCTION("""COMPUTED_VALUE"""),"Reel")</f>
        <v>Reel</v>
      </c>
      <c r="T105" s="4" t="str">
        <f>IFERROR(__xludf.DUMMYFUNCTION("""COMPUTED_VALUE"""),"0822")</f>
        <v>0822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>
      <c r="A106" s="4" t="str">
        <f>IFERROR(__xludf.DUMMYFUNCTION("""COMPUTED_VALUE"""),"CAPACITOR:   SMD CER 0805 2.2uF 25V ±10% X7R   [GRM21BR71E225KE11L] [SMD]")</f>
        <v>CAPACITOR:   SMD CER 0805 2.2uF 25V ±10% X7R   [GRM21BR71E225KE11L] [SMD]</v>
      </c>
      <c r="B106" s="4" t="str">
        <f>IFERROR(__xludf.DUMMYFUNCTION("""COMPUTED_VALUE"""),"OEPS010088")</f>
        <v>OEPS010088</v>
      </c>
      <c r="C106" s="4" t="str">
        <f>IFERROR(__xludf.DUMMYFUNCTION("""COMPUTED_VALUE"""),"SMD")</f>
        <v>SMD</v>
      </c>
      <c r="D106" s="4" t="str">
        <f>IFERROR(__xludf.DUMMYFUNCTION("""COMPUTED_VALUE"""),"GRM21BR71E225KE11L")</f>
        <v>GRM21BR71E225KE11L</v>
      </c>
      <c r="E106" s="4">
        <f>IFERROR(__xludf.DUMMYFUNCTION("""COMPUTED_VALUE"""),20.0)</f>
        <v>20</v>
      </c>
      <c r="F106" s="4" t="str">
        <f>IFERROR(__xludf.DUMMYFUNCTION("""COMPUTED_VALUE"""),"Digikey")</f>
        <v>Digikey</v>
      </c>
      <c r="G106" s="4" t="str">
        <f>IFERROR(__xludf.DUMMYFUNCTION("""COMPUTED_VALUE"""),"490-14467-6-ND")</f>
        <v>490-14467-6-ND</v>
      </c>
      <c r="H106" s="4"/>
      <c r="I106" s="4"/>
      <c r="J106" s="4"/>
      <c r="K106" s="4"/>
      <c r="L106" s="4"/>
      <c r="M106" s="4"/>
      <c r="N106" s="9" t="str">
        <f>IFERROR(__xludf.DUMMYFUNCTION("""COMPUTED_VALUE"""),"OEPS J05 035")</f>
        <v>OEPS J05 035</v>
      </c>
      <c r="O106" s="4" t="str">
        <f>IFERROR(__xludf.DUMMYFUNCTION("""COMPUTED_VALUE"""),"SG-210STF 66.6667ML3")</f>
        <v>SG-210STF 66.6667ML3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>
      <c r="A107" s="4" t="str">
        <f>IFERROR(__xludf.DUMMYFUNCTION("""COMPUTED_VALUE"""),"CAPACITOR:   SMD CER 0805 4.7uF 50V ±10% X5R   [GRM21BR61H475KE51L] [SMD]")</f>
        <v>CAPACITOR:   SMD CER 0805 4.7uF 50V ±10% X5R   [GRM21BR61H475KE51L] [SMD]</v>
      </c>
      <c r="B107" s="4" t="str">
        <f>IFERROR(__xludf.DUMMYFUNCTION("""COMPUTED_VALUE"""),"OEPS010013")</f>
        <v>OEPS010013</v>
      </c>
      <c r="C107" s="4" t="str">
        <f>IFERROR(__xludf.DUMMYFUNCTION("""COMPUTED_VALUE"""),"SMD")</f>
        <v>SMD</v>
      </c>
      <c r="D107" s="4" t="str">
        <f>IFERROR(__xludf.DUMMYFUNCTION("""COMPUTED_VALUE"""),"GRM21BR61H475KE51L")</f>
        <v>GRM21BR61H475KE51L</v>
      </c>
      <c r="E107" s="4">
        <f>IFERROR(__xludf.DUMMYFUNCTION("""COMPUTED_VALUE"""),20.0)</f>
        <v>20</v>
      </c>
      <c r="F107" s="4" t="str">
        <f>IFERROR(__xludf.DUMMYFUNCTION("""COMPUTED_VALUE"""),"DigiKey")</f>
        <v>DigiKey</v>
      </c>
      <c r="G107" s="4" t="str">
        <f>IFERROR(__xludf.DUMMYFUNCTION("""COMPUTED_VALUE"""),"490-10751-6-ND")</f>
        <v>490-10751-6-ND</v>
      </c>
      <c r="H107" s="4"/>
      <c r="I107" s="4"/>
      <c r="J107" s="4"/>
      <c r="K107" s="4"/>
      <c r="L107" s="4"/>
      <c r="M107" s="4"/>
      <c r="N107" s="9" t="str">
        <f>IFERROR(__xludf.DUMMYFUNCTION("""COMPUTED_VALUE"""),"OEPS J05 052")</f>
        <v>OEPS J05 052</v>
      </c>
      <c r="O107" s="4" t="str">
        <f>IFERROR(__xludf.DUMMYFUNCTION("""COMPUTED_VALUE"""),"71010120A")</f>
        <v>71010120A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>
      <c r="A108" s="4" t="str">
        <f>IFERROR(__xludf.DUMMYFUNCTION("""COMPUTED_VALUE"""),"CAPACITOR:   SMD CER 0805 470nF 50V ±10% X7R   [CL21B474KBFNNNG] [SMD]")</f>
        <v>CAPACITOR:   SMD CER 0805 470nF 50V ±10% X7R   [CL21B474KBFNNNG] [SMD]</v>
      </c>
      <c r="B108" s="4" t="str">
        <f>IFERROR(__xludf.DUMMYFUNCTION("""COMPUTED_VALUE"""),"OEPS010099")</f>
        <v>OEPS010099</v>
      </c>
      <c r="C108" s="4" t="str">
        <f>IFERROR(__xludf.DUMMYFUNCTION("""COMPUTED_VALUE"""),"SMD")</f>
        <v>SMD</v>
      </c>
      <c r="D108" s="4" t="str">
        <f>IFERROR(__xludf.DUMMYFUNCTION("""COMPUTED_VALUE"""),"CL21B474KBFNNNG")</f>
        <v>CL21B474KBFNNNG</v>
      </c>
      <c r="E108" s="4">
        <f>IFERROR(__xludf.DUMMYFUNCTION("""COMPUTED_VALUE"""),20.0)</f>
        <v>20</v>
      </c>
      <c r="F108" s="4" t="str">
        <f>IFERROR(__xludf.DUMMYFUNCTION("""COMPUTED_VALUE"""),"Digikey")</f>
        <v>Digikey</v>
      </c>
      <c r="G108" s="4" t="str">
        <f>IFERROR(__xludf.DUMMYFUNCTION("""COMPUTED_VALUE"""),"1276-6482-6-ND")</f>
        <v>1276-6482-6-ND</v>
      </c>
      <c r="H108" s="4"/>
      <c r="I108" s="4"/>
      <c r="J108" s="4"/>
      <c r="K108" s="4"/>
      <c r="L108" s="4"/>
      <c r="M108" s="4"/>
      <c r="N108" s="9" t="str">
        <f>IFERROR(__xludf.DUMMYFUNCTION("""COMPUTED_VALUE"""),"OEPS J1 001")</f>
        <v>OEPS J1 001</v>
      </c>
      <c r="O108" s="4" t="str">
        <f>IFERROR(__xludf.DUMMYFUNCTION("""COMPUTED_VALUE"""),"GRM155R71C104KA88D")</f>
        <v>GRM155R71C104KA88D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>
      <c r="A109" s="4" t="str">
        <f>IFERROR(__xludf.DUMMYFUNCTION("""COMPUTED_VALUE"""),"CAPACITOR:   SMD CER 0805 47uF 10V ±20% X5R (OEPS J05 010)   [GRM21BR61A476ME15L] [SMD]")</f>
        <v>CAPACITOR:   SMD CER 0805 47uF 10V ±20% X5R (OEPS J05 010)   [GRM21BR61A476ME15L] [SMD]</v>
      </c>
      <c r="B109" s="4" t="str">
        <f>IFERROR(__xludf.DUMMYFUNCTION("""COMPUTED_VALUE"""),"OEPS010048")</f>
        <v>OEPS010048</v>
      </c>
      <c r="C109" s="4" t="str">
        <f>IFERROR(__xludf.DUMMYFUNCTION("""COMPUTED_VALUE"""),"SMD")</f>
        <v>SMD</v>
      </c>
      <c r="D109" s="4" t="str">
        <f>IFERROR(__xludf.DUMMYFUNCTION("""COMPUTED_VALUE"""),"GRM21BR61A476ME15L")</f>
        <v>GRM21BR61A476ME15L</v>
      </c>
      <c r="E109" s="4">
        <f>IFERROR(__xludf.DUMMYFUNCTION("""COMPUTED_VALUE"""),20.0)</f>
        <v>20</v>
      </c>
      <c r="F109" s="4" t="str">
        <f>IFERROR(__xludf.DUMMYFUNCTION("""COMPUTED_VALUE"""),"DigiKey")</f>
        <v>DigiKey</v>
      </c>
      <c r="G109" s="4" t="str">
        <f>IFERROR(__xludf.DUMMYFUNCTION("""COMPUTED_VALUE"""),"490-9961-6-ND")</f>
        <v>490-9961-6-ND</v>
      </c>
      <c r="H109" s="4"/>
      <c r="I109" s="4"/>
      <c r="J109" s="4"/>
      <c r="K109" s="4"/>
      <c r="L109" s="4"/>
      <c r="M109" s="4"/>
      <c r="N109" s="9" t="str">
        <f>IFERROR(__xludf.DUMMYFUNCTION("""COMPUTED_VALUE"""),"OEPS J1 002")</f>
        <v>OEPS J1 002</v>
      </c>
      <c r="O109" s="4" t="str">
        <f>IFERROR(__xludf.DUMMYFUNCTION("""COMPUTED_VALUE"""),"CL05A106MP5NUNC")</f>
        <v>CL05A106MP5NUNC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>
      <c r="A110" s="4" t="str">
        <f>IFERROR(__xludf.DUMMYFUNCTION("""COMPUTED_VALUE"""),"CAPACITOR:   SMD CER 1206 10uF 25V ±10% X7R   [GRM31CR71E106KA12L] [SMD]")</f>
        <v>CAPACITOR:   SMD CER 1206 10uF 25V ±10% X7R   [GRM31CR71E106KA12L] [SMD]</v>
      </c>
      <c r="B110" s="4" t="str">
        <f>IFERROR(__xludf.DUMMYFUNCTION("""COMPUTED_VALUE"""),"OEPS010007")</f>
        <v>OEPS010007</v>
      </c>
      <c r="C110" s="4" t="str">
        <f>IFERROR(__xludf.DUMMYFUNCTION("""COMPUTED_VALUE"""),"SMD")</f>
        <v>SMD</v>
      </c>
      <c r="D110" s="4" t="str">
        <f>IFERROR(__xludf.DUMMYFUNCTION("""COMPUTED_VALUE"""),"GRM31CR71E106KA12L")</f>
        <v>GRM31CR71E106KA12L</v>
      </c>
      <c r="E110" s="4">
        <f>IFERROR(__xludf.DUMMYFUNCTION("""COMPUTED_VALUE"""),15.0)</f>
        <v>15</v>
      </c>
      <c r="F110" s="4" t="str">
        <f>IFERROR(__xludf.DUMMYFUNCTION("""COMPUTED_VALUE"""),"DigiKey")</f>
        <v>DigiKey</v>
      </c>
      <c r="G110" s="4" t="str">
        <f>IFERROR(__xludf.DUMMYFUNCTION("""COMPUTED_VALUE"""),"490-6518-6-ND")</f>
        <v>490-6518-6-ND</v>
      </c>
      <c r="H110" s="4"/>
      <c r="I110" s="4"/>
      <c r="J110" s="4"/>
      <c r="K110" s="4"/>
      <c r="L110" s="4"/>
      <c r="M110" s="4"/>
      <c r="N110" s="9" t="str">
        <f>IFERROR(__xludf.DUMMYFUNCTION("""COMPUTED_VALUE"""),"OEPS J1 007")</f>
        <v>OEPS J1 007</v>
      </c>
      <c r="O110" s="4" t="str">
        <f>IFERROR(__xludf.DUMMYFUNCTION("""COMPUTED_VALUE"""),"LTST-C191KRKT")</f>
        <v>LTST-C191KRKT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>
      <c r="A111" s="4" t="str">
        <f>IFERROR(__xludf.DUMMYFUNCTION("""COMPUTED_VALUE"""),"CAPACITOR:   SMD CER 1206 10uF 35V ±10% X5R   [GRT319R6YA106KE01D] [SMD]")</f>
        <v>CAPACITOR:   SMD CER 1206 10uF 35V ±10% X5R   [GRT319R6YA106KE01D] [SMD]</v>
      </c>
      <c r="B111" s="4" t="str">
        <f>IFERROR(__xludf.DUMMYFUNCTION("""COMPUTED_VALUE"""),"OEPS010094")</f>
        <v>OEPS010094</v>
      </c>
      <c r="C111" s="4" t="str">
        <f>IFERROR(__xludf.DUMMYFUNCTION("""COMPUTED_VALUE"""),"SMD")</f>
        <v>SMD</v>
      </c>
      <c r="D111" s="4" t="str">
        <f>IFERROR(__xludf.DUMMYFUNCTION("""COMPUTED_VALUE"""),"GRT319R6YA106KE01D")</f>
        <v>GRT319R6YA106KE01D</v>
      </c>
      <c r="E111" s="4">
        <f>IFERROR(__xludf.DUMMYFUNCTION("""COMPUTED_VALUE"""),15.0)</f>
        <v>15</v>
      </c>
      <c r="F111" s="4" t="str">
        <f>IFERROR(__xludf.DUMMYFUNCTION("""COMPUTED_VALUE"""),"Digikey")</f>
        <v>Digikey</v>
      </c>
      <c r="G111" s="4" t="str">
        <f>IFERROR(__xludf.DUMMYFUNCTION("""COMPUTED_VALUE"""),"490-GRT319R6YA106KE01DDKR-ND")</f>
        <v>490-GRT319R6YA106KE01DDKR-ND</v>
      </c>
      <c r="H111" s="4"/>
      <c r="I111" s="4"/>
      <c r="J111" s="4"/>
      <c r="K111" s="4"/>
      <c r="L111" s="4"/>
      <c r="M111" s="4"/>
      <c r="N111" s="9" t="str">
        <f>IFERROR(__xludf.DUMMYFUNCTION("""COMPUTED_VALUE"""),"OEPS J1 008")</f>
        <v>OEPS J1 008</v>
      </c>
      <c r="O111" s="4" t="str">
        <f>IFERROR(__xludf.DUMMYFUNCTION("""COMPUTED_VALUE"""),"TSOP57438TT1")</f>
        <v>TSOP57438TT1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>
      <c r="A112" s="4" t="str">
        <f>IFERROR(__xludf.DUMMYFUNCTION("""COMPUTED_VALUE"""),"CAPACITOR:   SMD CER 1206 10uF 50V ±10% X7R   [CL31B106KBHNNNE] [SMD]")</f>
        <v>CAPACITOR:   SMD CER 1206 10uF 50V ±10% X7R   [CL31B106KBHNNNE] [SMD]</v>
      </c>
      <c r="B112" s="4" t="str">
        <f>IFERROR(__xludf.DUMMYFUNCTION("""COMPUTED_VALUE"""),"OEPS010032")</f>
        <v>OEPS010032</v>
      </c>
      <c r="C112" s="4" t="str">
        <f>IFERROR(__xludf.DUMMYFUNCTION("""COMPUTED_VALUE"""),"SMD")</f>
        <v>SMD</v>
      </c>
      <c r="D112" s="4" t="str">
        <f>IFERROR(__xludf.DUMMYFUNCTION("""COMPUTED_VALUE"""),"CL31B106KBHNNNE")</f>
        <v>CL31B106KBHNNNE</v>
      </c>
      <c r="E112" s="4">
        <f>IFERROR(__xludf.DUMMYFUNCTION("""COMPUTED_VALUE"""),15.0)</f>
        <v>15</v>
      </c>
      <c r="F112" s="4" t="str">
        <f>IFERROR(__xludf.DUMMYFUNCTION("""COMPUTED_VALUE"""),"DigiKey")</f>
        <v>DigiKey</v>
      </c>
      <c r="G112" s="4" t="str">
        <f>IFERROR(__xludf.DUMMYFUNCTION("""COMPUTED_VALUE"""),"1276-6767-6-ND")</f>
        <v>1276-6767-6-ND</v>
      </c>
      <c r="H112" s="4"/>
      <c r="I112" s="4"/>
      <c r="J112" s="4"/>
      <c r="K112" s="4"/>
      <c r="L112" s="4"/>
      <c r="M112" s="4"/>
      <c r="N112" s="9" t="str">
        <f>IFERROR(__xludf.DUMMYFUNCTION("""COMPUTED_VALUE"""),"OEPS J1 010")</f>
        <v>OEPS J1 010</v>
      </c>
      <c r="O112" s="4" t="str">
        <f>IFERROR(__xludf.DUMMYFUNCTION("""COMPUTED_VALUE"""),"BLM18PG471SN1D")</f>
        <v>BLM18PG471SN1D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>
      <c r="A113" s="4" t="str">
        <f>IFERROR(__xludf.DUMMYFUNCTION("""COMPUTED_VALUE"""),"CAPACITOR:   SMD CER 1206 1uF 50V ±10% X7R   [CL31B105KBHNFNE] [SMD]")</f>
        <v>CAPACITOR:   SMD CER 1206 1uF 50V ±10% X7R   [CL31B105KBHNFNE] [SMD]</v>
      </c>
      <c r="B113" s="4" t="str">
        <f>IFERROR(__xludf.DUMMYFUNCTION("""COMPUTED_VALUE"""),"OEPS010087")</f>
        <v>OEPS010087</v>
      </c>
      <c r="C113" s="4" t="str">
        <f>IFERROR(__xludf.DUMMYFUNCTION("""COMPUTED_VALUE"""),"SMD")</f>
        <v>SMD</v>
      </c>
      <c r="D113" s="4" t="str">
        <f>IFERROR(__xludf.DUMMYFUNCTION("""COMPUTED_VALUE"""),"CL31B105KBHNFNE")</f>
        <v>CL31B105KBHNFNE</v>
      </c>
      <c r="E113" s="4">
        <f>IFERROR(__xludf.DUMMYFUNCTION("""COMPUTED_VALUE"""),15.0)</f>
        <v>15</v>
      </c>
      <c r="F113" s="4" t="str">
        <f>IFERROR(__xludf.DUMMYFUNCTION("""COMPUTED_VALUE"""),"Digikey")</f>
        <v>Digikey</v>
      </c>
      <c r="G113" s="4" t="str">
        <f>IFERROR(__xludf.DUMMYFUNCTION("""COMPUTED_VALUE"""),"1276-3091-6-ND")</f>
        <v>1276-3091-6-ND</v>
      </c>
      <c r="H113" s="4"/>
      <c r="I113" s="4"/>
      <c r="J113" s="4"/>
      <c r="K113" s="4"/>
      <c r="L113" s="4"/>
      <c r="M113" s="4"/>
      <c r="N113" s="9" t="str">
        <f>IFERROR(__xludf.DUMMYFUNCTION("""COMPUTED_VALUE"""),"OEPS J1 011")</f>
        <v>OEPS J1 011</v>
      </c>
      <c r="O113" s="4" t="str">
        <f>IFERROR(__xludf.DUMMYFUNCTION("""COMPUTED_VALUE"""),"LQM2MPN2R2MG0L")</f>
        <v>LQM2MPN2R2MG0L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>
      <c r="A114" s="4" t="str">
        <f>IFERROR(__xludf.DUMMYFUNCTION("""COMPUTED_VALUE"""),"CAPACITOR:   SMD CER 1206 2.2nF 2000V ±20% X7R   [C1206C222MGRACTU] [SMD]")</f>
        <v>CAPACITOR:   SMD CER 1206 2.2nF 2000V ±20% X7R   [C1206C222MGRACTU] [SMD]</v>
      </c>
      <c r="B114" s="4" t="str">
        <f>IFERROR(__xludf.DUMMYFUNCTION("""COMPUTED_VALUE"""),"OEPS010092")</f>
        <v>OEPS010092</v>
      </c>
      <c r="C114" s="4" t="str">
        <f>IFERROR(__xludf.DUMMYFUNCTION("""COMPUTED_VALUE"""),"SMD")</f>
        <v>SMD</v>
      </c>
      <c r="D114" s="4" t="str">
        <f>IFERROR(__xludf.DUMMYFUNCTION("""COMPUTED_VALUE"""),"C1206C222MGRACTU")</f>
        <v>C1206C222MGRACTU</v>
      </c>
      <c r="E114" s="4">
        <f>IFERROR(__xludf.DUMMYFUNCTION("""COMPUTED_VALUE"""),15.0)</f>
        <v>15</v>
      </c>
      <c r="F114" s="4" t="str">
        <f>IFERROR(__xludf.DUMMYFUNCTION("""COMPUTED_VALUE"""),"Digikey")</f>
        <v>Digikey</v>
      </c>
      <c r="G114" s="4" t="str">
        <f>IFERROR(__xludf.DUMMYFUNCTION("""COMPUTED_VALUE"""),"399-13198-6-ND")</f>
        <v>399-13198-6-ND</v>
      </c>
      <c r="H114" s="4"/>
      <c r="I114" s="4"/>
      <c r="J114" s="4"/>
      <c r="K114" s="4"/>
      <c r="L114" s="4"/>
      <c r="M114" s="4"/>
      <c r="N114" s="9" t="str">
        <f>IFERROR(__xludf.DUMMYFUNCTION("""COMPUTED_VALUE"""),"OEPS J1 013")</f>
        <v>OEPS J1 013</v>
      </c>
      <c r="O114" s="4" t="str">
        <f>IFERROR(__xludf.DUMMYFUNCTION("""COMPUTED_VALUE"""),"ERJ-2RKF4871X")</f>
        <v>ERJ-2RKF4871X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>
      <c r="A115" s="4" t="str">
        <f>IFERROR(__xludf.DUMMYFUNCTION("""COMPUTED_VALUE"""),"CAPACITOR:   SMD CER 1206 22uF 10V ±10% X5R   [CL31A226KPHNNNE] [SMD]")</f>
        <v>CAPACITOR:   SMD CER 1206 22uF 10V ±10% X5R   [CL31A226KPHNNNE] [SMD]</v>
      </c>
      <c r="B115" s="4" t="str">
        <f>IFERROR(__xludf.DUMMYFUNCTION("""COMPUTED_VALUE"""),"OEPS010071")</f>
        <v>OEPS010071</v>
      </c>
      <c r="C115" s="4" t="str">
        <f>IFERROR(__xludf.DUMMYFUNCTION("""COMPUTED_VALUE"""),"SMD")</f>
        <v>SMD</v>
      </c>
      <c r="D115" s="4" t="str">
        <f>IFERROR(__xludf.DUMMYFUNCTION("""COMPUTED_VALUE"""),"CL31A226KPHNNNE")</f>
        <v>CL31A226KPHNNNE</v>
      </c>
      <c r="E115" s="4">
        <f>IFERROR(__xludf.DUMMYFUNCTION("""COMPUTED_VALUE"""),15.0)</f>
        <v>15</v>
      </c>
      <c r="F115" s="4" t="str">
        <f>IFERROR(__xludf.DUMMYFUNCTION("""COMPUTED_VALUE"""),"Digikey")</f>
        <v>Digikey</v>
      </c>
      <c r="G115" s="4" t="str">
        <f>IFERROR(__xludf.DUMMYFUNCTION("""COMPUTED_VALUE"""),"1276-1287-6-ND")</f>
        <v>1276-1287-6-ND</v>
      </c>
      <c r="H115" s="4"/>
      <c r="I115" s="4"/>
      <c r="J115" s="4"/>
      <c r="K115" s="4"/>
      <c r="L115" s="4"/>
      <c r="M115" s="4"/>
      <c r="N115" s="9" t="str">
        <f>IFERROR(__xludf.DUMMYFUNCTION("""COMPUTED_VALUE"""),"OEPS J1 014")</f>
        <v>OEPS J1 014</v>
      </c>
      <c r="O115" s="4" t="str">
        <f>IFERROR(__xludf.DUMMYFUNCTION("""COMPUTED_VALUE"""),"ERJ-2RKF4990X")</f>
        <v>ERJ-2RKF4990X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>
      <c r="A116" s="4" t="str">
        <f>IFERROR(__xludf.DUMMYFUNCTION("""COMPUTED_VALUE"""),"CAPACITOR:   SMD CER 1206 22uF 25V ±20% X5R   [TMK316BBJ226ML-T] [SMD]")</f>
        <v>CAPACITOR:   SMD CER 1206 22uF 25V ±20% X5R   [TMK316BBJ226ML-T] [SMD]</v>
      </c>
      <c r="B116" s="4" t="str">
        <f>IFERROR(__xludf.DUMMYFUNCTION("""COMPUTED_VALUE"""),"OEPS010098")</f>
        <v>OEPS010098</v>
      </c>
      <c r="C116" s="4" t="str">
        <f>IFERROR(__xludf.DUMMYFUNCTION("""COMPUTED_VALUE"""),"SMD")</f>
        <v>SMD</v>
      </c>
      <c r="D116" s="4" t="str">
        <f>IFERROR(__xludf.DUMMYFUNCTION("""COMPUTED_VALUE"""),"TMK316BBJ226ML-T")</f>
        <v>TMK316BBJ226ML-T</v>
      </c>
      <c r="E116" s="4">
        <f>IFERROR(__xludf.DUMMYFUNCTION("""COMPUTED_VALUE"""),15.0)</f>
        <v>15</v>
      </c>
      <c r="F116" s="4" t="str">
        <f>IFERROR(__xludf.DUMMYFUNCTION("""COMPUTED_VALUE"""),"Digikey")</f>
        <v>Digikey</v>
      </c>
      <c r="G116" s="4" t="str">
        <f>IFERROR(__xludf.DUMMYFUNCTION("""COMPUTED_VALUE"""),"587-3246-6-ND")</f>
        <v>587-3246-6-ND</v>
      </c>
      <c r="H116" s="4"/>
      <c r="I116" s="4"/>
      <c r="J116" s="4"/>
      <c r="K116" s="4"/>
      <c r="L116" s="4"/>
      <c r="M116" s="4"/>
      <c r="N116" s="9" t="str">
        <f>IFERROR(__xludf.DUMMYFUNCTION("""COMPUTED_VALUE"""),"OEPS J1 015")</f>
        <v>OEPS J1 015</v>
      </c>
      <c r="O116" s="4" t="str">
        <f>IFERROR(__xludf.DUMMYFUNCTION("""COMPUTED_VALUE"""),"ERJ-2RKF1003X")</f>
        <v>ERJ-2RKF1003X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>
      <c r="A117" s="4" t="str">
        <f>IFERROR(__xludf.DUMMYFUNCTION("""COMPUTED_VALUE"""),"CAPACITOR:   SMD CER 1206 4.7uF 16V ±10% X7R   [CL31B475KOHNNNE] [SMD]")</f>
        <v>CAPACITOR:   SMD CER 1206 4.7uF 16V ±10% X7R   [CL31B475KOHNNNE] [SMD]</v>
      </c>
      <c r="B117" s="4" t="str">
        <f>IFERROR(__xludf.DUMMYFUNCTION("""COMPUTED_VALUE"""),"OEPS010081")</f>
        <v>OEPS010081</v>
      </c>
      <c r="C117" s="4" t="str">
        <f>IFERROR(__xludf.DUMMYFUNCTION("""COMPUTED_VALUE"""),"SMD")</f>
        <v>SMD</v>
      </c>
      <c r="D117" s="4" t="str">
        <f>IFERROR(__xludf.DUMMYFUNCTION("""COMPUTED_VALUE"""),"CL31B475KOHNNNE")</f>
        <v>CL31B475KOHNNNE</v>
      </c>
      <c r="E117" s="4">
        <f>IFERROR(__xludf.DUMMYFUNCTION("""COMPUTED_VALUE"""),15.0)</f>
        <v>15</v>
      </c>
      <c r="F117" s="4" t="str">
        <f>IFERROR(__xludf.DUMMYFUNCTION("""COMPUTED_VALUE"""),"Digikey")</f>
        <v>Digikey</v>
      </c>
      <c r="G117" s="4" t="str">
        <f>IFERROR(__xludf.DUMMYFUNCTION("""COMPUTED_VALUE"""),"1276-3182-6-ND")</f>
        <v>1276-3182-6-ND</v>
      </c>
      <c r="H117" s="4"/>
      <c r="I117" s="4"/>
      <c r="J117" s="4"/>
      <c r="K117" s="4"/>
      <c r="L117" s="4"/>
      <c r="M117" s="4"/>
      <c r="N117" s="9" t="str">
        <f>IFERROR(__xludf.DUMMYFUNCTION("""COMPUTED_VALUE"""),"OEPS J1 016")</f>
        <v>OEPS J1 016</v>
      </c>
      <c r="O117" s="4" t="str">
        <f>IFERROR(__xludf.DUMMYFUNCTION("""COMPUTED_VALUE"""),"ERJ-2RKF1001X")</f>
        <v>ERJ-2RKF1001X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>
      <c r="A118" s="4" t="str">
        <f>IFERROR(__xludf.DUMMYFUNCTION("""COMPUTED_VALUE"""),"CAPACITOR:   SMD CER 1210 100nF 500V ±10% X7R   [C1210C104KCRACTU] [SMD]")</f>
        <v>CAPACITOR:   SMD CER 1210 100nF 500V ±10% X7R   [C1210C104KCRACTU] [SMD]</v>
      </c>
      <c r="B118" s="4" t="str">
        <f>IFERROR(__xludf.DUMMYFUNCTION("""COMPUTED_VALUE"""),"OEPS010091")</f>
        <v>OEPS010091</v>
      </c>
      <c r="C118" s="4" t="str">
        <f>IFERROR(__xludf.DUMMYFUNCTION("""COMPUTED_VALUE"""),"SMD")</f>
        <v>SMD</v>
      </c>
      <c r="D118" s="4" t="str">
        <f>IFERROR(__xludf.DUMMYFUNCTION("""COMPUTED_VALUE"""),"C1210C104KCRACTU")</f>
        <v>C1210C104KCRACTU</v>
      </c>
      <c r="E118" s="4">
        <f>IFERROR(__xludf.DUMMYFUNCTION("""COMPUTED_VALUE"""),15.0)</f>
        <v>15</v>
      </c>
      <c r="F118" s="4" t="str">
        <f>IFERROR(__xludf.DUMMYFUNCTION("""COMPUTED_VALUE"""),"Digikey")</f>
        <v>Digikey</v>
      </c>
      <c r="G118" s="4" t="str">
        <f>IFERROR(__xludf.DUMMYFUNCTION("""COMPUTED_VALUE"""),"399-C1210C104KCRACTUDKR-ND")</f>
        <v>399-C1210C104KCRACTUDKR-ND</v>
      </c>
      <c r="H118" s="4"/>
      <c r="I118" s="4"/>
      <c r="J118" s="4"/>
      <c r="K118" s="4"/>
      <c r="L118" s="4"/>
      <c r="M118" s="4"/>
      <c r="N118" s="9" t="str">
        <f>IFERROR(__xludf.DUMMYFUNCTION("""COMPUTED_VALUE"""),"OEPS J1 018")</f>
        <v>OEPS J1 018</v>
      </c>
      <c r="O118" s="4" t="str">
        <f>IFERROR(__xludf.DUMMYFUNCTION("""COMPUTED_VALUE"""),"ERJ-2RKF8251X")</f>
        <v>ERJ-2RKF8251X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>
      <c r="A119" s="4" t="str">
        <f>IFERROR(__xludf.DUMMYFUNCTION("""COMPUTED_VALUE"""),"CAPACITOR:   SMD CER 1210 10uF 25V ±10% X7R   [GRM31CR71E106KA12L] [SMD]")</f>
        <v>CAPACITOR:   SMD CER 1210 10uF 25V ±10% X7R   [GRM31CR71E106KA12L] [SMD]</v>
      </c>
      <c r="B119" s="4" t="str">
        <f>IFERROR(__xludf.DUMMYFUNCTION("""COMPUTED_VALUE"""),"OEPS010010")</f>
        <v>OEPS010010</v>
      </c>
      <c r="C119" s="4" t="str">
        <f>IFERROR(__xludf.DUMMYFUNCTION("""COMPUTED_VALUE"""),"SMD")</f>
        <v>SMD</v>
      </c>
      <c r="D119" s="4" t="str">
        <f>IFERROR(__xludf.DUMMYFUNCTION("""COMPUTED_VALUE"""),"GRM31CR71E106KA12L")</f>
        <v>GRM31CR71E106KA12L</v>
      </c>
      <c r="E119" s="4">
        <f>IFERROR(__xludf.DUMMYFUNCTION("""COMPUTED_VALUE"""),15.0)</f>
        <v>15</v>
      </c>
      <c r="F119" s="4" t="str">
        <f>IFERROR(__xludf.DUMMYFUNCTION("""COMPUTED_VALUE"""),"DigiKey")</f>
        <v>DigiKey</v>
      </c>
      <c r="G119" s="4" t="str">
        <f>IFERROR(__xludf.DUMMYFUNCTION("""COMPUTED_VALUE"""),"490-1867-6-ND")</f>
        <v>490-1867-6-ND</v>
      </c>
      <c r="H119" s="4"/>
      <c r="I119" s="4"/>
      <c r="J119" s="4"/>
      <c r="K119" s="4"/>
      <c r="L119" s="4"/>
      <c r="M119" s="4"/>
      <c r="N119" s="9" t="str">
        <f>IFERROR(__xludf.DUMMYFUNCTION("""COMPUTED_VALUE"""),"OEPS J1 023")</f>
        <v>OEPS J1 023</v>
      </c>
      <c r="O119" s="4" t="str">
        <f>IFERROR(__xludf.DUMMYFUNCTION("""COMPUTED_VALUE"""),"TXS0206AYFPR")</f>
        <v>TXS0206AYFPR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>
      <c r="A120" s="4" t="str">
        <f>IFERROR(__xludf.DUMMYFUNCTION("""COMPUTED_VALUE"""),"CAPACITOR:   SMD CER 1210 47uF 25V ±20% X5R   [TMK325ABJ476MM-T] [SMD]")</f>
        <v>CAPACITOR:   SMD CER 1210 47uF 25V ±20% X5R   [TMK325ABJ476MM-T] [SMD]</v>
      </c>
      <c r="B120" s="4" t="str">
        <f>IFERROR(__xludf.DUMMYFUNCTION("""COMPUTED_VALUE"""),"OEPS010008")</f>
        <v>OEPS010008</v>
      </c>
      <c r="C120" s="4" t="str">
        <f>IFERROR(__xludf.DUMMYFUNCTION("""COMPUTED_VALUE"""),"SMD")</f>
        <v>SMD</v>
      </c>
      <c r="D120" s="4" t="str">
        <f>IFERROR(__xludf.DUMMYFUNCTION("""COMPUTED_VALUE"""),"TMK325ABJ476MM-T")</f>
        <v>TMK325ABJ476MM-T</v>
      </c>
      <c r="E120" s="4">
        <f>IFERROR(__xludf.DUMMYFUNCTION("""COMPUTED_VALUE"""),10.0)</f>
        <v>10</v>
      </c>
      <c r="F120" s="4" t="str">
        <f>IFERROR(__xludf.DUMMYFUNCTION("""COMPUTED_VALUE"""),"DigiKey")</f>
        <v>DigiKey</v>
      </c>
      <c r="G120" s="4" t="str">
        <f>IFERROR(__xludf.DUMMYFUNCTION("""COMPUTED_VALUE"""),"587-6156-6-ND")</f>
        <v>587-6156-6-ND</v>
      </c>
      <c r="H120" s="4"/>
      <c r="I120" s="4"/>
      <c r="J120" s="4"/>
      <c r="K120" s="4"/>
      <c r="L120" s="4"/>
      <c r="M120" s="4"/>
      <c r="N120" s="9" t="str">
        <f>IFERROR(__xludf.DUMMYFUNCTION("""COMPUTED_VALUE"""),"OEPS J30 001")</f>
        <v>OEPS J30 001</v>
      </c>
      <c r="O120" s="4" t="str">
        <f>IFERROR(__xludf.DUMMYFUNCTION("""COMPUTED_VALUE"""),"06035C103K")</f>
        <v>06035C103K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>
      <c r="A121" s="4" t="str">
        <f>IFERROR(__xludf.DUMMYFUNCTION("""COMPUTED_VALUE"""),"CAPACITOR:   TH ALUM ELEC 100µF 100V ± 20% RADIAL   [EEU-FR2A101] [TH]")</f>
        <v>CAPACITOR:   TH ALUM ELEC 100µF 100V ± 20% RADIAL   [EEU-FR2A101] [TH]</v>
      </c>
      <c r="B121" s="4" t="str">
        <f>IFERROR(__xludf.DUMMYFUNCTION("""COMPUTED_VALUE"""),"OEPS010057")</f>
        <v>OEPS010057</v>
      </c>
      <c r="C121" s="4" t="str">
        <f>IFERROR(__xludf.DUMMYFUNCTION("""COMPUTED_VALUE"""),"TH")</f>
        <v>TH</v>
      </c>
      <c r="D121" s="4" t="str">
        <f>IFERROR(__xludf.DUMMYFUNCTION("""COMPUTED_VALUE"""),"EEU-FR2A101")</f>
        <v>EEU-FR2A101</v>
      </c>
      <c r="E121" s="4">
        <f>IFERROR(__xludf.DUMMYFUNCTION("""COMPUTED_VALUE"""),1.0)</f>
        <v>1</v>
      </c>
      <c r="F121" s="4" t="str">
        <f>IFERROR(__xludf.DUMMYFUNCTION("""COMPUTED_VALUE"""),"DigiKey")</f>
        <v>DigiKey</v>
      </c>
      <c r="G121" s="4" t="str">
        <f>IFERROR(__xludf.DUMMYFUNCTION("""COMPUTED_VALUE"""),"P124237-ND")</f>
        <v>P124237-ND</v>
      </c>
      <c r="H121" s="4"/>
      <c r="I121" s="4"/>
      <c r="J121" s="4"/>
      <c r="K121" s="4"/>
      <c r="L121" s="4"/>
      <c r="M121" s="4"/>
      <c r="N121" s="9" t="str">
        <f>IFERROR(__xludf.DUMMYFUNCTION("""COMPUTED_VALUE"""),"OEPS J30 002")</f>
        <v>OEPS J30 002</v>
      </c>
      <c r="O121" s="4" t="str">
        <f>IFERROR(__xludf.DUMMYFUNCTION("""COMPUTED_VALUE"""),"GRM155R71E473KA88D")</f>
        <v>GRM155R71E473KA88D</v>
      </c>
      <c r="P121" s="4" t="str">
        <f>IFERROR(__xludf.DUMMYFUNCTION("""COMPUTED_VALUE"""),"35(R) ")</f>
        <v>35(R) </v>
      </c>
      <c r="Q121" s="4">
        <f>IFERROR(__xludf.DUMMYFUNCTION("""COMPUTED_VALUE"""),35.0)</f>
        <v>35</v>
      </c>
      <c r="R121" s="4">
        <f>IFERROR(__xludf.DUMMYFUNCTION("""COMPUTED_VALUE"""),35.0)</f>
        <v>35</v>
      </c>
      <c r="S121" s="4" t="str">
        <f>IFERROR(__xludf.DUMMYFUNCTION("""COMPUTED_VALUE"""),"Reel")</f>
        <v>Reel</v>
      </c>
      <c r="T121" s="4" t="str">
        <f>IFERROR(__xludf.DUMMYFUNCTION("""COMPUTED_VALUE"""),"0421")</f>
        <v>0421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>
      <c r="A122" s="4" t="str">
        <f>IFERROR(__xludf.DUMMYFUNCTION("""COMPUTED_VALUE"""),"CAPACITOR:   TH ALUM ELEC 100µF 25V ± 20% RADIAL   [ESK107M025AE3EA] [TH]")</f>
        <v>CAPACITOR:   TH ALUM ELEC 100µF 25V ± 20% RADIAL   [ESK107M025AE3EA] [TH]</v>
      </c>
      <c r="B122" s="4" t="str">
        <f>IFERROR(__xludf.DUMMYFUNCTION("""COMPUTED_VALUE"""),"OEPS010028")</f>
        <v>OEPS010028</v>
      </c>
      <c r="C122" s="4" t="str">
        <f>IFERROR(__xludf.DUMMYFUNCTION("""COMPUTED_VALUE"""),"TH")</f>
        <v>TH</v>
      </c>
      <c r="D122" s="4" t="str">
        <f>IFERROR(__xludf.DUMMYFUNCTION("""COMPUTED_VALUE"""),"ESK107M025AE3EA")</f>
        <v>ESK107M025AE3EA</v>
      </c>
      <c r="E122" s="4">
        <f>IFERROR(__xludf.DUMMYFUNCTION("""COMPUTED_VALUE"""),1.0)</f>
        <v>1</v>
      </c>
      <c r="F122" s="4" t="str">
        <f>IFERROR(__xludf.DUMMYFUNCTION("""COMPUTED_VALUE"""),"Farnell")</f>
        <v>Farnell</v>
      </c>
      <c r="G122" s="4" t="str">
        <f>IFERROR(__xludf.DUMMYFUNCTION("""COMPUTED_VALUE"""),"2835182")</f>
        <v>2835182</v>
      </c>
      <c r="H122" s="4"/>
      <c r="I122" s="4"/>
      <c r="J122" s="4"/>
      <c r="K122" s="4"/>
      <c r="L122" s="4"/>
      <c r="M122" s="4"/>
      <c r="N122" s="9" t="str">
        <f>IFERROR(__xludf.DUMMYFUNCTION("""COMPUTED_VALUE"""),"OEPS J30 003")</f>
        <v>OEPS J30 003</v>
      </c>
      <c r="O122" s="4" t="str">
        <f>IFERROR(__xludf.DUMMYFUNCTION("""COMPUTED_VALUE"""),"GRM155R71C104KA88")</f>
        <v>GRM155R71C104KA88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>
      <c r="A123" s="4" t="str">
        <f>IFERROR(__xludf.DUMMYFUNCTION("""COMPUTED_VALUE"""),"CAPACITOR:   TH ALUM ELEC 10µF 35V ± 20% RADIAL   [MCRH35V106M5X11] [TH]")</f>
        <v>CAPACITOR:   TH ALUM ELEC 10µF 35V ± 20% RADIAL   [MCRH35V106M5X11] [TH]</v>
      </c>
      <c r="B123" s="4" t="str">
        <f>IFERROR(__xludf.DUMMYFUNCTION("""COMPUTED_VALUE"""),"OEPS010027")</f>
        <v>OEPS010027</v>
      </c>
      <c r="C123" s="4" t="str">
        <f>IFERROR(__xludf.DUMMYFUNCTION("""COMPUTED_VALUE"""),"TH")</f>
        <v>TH</v>
      </c>
      <c r="D123" s="4" t="str">
        <f>IFERROR(__xludf.DUMMYFUNCTION("""COMPUTED_VALUE"""),"MCRH35V106M5X11")</f>
        <v>MCRH35V106M5X11</v>
      </c>
      <c r="E123" s="4">
        <f>IFERROR(__xludf.DUMMYFUNCTION("""COMPUTED_VALUE"""),1.0)</f>
        <v>1</v>
      </c>
      <c r="F123" s="4" t="str">
        <f>IFERROR(__xludf.DUMMYFUNCTION("""COMPUTED_VALUE"""),"Farnell")</f>
        <v>Farnell</v>
      </c>
      <c r="G123" s="4" t="str">
        <f>IFERROR(__xludf.DUMMYFUNCTION("""COMPUTED_VALUE"""),"9451900")</f>
        <v>9451900</v>
      </c>
      <c r="H123" s="4"/>
      <c r="I123" s="4"/>
      <c r="J123" s="4"/>
      <c r="K123" s="4"/>
      <c r="L123" s="4"/>
      <c r="M123" s="4"/>
      <c r="N123" s="9" t="str">
        <f>IFERROR(__xludf.DUMMYFUNCTION("""COMPUTED_VALUE"""),"OEPS J30 004")</f>
        <v>OEPS J30 004</v>
      </c>
      <c r="O123" s="4" t="str">
        <f>IFERROR(__xludf.DUMMYFUNCTION("""COMPUTED_VALUE"""),"06035C104KAT2A")</f>
        <v>06035C104KAT2A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>
      <c r="A124" s="4" t="str">
        <f>IFERROR(__xludf.DUMMYFUNCTION("""COMPUTED_VALUE"""),"CAPACITOR:   TH CER 100nF 50V X7R RADIAL   [C322C104K5R5TA] [TH]")</f>
        <v>CAPACITOR:   TH CER 100nF 50V X7R RADIAL   [C322C104K5R5TA] [TH]</v>
      </c>
      <c r="B124" s="4" t="str">
        <f>IFERROR(__xludf.DUMMYFUNCTION("""COMPUTED_VALUE"""),"OEPS010026")</f>
        <v>OEPS010026</v>
      </c>
      <c r="C124" s="4" t="str">
        <f>IFERROR(__xludf.DUMMYFUNCTION("""COMPUTED_VALUE"""),"TH")</f>
        <v>TH</v>
      </c>
      <c r="D124" s="4" t="str">
        <f>IFERROR(__xludf.DUMMYFUNCTION("""COMPUTED_VALUE"""),"C322C104K5R5TA")</f>
        <v>C322C104K5R5TA</v>
      </c>
      <c r="E124" s="4">
        <f>IFERROR(__xludf.DUMMYFUNCTION("""COMPUTED_VALUE"""),1.0)</f>
        <v>1</v>
      </c>
      <c r="F124" s="4" t="str">
        <f>IFERROR(__xludf.DUMMYFUNCTION("""COMPUTED_VALUE"""),"DigiKey")</f>
        <v>DigiKey</v>
      </c>
      <c r="G124" s="4" t="str">
        <f>IFERROR(__xludf.DUMMYFUNCTION("""COMPUTED_VALUE"""),"399-4329-ND")</f>
        <v>399-4329-ND</v>
      </c>
      <c r="H124" s="4"/>
      <c r="I124" s="4"/>
      <c r="J124" s="4"/>
      <c r="K124" s="4"/>
      <c r="L124" s="4"/>
      <c r="M124" s="4"/>
      <c r="N124" s="9" t="str">
        <f>IFERROR(__xludf.DUMMYFUNCTION("""COMPUTED_VALUE"""),"OEPS J30 005")</f>
        <v>OEPS J30 005</v>
      </c>
      <c r="O124" s="4" t="str">
        <f>IFERROR(__xludf.DUMMYFUNCTION("""COMPUTED_VALUE"""),"GRM39R105K10")</f>
        <v>GRM39R105K10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>
      <c r="A125" s="4" t="str">
        <f>IFERROR(__xludf.DUMMYFUNCTION("""COMPUTED_VALUE"""),"CAPACITOR:   TH CER 1nF 100V X7R RADIAL   [K102K15X7RH53L2] [TH]")</f>
        <v>CAPACITOR:   TH CER 1nF 100V X7R RADIAL   [K102K15X7RH53L2] [TH]</v>
      </c>
      <c r="B125" s="4" t="str">
        <f>IFERROR(__xludf.DUMMYFUNCTION("""COMPUTED_VALUE"""),"OEPS010025")</f>
        <v>OEPS010025</v>
      </c>
      <c r="C125" s="4" t="str">
        <f>IFERROR(__xludf.DUMMYFUNCTION("""COMPUTED_VALUE"""),"TH")</f>
        <v>TH</v>
      </c>
      <c r="D125" s="4" t="str">
        <f>IFERROR(__xludf.DUMMYFUNCTION("""COMPUTED_VALUE"""),"K102K15X7RH53L2")</f>
        <v>K102K15X7RH53L2</v>
      </c>
      <c r="E125" s="4">
        <f>IFERROR(__xludf.DUMMYFUNCTION("""COMPUTED_VALUE"""),1.0)</f>
        <v>1</v>
      </c>
      <c r="F125" s="4" t="str">
        <f>IFERROR(__xludf.DUMMYFUNCTION("""COMPUTED_VALUE"""),"DigiKey")</f>
        <v>DigiKey</v>
      </c>
      <c r="G125" s="4" t="str">
        <f>IFERROR(__xludf.DUMMYFUNCTION("""COMPUTED_VALUE"""),"K102K15X7RH53L2-ND")</f>
        <v>K102K15X7RH53L2-ND</v>
      </c>
      <c r="H125" s="4"/>
      <c r="I125" s="4"/>
      <c r="J125" s="4"/>
      <c r="K125" s="4"/>
      <c r="L125" s="4"/>
      <c r="M125" s="4"/>
      <c r="N125" s="9" t="str">
        <f>IFERROR(__xludf.DUMMYFUNCTION("""COMPUTED_VALUE"""),"OEPS J30 006")</f>
        <v>OEPS J30 006</v>
      </c>
      <c r="O125" s="4" t="str">
        <f>IFERROR(__xludf.DUMMYFUNCTION("""COMPUTED_VALUE"""),"GRM188R61E225KA2D")</f>
        <v>GRM188R61E225KA2D</v>
      </c>
      <c r="P125" s="4" t="str">
        <f>IFERROR(__xludf.DUMMYFUNCTION("""COMPUTED_VALUE"""),"34(R) 20(R) ")</f>
        <v>34(R) 20(R) </v>
      </c>
      <c r="Q125" s="4">
        <f>IFERROR(__xludf.DUMMYFUNCTION("""COMPUTED_VALUE"""),54.0)</f>
        <v>54</v>
      </c>
      <c r="R125" s="4">
        <f>IFERROR(__xludf.DUMMYFUNCTION("""COMPUTED_VALUE"""),34.0)</f>
        <v>34</v>
      </c>
      <c r="S125" s="4" t="str">
        <f>IFERROR(__xludf.DUMMYFUNCTION("""COMPUTED_VALUE"""),"Reel")</f>
        <v>Reel</v>
      </c>
      <c r="T125" s="4" t="str">
        <f>IFERROR(__xludf.DUMMYFUNCTION("""COMPUTED_VALUE"""),"0421")</f>
        <v>0421</v>
      </c>
      <c r="U125" s="4">
        <f>IFERROR(__xludf.DUMMYFUNCTION("""COMPUTED_VALUE"""),20.0)</f>
        <v>20</v>
      </c>
      <c r="V125" s="4" t="str">
        <f>IFERROR(__xludf.DUMMYFUNCTION("""COMPUTED_VALUE"""),"Reel")</f>
        <v>Reel</v>
      </c>
      <c r="W125" s="4" t="str">
        <f>IFERROR(__xludf.DUMMYFUNCTION("""COMPUTED_VALUE"""),"0922")</f>
        <v>0922</v>
      </c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>
      <c r="A126" s="4" t="str">
        <f>IFERROR(__xludf.DUMMYFUNCTION("""COMPUTED_VALUE"""),"CAPACITOR:   TH CER 22pF 50V C0G/NP0 RADIAL   [K220J15C0GF53L2] [TH]")</f>
        <v>CAPACITOR:   TH CER 22pF 50V C0G/NP0 RADIAL   [K220J15C0GF53L2] [TH]</v>
      </c>
      <c r="B126" s="4" t="str">
        <f>IFERROR(__xludf.DUMMYFUNCTION("""COMPUTED_VALUE"""),"OEPS010024")</f>
        <v>OEPS010024</v>
      </c>
      <c r="C126" s="4" t="str">
        <f>IFERROR(__xludf.DUMMYFUNCTION("""COMPUTED_VALUE"""),"TH")</f>
        <v>TH</v>
      </c>
      <c r="D126" s="4" t="str">
        <f>IFERROR(__xludf.DUMMYFUNCTION("""COMPUTED_VALUE"""),"K220J15C0GF53L2")</f>
        <v>K220J15C0GF53L2</v>
      </c>
      <c r="E126" s="4">
        <f>IFERROR(__xludf.DUMMYFUNCTION("""COMPUTED_VALUE"""),1.0)</f>
        <v>1</v>
      </c>
      <c r="F126" s="4" t="str">
        <f>IFERROR(__xludf.DUMMYFUNCTION("""COMPUTED_VALUE"""),"DigiKey")</f>
        <v>DigiKey</v>
      </c>
      <c r="G126" s="4" t="str">
        <f>IFERROR(__xludf.DUMMYFUNCTION("""COMPUTED_VALUE"""),"BC5146-ND")</f>
        <v>BC5146-ND</v>
      </c>
      <c r="H126" s="4"/>
      <c r="I126" s="4"/>
      <c r="J126" s="4"/>
      <c r="K126" s="4"/>
      <c r="L126" s="4"/>
      <c r="M126" s="4"/>
      <c r="N126" s="9" t="str">
        <f>IFERROR(__xludf.DUMMYFUNCTION("""COMPUTED_VALUE"""),"OEPS J30 007")</f>
        <v>OEPS J30 007</v>
      </c>
      <c r="O126" s="4" t="str">
        <f>IFERROR(__xludf.DUMMYFUNCTION("""COMPUTED_VALUE"""),"GRM188R61C475KE1D")</f>
        <v>GRM188R61C475KE1D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>
      <c r="A127" s="4" t="str">
        <f>IFERROR(__xludf.DUMMYFUNCTION("""COMPUTED_VALUE"""),"CONNECTOR:   3.5MM JACK STEREO 90º   [35RASMT2BHNTRX] [SMD]")</f>
        <v>CONNECTOR:   3.5MM JACK STEREO 90º   [35RASMT2BHNTRX] [SMD]</v>
      </c>
      <c r="B127" s="4" t="str">
        <f>IFERROR(__xludf.DUMMYFUNCTION("""COMPUTED_VALUE"""),"OEPS070025")</f>
        <v>OEPS070025</v>
      </c>
      <c r="C127" s="4" t="str">
        <f>IFERROR(__xludf.DUMMYFUNCTION("""COMPUTED_VALUE"""),"SMD")</f>
        <v>SMD</v>
      </c>
      <c r="D127" s="4" t="str">
        <f>IFERROR(__xludf.DUMMYFUNCTION("""COMPUTED_VALUE"""),"35RASMT2BHNTRX")</f>
        <v>35RASMT2BHNTRX</v>
      </c>
      <c r="E127" s="4">
        <f>IFERROR(__xludf.DUMMYFUNCTION("""COMPUTED_VALUE"""),1.0)</f>
        <v>1</v>
      </c>
      <c r="F127" s="4" t="str">
        <f>IFERROR(__xludf.DUMMYFUNCTION("""COMPUTED_VALUE"""),"DigiKey")</f>
        <v>DigiKey</v>
      </c>
      <c r="G127" s="4" t="str">
        <f>IFERROR(__xludf.DUMMYFUNCTION("""COMPUTED_VALUE"""),"SC1489-6-ND")</f>
        <v>SC1489-6-ND</v>
      </c>
      <c r="H127" s="4"/>
      <c r="I127" s="4"/>
      <c r="J127" s="4"/>
      <c r="K127" s="4"/>
      <c r="L127" s="4"/>
      <c r="M127" s="4"/>
      <c r="N127" s="9" t="str">
        <f>IFERROR(__xludf.DUMMYFUNCTION("""COMPUTED_VALUE"""),"OEPS J30 008")</f>
        <v>OEPS J30 008</v>
      </c>
      <c r="O127" s="4" t="str">
        <f>IFERROR(__xludf.DUMMYFUNCTION("""COMPUTED_VALUE"""),"GRM188R61C106MA3D")</f>
        <v>GRM188R61C106MA3D</v>
      </c>
      <c r="P127" s="4" t="str">
        <f>IFERROR(__xludf.DUMMYFUNCTION("""COMPUTED_VALUE"""),"42(R) ")</f>
        <v>42(R) </v>
      </c>
      <c r="Q127" s="4">
        <f>IFERROR(__xludf.DUMMYFUNCTION("""COMPUTED_VALUE"""),42.0)</f>
        <v>42</v>
      </c>
      <c r="R127" s="4">
        <f>IFERROR(__xludf.DUMMYFUNCTION("""COMPUTED_VALUE"""),42.0)</f>
        <v>42</v>
      </c>
      <c r="S127" s="4" t="str">
        <f>IFERROR(__xludf.DUMMYFUNCTION("""COMPUTED_VALUE"""),"Reel")</f>
        <v>Reel</v>
      </c>
      <c r="T127" s="4" t="str">
        <f>IFERROR(__xludf.DUMMYFUNCTION("""COMPUTED_VALUE"""),"0421")</f>
        <v>0421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>
      <c r="A128" s="4" t="str">
        <f>IFERROR(__xludf.DUMMYFUNCTION("""COMPUTED_VALUE"""),"CONNECTOR:   3.5MM JACK STEREO 90º   [PJ-316A-6A] [SMD]")</f>
        <v>CONNECTOR:   3.5MM JACK STEREO 90º   [PJ-316A-6A] [SMD]</v>
      </c>
      <c r="B128" s="4" t="str">
        <f>IFERROR(__xludf.DUMMYFUNCTION("""COMPUTED_VALUE"""),"OEPS070129")</f>
        <v>OEPS070129</v>
      </c>
      <c r="C128" s="4" t="str">
        <f>IFERROR(__xludf.DUMMYFUNCTION("""COMPUTED_VALUE"""),"SMD")</f>
        <v>SMD</v>
      </c>
      <c r="D128" s="4" t="str">
        <f>IFERROR(__xludf.DUMMYFUNCTION("""COMPUTED_VALUE"""),"PJ-316A-6A")</f>
        <v>PJ-316A-6A</v>
      </c>
      <c r="E128" s="4">
        <f>IFERROR(__xludf.DUMMYFUNCTION("""COMPUTED_VALUE"""),1.0)</f>
        <v>1</v>
      </c>
      <c r="F128" s="4" t="str">
        <f>IFERROR(__xludf.DUMMYFUNCTION("""COMPUTED_VALUE"""),"LCSC Electronics")</f>
        <v>LCSC Electronics</v>
      </c>
      <c r="G128" s="4" t="str">
        <f>IFERROR(__xludf.DUMMYFUNCTION("""COMPUTED_VALUE"""),"C128987")</f>
        <v>C128987</v>
      </c>
      <c r="H128" s="4"/>
      <c r="I128" s="4"/>
      <c r="J128" s="4"/>
      <c r="K128" s="4"/>
      <c r="L128" s="4"/>
      <c r="M128" s="4"/>
      <c r="N128" s="9" t="str">
        <f>IFERROR(__xludf.DUMMYFUNCTION("""COMPUTED_VALUE"""),"OEPS J30 009")</f>
        <v>OEPS J30 009</v>
      </c>
      <c r="O128" s="4" t="str">
        <f>IFERROR(__xludf.DUMMYFUNCTION("""COMPUTED_VALUE"""),"GRM188R60J226MEA0D")</f>
        <v>GRM188R60J226MEA0D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>
      <c r="A129" s="4" t="str">
        <f>IFERROR(__xludf.DUMMYFUNCTION("""COMPUTED_VALUE"""),"CONNECTOR:   3.5MM JACK STEREO 90º   [SJ-3523-SMT-TR] [SMD]")</f>
        <v>CONNECTOR:   3.5MM JACK STEREO 90º   [SJ-3523-SMT-TR] [SMD]</v>
      </c>
      <c r="B129" s="4" t="str">
        <f>IFERROR(__xludf.DUMMYFUNCTION("""COMPUTED_VALUE"""),"OEPS070012")</f>
        <v>OEPS070012</v>
      </c>
      <c r="C129" s="4" t="str">
        <f>IFERROR(__xludf.DUMMYFUNCTION("""COMPUTED_VALUE"""),"SMD")</f>
        <v>SMD</v>
      </c>
      <c r="D129" s="4" t="str">
        <f>IFERROR(__xludf.DUMMYFUNCTION("""COMPUTED_VALUE"""),"SJ-3523-SMT-TR")</f>
        <v>SJ-3523-SMT-TR</v>
      </c>
      <c r="E129" s="4">
        <f>IFERROR(__xludf.DUMMYFUNCTION("""COMPUTED_VALUE"""),1.0)</f>
        <v>1</v>
      </c>
      <c r="F129" s="4" t="str">
        <f>IFERROR(__xludf.DUMMYFUNCTION("""COMPUTED_VALUE"""),"DigiKey")</f>
        <v>DigiKey</v>
      </c>
      <c r="G129" s="4" t="str">
        <f>IFERROR(__xludf.DUMMYFUNCTION("""COMPUTED_VALUE"""),"CP-3523SJDKR-ND")</f>
        <v>CP-3523SJDKR-ND</v>
      </c>
      <c r="H129" s="4"/>
      <c r="I129" s="4"/>
      <c r="J129" s="4"/>
      <c r="K129" s="4"/>
      <c r="L129" s="4"/>
      <c r="M129" s="4"/>
      <c r="N129" s="9" t="str">
        <f>IFERROR(__xludf.DUMMYFUNCTION("""COMPUTED_VALUE"""),"OEPS J30 009A")</f>
        <v>OEPS J30 009A</v>
      </c>
      <c r="O129" s="4" t="str">
        <f>IFERROR(__xludf.DUMMYFUNCTION("""COMPUTED_VALUE"""),"C1608X5R1A226M")</f>
        <v>C1608X5R1A226M</v>
      </c>
      <c r="P129" s="4" t="str">
        <f>IFERROR(__xludf.DUMMYFUNCTION("""COMPUTED_VALUE"""),"33(R) ")</f>
        <v>33(R) </v>
      </c>
      <c r="Q129" s="4">
        <f>IFERROR(__xludf.DUMMYFUNCTION("""COMPUTED_VALUE"""),33.0)</f>
        <v>33</v>
      </c>
      <c r="R129" s="4">
        <f>IFERROR(__xludf.DUMMYFUNCTION("""COMPUTED_VALUE"""),33.0)</f>
        <v>33</v>
      </c>
      <c r="S129" s="4" t="str">
        <f>IFERROR(__xludf.DUMMYFUNCTION("""COMPUTED_VALUE"""),"Reel")</f>
        <v>Reel</v>
      </c>
      <c r="T129" s="4" t="str">
        <f>IFERROR(__xludf.DUMMYFUNCTION("""COMPUTED_VALUE"""),"0421")</f>
        <v>0421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>
      <c r="A130" s="4" t="str">
        <f>IFERROR(__xludf.DUMMYFUNCTION("""COMPUTED_VALUE"""),"CONNECTOR:   ARRAY PLUG 400POS GOLD   [ASP-134488-01] [SMD]")</f>
        <v>CONNECTOR:   ARRAY PLUG 400POS GOLD   [ASP-134488-01] [SMD]</v>
      </c>
      <c r="B130" s="4" t="str">
        <f>IFERROR(__xludf.DUMMYFUNCTION("""COMPUTED_VALUE"""),"OEPS070148")</f>
        <v>OEPS070148</v>
      </c>
      <c r="C130" s="4" t="str">
        <f>IFERROR(__xludf.DUMMYFUNCTION("""COMPUTED_VALUE"""),"SMD")</f>
        <v>SMD</v>
      </c>
      <c r="D130" s="4" t="str">
        <f>IFERROR(__xludf.DUMMYFUNCTION("""COMPUTED_VALUE"""),"ASP-134488-01")</f>
        <v>ASP-134488-01</v>
      </c>
      <c r="E130" s="4">
        <f>IFERROR(__xludf.DUMMYFUNCTION("""COMPUTED_VALUE"""),1.0)</f>
        <v>1</v>
      </c>
      <c r="F130" s="4" t="str">
        <f>IFERROR(__xludf.DUMMYFUNCTION("""COMPUTED_VALUE"""),"Digikey")</f>
        <v>Digikey</v>
      </c>
      <c r="G130" s="4" t="str">
        <f>IFERROR(__xludf.DUMMYFUNCTION("""COMPUTED_VALUE"""),"SAM8730-ND")</f>
        <v>SAM8730-ND</v>
      </c>
      <c r="H130" s="4"/>
      <c r="I130" s="4"/>
      <c r="J130" s="4"/>
      <c r="K130" s="4"/>
      <c r="L130" s="4"/>
      <c r="M130" s="4"/>
      <c r="N130" s="9" t="str">
        <f>IFERROR(__xludf.DUMMYFUNCTION("""COMPUTED_VALUE"""),"OEPS J30 010")</f>
        <v>OEPS J30 010</v>
      </c>
      <c r="O130" s="4" t="str">
        <f>IFERROR(__xludf.DUMMYFUNCTION("""COMPUTED_VALUE"""),"TCTAL0J107MBR")</f>
        <v>TCTAL0J107MBR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>
      <c r="A131" s="4" t="str">
        <f>IFERROR(__xludf.DUMMYFUNCTION("""COMPUTED_VALUE"""),"CONNECTOR:   BNC JACK 50ohm R/A   [0731375003] [TH]")</f>
        <v>CONNECTOR:   BNC JACK 50ohm R/A   [0731375003] [TH]</v>
      </c>
      <c r="B131" s="4" t="str">
        <f>IFERROR(__xludf.DUMMYFUNCTION("""COMPUTED_VALUE"""),"OEPS070151")</f>
        <v>OEPS070151</v>
      </c>
      <c r="C131" s="4" t="str">
        <f>IFERROR(__xludf.DUMMYFUNCTION("""COMPUTED_VALUE"""),"TH")</f>
        <v>TH</v>
      </c>
      <c r="D131" s="4" t="str">
        <f>IFERROR(__xludf.DUMMYFUNCTION("""COMPUTED_VALUE"""),"0731375003")</f>
        <v>0731375003</v>
      </c>
      <c r="E131" s="4">
        <f>IFERROR(__xludf.DUMMYFUNCTION("""COMPUTED_VALUE"""),1.0)</f>
        <v>1</v>
      </c>
      <c r="F131" s="4" t="str">
        <f>IFERROR(__xludf.DUMMYFUNCTION("""COMPUTED_VALUE"""),"DigiKey")</f>
        <v>DigiKey</v>
      </c>
      <c r="G131" s="4" t="str">
        <f>IFERROR(__xludf.DUMMYFUNCTION("""COMPUTED_VALUE"""),"WM5514-ND")</f>
        <v>WM5514-ND</v>
      </c>
      <c r="H131" s="4"/>
      <c r="I131" s="4"/>
      <c r="J131" s="4"/>
      <c r="K131" s="4"/>
      <c r="L131" s="4"/>
      <c r="M131" s="4"/>
      <c r="N131" s="9" t="str">
        <f>IFERROR(__xludf.DUMMYFUNCTION("""COMPUTED_VALUE"""),"OEPS J30 011")</f>
        <v>OEPS J30 011</v>
      </c>
      <c r="O131" s="4" t="str">
        <f>IFERROR(__xludf.DUMMYFUNCTION("""COMPUTED_VALUE"""),"T495D337K010ATE125")</f>
        <v>T495D337K010ATE125</v>
      </c>
      <c r="P131" s="4" t="str">
        <f>IFERROR(__xludf.DUMMYFUNCTION("""COMPUTED_VALUE"""),"5 2 3 ")</f>
        <v>5 2 3 </v>
      </c>
      <c r="Q131" s="4">
        <f>IFERROR(__xludf.DUMMYFUNCTION("""COMPUTED_VALUE"""),10.0)</f>
        <v>10</v>
      </c>
      <c r="R131" s="4">
        <f>IFERROR(__xludf.DUMMYFUNCTION("""COMPUTED_VALUE"""),5.0)</f>
        <v>5</v>
      </c>
      <c r="S131" s="4" t="str">
        <f>IFERROR(__xludf.DUMMYFUNCTION("""COMPUTED_VALUE"""),"Bag")</f>
        <v>Bag</v>
      </c>
      <c r="T131" s="4" t="str">
        <f>IFERROR(__xludf.DUMMYFUNCTION("""COMPUTED_VALUE"""),"N/A")</f>
        <v>N/A</v>
      </c>
      <c r="U131" s="4">
        <f>IFERROR(__xludf.DUMMYFUNCTION("""COMPUTED_VALUE"""),2.0)</f>
        <v>2</v>
      </c>
      <c r="V131" s="4" t="str">
        <f>IFERROR(__xludf.DUMMYFUNCTION("""COMPUTED_VALUE"""),"Bag")</f>
        <v>Bag</v>
      </c>
      <c r="W131" s="4" t="str">
        <f>IFERROR(__xludf.DUMMYFUNCTION("""COMPUTED_VALUE"""),"XX20")</f>
        <v>XX20</v>
      </c>
      <c r="X131" s="4">
        <f>IFERROR(__xludf.DUMMYFUNCTION("""COMPUTED_VALUE"""),3.0)</f>
        <v>3</v>
      </c>
      <c r="Y131" s="4" t="str">
        <f>IFERROR(__xludf.DUMMYFUNCTION("""COMPUTED_VALUE"""),"Bag")</f>
        <v>Bag</v>
      </c>
      <c r="Z131" s="4" t="str">
        <f>IFERROR(__xludf.DUMMYFUNCTION("""COMPUTED_VALUE"""),"N/A")</f>
        <v>N/A</v>
      </c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>
      <c r="A132" s="4" t="str">
        <f>IFERROR(__xludf.DUMMYFUNCTION("""COMPUTED_VALUE"""),"CONNECTOR:   BNC JACK 50ohm R/A   [731000105] [TH]")</f>
        <v>CONNECTOR:   BNC JACK 50ohm R/A   [731000105] [TH]</v>
      </c>
      <c r="B132" s="4" t="str">
        <f>IFERROR(__xludf.DUMMYFUNCTION("""COMPUTED_VALUE"""),"OEPS070024")</f>
        <v>OEPS070024</v>
      </c>
      <c r="C132" s="4" t="str">
        <f>IFERROR(__xludf.DUMMYFUNCTION("""COMPUTED_VALUE"""),"TH")</f>
        <v>TH</v>
      </c>
      <c r="D132" s="4" t="str">
        <f>IFERROR(__xludf.DUMMYFUNCTION("""COMPUTED_VALUE"""),"731000105")</f>
        <v>731000105</v>
      </c>
      <c r="E132" s="4">
        <f>IFERROR(__xludf.DUMMYFUNCTION("""COMPUTED_VALUE"""),1.0)</f>
        <v>1</v>
      </c>
      <c r="F132" s="4" t="str">
        <f>IFERROR(__xludf.DUMMYFUNCTION("""COMPUTED_VALUE"""),"DigiKey")</f>
        <v>DigiKey</v>
      </c>
      <c r="G132" s="4" t="str">
        <f>IFERROR(__xludf.DUMMYFUNCTION("""COMPUTED_VALUE"""),"WM5524-ND")</f>
        <v>WM5524-ND</v>
      </c>
      <c r="H132" s="4"/>
      <c r="I132" s="4"/>
      <c r="J132" s="4"/>
      <c r="K132" s="4"/>
      <c r="L132" s="4"/>
      <c r="M132" s="4"/>
      <c r="N132" s="9" t="str">
        <f>IFERROR(__xludf.DUMMYFUNCTION("""COMPUTED_VALUE"""),"OEPS J30 012")</f>
        <v>OEPS J30 012</v>
      </c>
      <c r="O132" s="4" t="str">
        <f>IFERROR(__xludf.DUMMYFUNCTION("""COMPUTED_VALUE"""),"RC0603FR-070RL")</f>
        <v>RC0603FR-070RL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>
      <c r="A133" s="4" t="str">
        <f>IFERROR(__xludf.DUMMYFUNCTION("""COMPUTED_VALUE"""),"CONNECTOR:   BNC JACK 75ohm R/A   [112419] [TH]")</f>
        <v>CONNECTOR:   BNC JACK 75ohm R/A   [112419] [TH]</v>
      </c>
      <c r="B133" s="4" t="str">
        <f>IFERROR(__xludf.DUMMYFUNCTION("""COMPUTED_VALUE"""),"OEPS070088")</f>
        <v>OEPS070088</v>
      </c>
      <c r="C133" s="4" t="str">
        <f>IFERROR(__xludf.DUMMYFUNCTION("""COMPUTED_VALUE"""),"TH")</f>
        <v>TH</v>
      </c>
      <c r="D133" s="4" t="str">
        <f>IFERROR(__xludf.DUMMYFUNCTION("""COMPUTED_VALUE"""),"112419")</f>
        <v>112419</v>
      </c>
      <c r="E133" s="4">
        <f>IFERROR(__xludf.DUMMYFUNCTION("""COMPUTED_VALUE"""),1.0)</f>
        <v>1</v>
      </c>
      <c r="F133" s="4" t="str">
        <f>IFERROR(__xludf.DUMMYFUNCTION("""COMPUTED_VALUE"""),"DigiKey")</f>
        <v>DigiKey</v>
      </c>
      <c r="G133" s="4" t="str">
        <f>IFERROR(__xludf.DUMMYFUNCTION("""COMPUTED_VALUE"""),"ACX1971-ND")</f>
        <v>ACX1971-ND</v>
      </c>
      <c r="H133" s="4"/>
      <c r="I133" s="4"/>
      <c r="J133" s="4"/>
      <c r="K133" s="4"/>
      <c r="L133" s="4"/>
      <c r="M133" s="4"/>
      <c r="N133" s="9" t="str">
        <f>IFERROR(__xludf.DUMMYFUNCTION("""COMPUTED_VALUE"""),"OEPS J30 013")</f>
        <v>OEPS J30 013</v>
      </c>
      <c r="O133" s="4" t="str">
        <f>IFERROR(__xludf.DUMMYFUNCTION("""COMPUTED_VALUE"""),"RC0603FR-0722RL")</f>
        <v>RC0603FR-0722RL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>
      <c r="A134" s="4" t="str">
        <f>IFERROR(__xludf.DUMMYFUNCTION("""COMPUTED_VALUE"""),"CONNECTOR:   BNC JACK 75ohm straight   [731010360] [TH]")</f>
        <v>CONNECTOR:   BNC JACK 75ohm straight   [731010360] [TH]</v>
      </c>
      <c r="B134" s="4" t="str">
        <f>IFERROR(__xludf.DUMMYFUNCTION("""COMPUTED_VALUE"""),"OEPS070002")</f>
        <v>OEPS070002</v>
      </c>
      <c r="C134" s="4" t="str">
        <f>IFERROR(__xludf.DUMMYFUNCTION("""COMPUTED_VALUE"""),"TH")</f>
        <v>TH</v>
      </c>
      <c r="D134" s="4" t="str">
        <f>IFERROR(__xludf.DUMMYFUNCTION("""COMPUTED_VALUE"""),"731010360")</f>
        <v>731010360</v>
      </c>
      <c r="E134" s="4">
        <f>IFERROR(__xludf.DUMMYFUNCTION("""COMPUTED_VALUE"""),1.0)</f>
        <v>1</v>
      </c>
      <c r="F134" s="4" t="str">
        <f>IFERROR(__xludf.DUMMYFUNCTION("""COMPUTED_VALUE"""),"DigiKey")</f>
        <v>DigiKey</v>
      </c>
      <c r="G134" s="4" t="str">
        <f>IFERROR(__xludf.DUMMYFUNCTION("""COMPUTED_VALUE"""),"WM5509-ND")</f>
        <v>WM5509-ND</v>
      </c>
      <c r="H134" s="4"/>
      <c r="I134" s="4"/>
      <c r="J134" s="4"/>
      <c r="K134" s="4"/>
      <c r="L134" s="4"/>
      <c r="M134" s="4"/>
      <c r="N134" s="9" t="str">
        <f>IFERROR(__xludf.DUMMYFUNCTION("""COMPUTED_VALUE"""),"OEPS J30 014")</f>
        <v>OEPS J30 014</v>
      </c>
      <c r="O134" s="4" t="str">
        <f>IFERROR(__xludf.DUMMYFUNCTION("""COMPUTED_VALUE"""),"RC0603FR-0733RL")</f>
        <v>RC0603FR-0733RL</v>
      </c>
      <c r="P134" s="4" t="str">
        <f>IFERROR(__xludf.DUMMYFUNCTION("""COMPUTED_VALUE"""),"473(R) ")</f>
        <v>473(R) </v>
      </c>
      <c r="Q134" s="4">
        <f>IFERROR(__xludf.DUMMYFUNCTION("""COMPUTED_VALUE"""),473.0)</f>
        <v>473</v>
      </c>
      <c r="R134" s="4">
        <f>IFERROR(__xludf.DUMMYFUNCTION("""COMPUTED_VALUE"""),473.0)</f>
        <v>473</v>
      </c>
      <c r="S134" s="4" t="str">
        <f>IFERROR(__xludf.DUMMYFUNCTION("""COMPUTED_VALUE"""),"Reel")</f>
        <v>Reel</v>
      </c>
      <c r="T134" s="4" t="str">
        <f>IFERROR(__xludf.DUMMYFUNCTION("""COMPUTED_VALUE"""),"1121")</f>
        <v>1121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>
      <c r="A135" s="4" t="str">
        <f>IFERROR(__xludf.DUMMYFUNCTION("""COMPUTED_VALUE"""),"CONNECTOR:   CONN BNC JACK STR 50 OHM PCB   [1-1337445-0] [TH]")</f>
        <v>CONNECTOR:   CONN BNC JACK STR 50 OHM PCB   [1-1337445-0] [TH]</v>
      </c>
      <c r="B135" s="4" t="str">
        <f>IFERROR(__xludf.DUMMYFUNCTION("""COMPUTED_VALUE"""),"OEPS070107")</f>
        <v>OEPS070107</v>
      </c>
      <c r="C135" s="4" t="str">
        <f>IFERROR(__xludf.DUMMYFUNCTION("""COMPUTED_VALUE"""),"TH")</f>
        <v>TH</v>
      </c>
      <c r="D135" s="4" t="str">
        <f>IFERROR(__xludf.DUMMYFUNCTION("""COMPUTED_VALUE"""),"1-1337445-0")</f>
        <v>1-1337445-0</v>
      </c>
      <c r="E135" s="4">
        <f>IFERROR(__xludf.DUMMYFUNCTION("""COMPUTED_VALUE"""),1.0)</f>
        <v>1</v>
      </c>
      <c r="F135" s="4" t="str">
        <f>IFERROR(__xludf.DUMMYFUNCTION("""COMPUTED_VALUE"""),"Digikey")</f>
        <v>Digikey</v>
      </c>
      <c r="G135" s="4" t="str">
        <f>IFERROR(__xludf.DUMMYFUNCTION("""COMPUTED_VALUE"""),"A101972-ND")</f>
        <v>A101972-ND</v>
      </c>
      <c r="H135" s="4"/>
      <c r="I135" s="4"/>
      <c r="J135" s="4"/>
      <c r="K135" s="4"/>
      <c r="L135" s="4"/>
      <c r="M135" s="4"/>
      <c r="N135" s="9" t="str">
        <f>IFERROR(__xludf.DUMMYFUNCTION("""COMPUTED_VALUE"""),"OEPS J30 015")</f>
        <v>OEPS J30 015</v>
      </c>
      <c r="O135" s="4" t="str">
        <f>IFERROR(__xludf.DUMMYFUNCTION("""COMPUTED_VALUE"""),"RC0402FR-0749R9L")</f>
        <v>RC0402FR-0749R9L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>
      <c r="A136" s="4" t="str">
        <f>IFERROR(__xludf.DUMMYFUNCTION("""COMPUTED_VALUE"""),"CONNECTOR:   CONN FFC BOTTOM 16POS 0.5MM R/A   [FH12-16S-0.5SH(55)] [SMD]")</f>
        <v>CONNECTOR:   CONN FFC BOTTOM 16POS 0.5MM R/A   [FH12-16S-0.5SH(55)] [SMD]</v>
      </c>
      <c r="B136" s="4" t="str">
        <f>IFERROR(__xludf.DUMMYFUNCTION("""COMPUTED_VALUE"""),"OEPS070104")</f>
        <v>OEPS070104</v>
      </c>
      <c r="C136" s="4" t="str">
        <f>IFERROR(__xludf.DUMMYFUNCTION("""COMPUTED_VALUE"""),"SMD")</f>
        <v>SMD</v>
      </c>
      <c r="D136" s="4" t="str">
        <f>IFERROR(__xludf.DUMMYFUNCTION("""COMPUTED_VALUE"""),"FH12-16S-0.5SH(55)")</f>
        <v>FH12-16S-0.5SH(55)</v>
      </c>
      <c r="E136" s="4">
        <f>IFERROR(__xludf.DUMMYFUNCTION("""COMPUTED_VALUE"""),1.0)</f>
        <v>1</v>
      </c>
      <c r="F136" s="4" t="str">
        <f>IFERROR(__xludf.DUMMYFUNCTION("""COMPUTED_VALUE"""),"Digikey")</f>
        <v>Digikey</v>
      </c>
      <c r="G136" s="4" t="str">
        <f>IFERROR(__xludf.DUMMYFUNCTION("""COMPUTED_VALUE"""),"HFJ116DKR-ND")</f>
        <v>HFJ116DKR-ND</v>
      </c>
      <c r="H136" s="4"/>
      <c r="I136" s="4"/>
      <c r="J136" s="4"/>
      <c r="K136" s="4"/>
      <c r="L136" s="4"/>
      <c r="M136" s="4"/>
      <c r="N136" s="9" t="str">
        <f>IFERROR(__xludf.DUMMYFUNCTION("""COMPUTED_VALUE"""),"OEPS J30 016")</f>
        <v>OEPS J30 016</v>
      </c>
      <c r="O136" s="4" t="str">
        <f>IFERROR(__xludf.DUMMYFUNCTION("""COMPUTED_VALUE"""),"RC0603FR-071000RL")</f>
        <v>RC0603FR-071000RL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>
      <c r="A137" s="4" t="str">
        <f>IFERROR(__xludf.DUMMYFUNCTION("""COMPUTED_VALUE"""),"CONNECTOR:   CONN FFC BOTTOM 4POS 0.5MM R/A   [FH19C-4S-0.5SH(10)] [SMD]")</f>
        <v>CONNECTOR:   CONN FFC BOTTOM 4POS 0.5MM R/A   [FH19C-4S-0.5SH(10)] [SMD]</v>
      </c>
      <c r="B137" s="4" t="str">
        <f>IFERROR(__xludf.DUMMYFUNCTION("""COMPUTED_VALUE"""),"OEPS070077")</f>
        <v>OEPS070077</v>
      </c>
      <c r="C137" s="4" t="str">
        <f>IFERROR(__xludf.DUMMYFUNCTION("""COMPUTED_VALUE"""),"SMD")</f>
        <v>SMD</v>
      </c>
      <c r="D137" s="4" t="str">
        <f>IFERROR(__xludf.DUMMYFUNCTION("""COMPUTED_VALUE"""),"FH19C-4S-0.5SH(10)")</f>
        <v>FH19C-4S-0.5SH(10)</v>
      </c>
      <c r="E137" s="4">
        <f>IFERROR(__xludf.DUMMYFUNCTION("""COMPUTED_VALUE"""),1.0)</f>
        <v>1</v>
      </c>
      <c r="F137" s="4" t="str">
        <f>IFERROR(__xludf.DUMMYFUNCTION("""COMPUTED_VALUE"""),"Digikey")</f>
        <v>Digikey</v>
      </c>
      <c r="G137" s="4" t="str">
        <f>IFERROR(__xludf.DUMMYFUNCTION("""COMPUTED_VALUE"""),"H125822DKR-ND")</f>
        <v>H125822DKR-ND</v>
      </c>
      <c r="H137" s="4"/>
      <c r="I137" s="4"/>
      <c r="J137" s="4"/>
      <c r="K137" s="4"/>
      <c r="L137" s="4"/>
      <c r="M137" s="4"/>
      <c r="N137" s="9" t="str">
        <f>IFERROR(__xludf.DUMMYFUNCTION("""COMPUTED_VALUE"""),"OEPS J30 017")</f>
        <v>OEPS J30 017</v>
      </c>
      <c r="O137" s="4" t="str">
        <f>IFERROR(__xludf.DUMMYFUNCTION("""COMPUTED_VALUE"""),"RC0603FR-07200RL")</f>
        <v>RC0603FR-07200RL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>
      <c r="A138" s="4" t="str">
        <f>IFERROR(__xludf.DUMMYFUNCTION("""COMPUTED_VALUE"""),"CONNECTOR:   CONN FPC 17POS 0.3MM R/A   [FH35C-17S-0.3SHW(99)] [SMD]")</f>
        <v>CONNECTOR:   CONN FPC 17POS 0.3MM R/A   [FH35C-17S-0.3SHW(99)] [SMD]</v>
      </c>
      <c r="B138" s="4" t="str">
        <f>IFERROR(__xludf.DUMMYFUNCTION("""COMPUTED_VALUE"""),"OEPS070073")</f>
        <v>OEPS070073</v>
      </c>
      <c r="C138" s="4" t="str">
        <f>IFERROR(__xludf.DUMMYFUNCTION("""COMPUTED_VALUE"""),"SMD")</f>
        <v>SMD</v>
      </c>
      <c r="D138" s="4" t="str">
        <f>IFERROR(__xludf.DUMMYFUNCTION("""COMPUTED_VALUE"""),"FH35C-17S-0.3SHW(99)")</f>
        <v>FH35C-17S-0.3SHW(99)</v>
      </c>
      <c r="E138" s="4">
        <f>IFERROR(__xludf.DUMMYFUNCTION("""COMPUTED_VALUE"""),1.0)</f>
        <v>1</v>
      </c>
      <c r="F138" s="4" t="str">
        <f>IFERROR(__xludf.DUMMYFUNCTION("""COMPUTED_VALUE"""),"DigiKey")</f>
        <v>DigiKey</v>
      </c>
      <c r="G138" s="4" t="str">
        <f>IFERROR(__xludf.DUMMYFUNCTION("""COMPUTED_VALUE"""),"H122267DKR-ND")</f>
        <v>H122267DKR-ND</v>
      </c>
      <c r="H138" s="4"/>
      <c r="I138" s="4"/>
      <c r="J138" s="4"/>
      <c r="K138" s="4"/>
      <c r="L138" s="4"/>
      <c r="M138" s="4"/>
      <c r="N138" s="9" t="str">
        <f>IFERROR(__xludf.DUMMYFUNCTION("""COMPUTED_VALUE"""),"OEPS J30 018")</f>
        <v>OEPS J30 018</v>
      </c>
      <c r="O138" s="4" t="str">
        <f>IFERROR(__xludf.DUMMYFUNCTION("""COMPUTED_VALUE"""),"RC0603FR-07430RL")</f>
        <v>RC0603FR-07430RL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>
      <c r="A139" s="4" t="str">
        <f>IFERROR(__xludf.DUMMYFUNCTION("""COMPUTED_VALUE"""),"CONNECTOR:   CONN FPC BOTTOM 27POS 0.3MM R/A   [046844727002846+] [SMD]")</f>
        <v>CONNECTOR:   CONN FPC BOTTOM 27POS 0.3MM R/A   [046844727002846+] [SMD]</v>
      </c>
      <c r="B139" s="4" t="str">
        <f>IFERROR(__xludf.DUMMYFUNCTION("""COMPUTED_VALUE"""),"OEPS070064")</f>
        <v>OEPS070064</v>
      </c>
      <c r="C139" s="4" t="str">
        <f>IFERROR(__xludf.DUMMYFUNCTION("""COMPUTED_VALUE"""),"SMD")</f>
        <v>SMD</v>
      </c>
      <c r="D139" s="4" t="str">
        <f>IFERROR(__xludf.DUMMYFUNCTION("""COMPUTED_VALUE"""),"046844727002846+")</f>
        <v>046844727002846+</v>
      </c>
      <c r="E139" s="4">
        <f>IFERROR(__xludf.DUMMYFUNCTION("""COMPUTED_VALUE"""),3.0)</f>
        <v>3</v>
      </c>
      <c r="F139" s="4" t="str">
        <f>IFERROR(__xludf.DUMMYFUNCTION("""COMPUTED_VALUE"""),"DigiKey")</f>
        <v>DigiKey</v>
      </c>
      <c r="G139" s="4" t="str">
        <f>IFERROR(__xludf.DUMMYFUNCTION("""COMPUTED_VALUE"""),"478-046844727002846+DKR-ND")</f>
        <v>478-046844727002846+DKR-ND</v>
      </c>
      <c r="H139" s="4"/>
      <c r="I139" s="4"/>
      <c r="J139" s="4"/>
      <c r="K139" s="4"/>
      <c r="L139" s="4"/>
      <c r="M139" s="4"/>
      <c r="N139" s="9" t="str">
        <f>IFERROR(__xludf.DUMMYFUNCTION("""COMPUTED_VALUE"""),"OEPS J30 019")</f>
        <v>OEPS J30 019</v>
      </c>
      <c r="O139" s="4" t="str">
        <f>IFERROR(__xludf.DUMMYFUNCTION("""COMPUTED_VALUE"""),"C0603FR-071KL")</f>
        <v>C0603FR-071KL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>
      <c r="A140" s="4" t="str">
        <f>IFERROR(__xludf.DUMMYFUNCTION("""COMPUTED_VALUE"""),"CONNECTOR:   CONN FPC BOTTOM 45POS 0.3MM R/A   [1-2013496-8] [SMD]")</f>
        <v>CONNECTOR:   CONN FPC BOTTOM 45POS 0.3MM R/A   [1-2013496-8] [SMD]</v>
      </c>
      <c r="B140" s="4" t="str">
        <f>IFERROR(__xludf.DUMMYFUNCTION("""COMPUTED_VALUE"""),"OEPS070051")</f>
        <v>OEPS070051</v>
      </c>
      <c r="C140" s="4" t="str">
        <f>IFERROR(__xludf.DUMMYFUNCTION("""COMPUTED_VALUE"""),"SMD")</f>
        <v>SMD</v>
      </c>
      <c r="D140" s="4" t="str">
        <f>IFERROR(__xludf.DUMMYFUNCTION("""COMPUTED_VALUE"""),"1-2013496-8")</f>
        <v>1-2013496-8</v>
      </c>
      <c r="E140" s="4">
        <f>IFERROR(__xludf.DUMMYFUNCTION("""COMPUTED_VALUE"""),1.0)</f>
        <v>1</v>
      </c>
      <c r="F140" s="4" t="str">
        <f>IFERROR(__xludf.DUMMYFUNCTION("""COMPUTED_VALUE"""),"Worldway")</f>
        <v>Worldway</v>
      </c>
      <c r="G140" s="4" t="str">
        <f>IFERROR(__xludf.DUMMYFUNCTION("""COMPUTED_VALUE"""),"1-2013496-8")</f>
        <v>1-2013496-8</v>
      </c>
      <c r="H140" s="4"/>
      <c r="I140" s="4"/>
      <c r="J140" s="4"/>
      <c r="K140" s="4"/>
      <c r="L140" s="4"/>
      <c r="M140" s="4"/>
      <c r="N140" s="9" t="str">
        <f>IFERROR(__xludf.DUMMYFUNCTION("""COMPUTED_VALUE"""),"OEPS J30 020")</f>
        <v>OEPS J30 020</v>
      </c>
      <c r="O140" s="4" t="str">
        <f>IFERROR(__xludf.DUMMYFUNCTION("""COMPUTED_VALUE"""),"RC0603FR-07K15L")</f>
        <v>RC0603FR-07K15L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>
      <c r="A141" s="4" t="str">
        <f>IFERROR(__xludf.DUMMYFUNCTION("""COMPUTED_VALUE"""),"CONNECTOR:   CONN HDR 80POS SMD GOLD   [BTE-040-03-L-D-A] [SMD]")</f>
        <v>CONNECTOR:   CONN HDR 80POS SMD GOLD   [BTE-040-03-L-D-A] [SMD]</v>
      </c>
      <c r="B141" s="4" t="str">
        <f>IFERROR(__xludf.DUMMYFUNCTION("""COMPUTED_VALUE"""),"OEPS070103")</f>
        <v>OEPS070103</v>
      </c>
      <c r="C141" s="4" t="str">
        <f>IFERROR(__xludf.DUMMYFUNCTION("""COMPUTED_VALUE"""),"SMD")</f>
        <v>SMD</v>
      </c>
      <c r="D141" s="4" t="str">
        <f>IFERROR(__xludf.DUMMYFUNCTION("""COMPUTED_VALUE"""),"BTE-040-03-L-D-A")</f>
        <v>BTE-040-03-L-D-A</v>
      </c>
      <c r="E141" s="4">
        <f>IFERROR(__xludf.DUMMYFUNCTION("""COMPUTED_VALUE"""),1.0)</f>
        <v>1</v>
      </c>
      <c r="F141" s="4" t="str">
        <f>IFERROR(__xludf.DUMMYFUNCTION("""COMPUTED_VALUE"""),"Digikey")</f>
        <v>Digikey</v>
      </c>
      <c r="G141" s="4" t="str">
        <f>IFERROR(__xludf.DUMMYFUNCTION("""COMPUTED_VALUE"""),"SAM12466-ND")</f>
        <v>SAM12466-ND</v>
      </c>
      <c r="H141" s="4"/>
      <c r="I141" s="4"/>
      <c r="J141" s="4"/>
      <c r="K141" s="4"/>
      <c r="L141" s="4"/>
      <c r="M141" s="4"/>
      <c r="N141" s="9" t="str">
        <f>IFERROR(__xludf.DUMMYFUNCTION("""COMPUTED_VALUE"""),"OEPS J30 021")</f>
        <v>OEPS J30 021</v>
      </c>
      <c r="O141" s="4" t="str">
        <f>IFERROR(__xludf.DUMMYFUNCTION("""COMPUTED_VALUE"""),"RC0603FR-072KL")</f>
        <v>RC0603FR-072KL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>
      <c r="A142" s="4" t="str">
        <f>IFERROR(__xludf.DUMMYFUNCTION("""COMPUTED_VALUE"""),"CONNECTOR:   CONN HEADER SMD R/A 2POS 2MM   [S2B-PH-SM4-TB] [SMD]")</f>
        <v>CONNECTOR:   CONN HEADER SMD R/A 2POS 2MM   [S2B-PH-SM4-TB] [SMD]</v>
      </c>
      <c r="B142" s="4" t="str">
        <f>IFERROR(__xludf.DUMMYFUNCTION("""COMPUTED_VALUE"""),"OEPS070106")</f>
        <v>OEPS070106</v>
      </c>
      <c r="C142" s="4" t="str">
        <f>IFERROR(__xludf.DUMMYFUNCTION("""COMPUTED_VALUE"""),"SMD")</f>
        <v>SMD</v>
      </c>
      <c r="D142" s="4" t="str">
        <f>IFERROR(__xludf.DUMMYFUNCTION("""COMPUTED_VALUE"""),"S2B-PH-SM4-TB")</f>
        <v>S2B-PH-SM4-TB</v>
      </c>
      <c r="E142" s="4">
        <f>IFERROR(__xludf.DUMMYFUNCTION("""COMPUTED_VALUE"""),1.0)</f>
        <v>1</v>
      </c>
      <c r="F142" s="4" t="str">
        <f>IFERROR(__xludf.DUMMYFUNCTION("""COMPUTED_VALUE"""),"Digikey")</f>
        <v>Digikey</v>
      </c>
      <c r="G142" s="4" t="str">
        <f>IFERROR(__xludf.DUMMYFUNCTION("""COMPUTED_VALUE"""),"455-S2B-PH-SM4-TBDKR-ND")</f>
        <v>455-S2B-PH-SM4-TBDKR-ND</v>
      </c>
      <c r="H142" s="4"/>
      <c r="I142" s="4"/>
      <c r="J142" s="4"/>
      <c r="K142" s="4"/>
      <c r="L142" s="4"/>
      <c r="M142" s="4"/>
      <c r="N142" s="9" t="str">
        <f>IFERROR(__xludf.DUMMYFUNCTION("""COMPUTED_VALUE"""),"OEPS J30 022")</f>
        <v>OEPS J30 022</v>
      </c>
      <c r="O142" s="4" t="str">
        <f>IFERROR(__xludf.DUMMYFUNCTION("""COMPUTED_VALUE"""),"RC0603FR-073K57L")</f>
        <v>RC0603FR-073K57L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>
      <c r="A143" s="4" t="str">
        <f>IFERROR(__xludf.DUMMYFUNCTION("""COMPUTED_VALUE"""),"CONNECTOR:   CONN HEADER SMD R/A 3POS 1.27MM   [850-10-003-40-001000] [SMD]")</f>
        <v>CONNECTOR:   CONN HEADER SMD R/A 3POS 1.27MM   [850-10-003-40-001000] [SMD]</v>
      </c>
      <c r="B143" s="4" t="str">
        <f>IFERROR(__xludf.DUMMYFUNCTION("""COMPUTED_VALUE"""),"OEPS070076")</f>
        <v>OEPS070076</v>
      </c>
      <c r="C143" s="4" t="str">
        <f>IFERROR(__xludf.DUMMYFUNCTION("""COMPUTED_VALUE"""),"SMD")</f>
        <v>SMD</v>
      </c>
      <c r="D143" s="4" t="str">
        <f>IFERROR(__xludf.DUMMYFUNCTION("""COMPUTED_VALUE"""),"850-10-003-40-001000")</f>
        <v>850-10-003-40-001000</v>
      </c>
      <c r="E143" s="4">
        <f>IFERROR(__xludf.DUMMYFUNCTION("""COMPUTED_VALUE"""),1.0)</f>
        <v>1</v>
      </c>
      <c r="F143" s="4" t="str">
        <f>IFERROR(__xludf.DUMMYFUNCTION("""COMPUTED_VALUE"""),"DigiKey")</f>
        <v>DigiKey</v>
      </c>
      <c r="G143" s="4" t="str">
        <f>IFERROR(__xludf.DUMMYFUNCTION("""COMPUTED_VALUE"""),"850-10-003-40-001000-ND")</f>
        <v>850-10-003-40-001000-ND</v>
      </c>
      <c r="H143" s="4"/>
      <c r="I143" s="4"/>
      <c r="J143" s="4"/>
      <c r="K143" s="4"/>
      <c r="L143" s="4"/>
      <c r="M143" s="4"/>
      <c r="N143" s="9" t="str">
        <f>IFERROR(__xludf.DUMMYFUNCTION("""COMPUTED_VALUE"""),"OEPS J30 023")</f>
        <v>OEPS J30 023</v>
      </c>
      <c r="O143" s="4" t="str">
        <f>IFERROR(__xludf.DUMMYFUNCTION("""COMPUTED_VALUE"""),"RC0603FR-076K04L")</f>
        <v>RC0603FR-076K04L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>
      <c r="A144" s="4" t="str">
        <f>IFERROR(__xludf.DUMMYFUNCTION("""COMPUTED_VALUE"""),"CONNECTOR:   CONN HEADER SMD R/A 5POS 1.25MM   [WM7623DKR-ND] [SMD]")</f>
        <v>CONNECTOR:   CONN HEADER SMD R/A 5POS 1.25MM   [WM7623DKR-ND] [SMD]</v>
      </c>
      <c r="B144" s="4" t="str">
        <f>IFERROR(__xludf.DUMMYFUNCTION("""COMPUTED_VALUE"""),"OEPS070111")</f>
        <v>OEPS070111</v>
      </c>
      <c r="C144" s="4" t="str">
        <f>IFERROR(__xludf.DUMMYFUNCTION("""COMPUTED_VALUE"""),"SMD")</f>
        <v>SMD</v>
      </c>
      <c r="D144" s="4" t="str">
        <f>IFERROR(__xludf.DUMMYFUNCTION("""COMPUTED_VALUE"""),"WM7623DKR-ND")</f>
        <v>WM7623DKR-ND</v>
      </c>
      <c r="E144" s="4">
        <f>IFERROR(__xludf.DUMMYFUNCTION("""COMPUTED_VALUE"""),1.0)</f>
        <v>1</v>
      </c>
      <c r="F144" s="4" t="str">
        <f>IFERROR(__xludf.DUMMYFUNCTION("""COMPUTED_VALUE"""),"Digikey")</f>
        <v>Digikey</v>
      </c>
      <c r="G144" s="4" t="str">
        <f>IFERROR(__xludf.DUMMYFUNCTION("""COMPUTED_VALUE"""),"WM7623DKR-ND")</f>
        <v>WM7623DKR-ND</v>
      </c>
      <c r="H144" s="4"/>
      <c r="I144" s="4"/>
      <c r="J144" s="4"/>
      <c r="K144" s="4"/>
      <c r="L144" s="4"/>
      <c r="M144" s="4"/>
      <c r="N144" s="9" t="str">
        <f>IFERROR(__xludf.DUMMYFUNCTION("""COMPUTED_VALUE"""),"OEPS J30 024")</f>
        <v>OEPS J30 024</v>
      </c>
      <c r="O144" s="4" t="str">
        <f>IFERROR(__xludf.DUMMYFUNCTION("""COMPUTED_VALUE"""),"RC0603FR-0710KL")</f>
        <v>RC0603FR-0710KL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>
      <c r="A145" s="4" t="str">
        <f>IFERROR(__xludf.DUMMYFUNCTION("""COMPUTED_VALUE"""),"CONNECTOR:   CONN MICRO SD CARD PUSH-PULL R/A   [0475710001] [SMD]")</f>
        <v>CONNECTOR:   CONN MICRO SD CARD PUSH-PULL R/A   [0475710001] [SMD]</v>
      </c>
      <c r="B145" s="4" t="str">
        <f>IFERROR(__xludf.DUMMYFUNCTION("""COMPUTED_VALUE"""),"OEPS070078")</f>
        <v>OEPS070078</v>
      </c>
      <c r="C145" s="4" t="str">
        <f>IFERROR(__xludf.DUMMYFUNCTION("""COMPUTED_VALUE"""),"SMD")</f>
        <v>SMD</v>
      </c>
      <c r="D145" s="4" t="str">
        <f>IFERROR(__xludf.DUMMYFUNCTION("""COMPUTED_VALUE"""),"0475710001")</f>
        <v>0475710001</v>
      </c>
      <c r="E145" s="4">
        <f>IFERROR(__xludf.DUMMYFUNCTION("""COMPUTED_VALUE"""),1.0)</f>
        <v>1</v>
      </c>
      <c r="F145" s="4" t="str">
        <f>IFERROR(__xludf.DUMMYFUNCTION("""COMPUTED_VALUE"""),"Digikey")</f>
        <v>Digikey</v>
      </c>
      <c r="G145" s="4" t="str">
        <f>IFERROR(__xludf.DUMMYFUNCTION("""COMPUTED_VALUE"""),"WM9731DKR-ND")</f>
        <v>WM9731DKR-ND</v>
      </c>
      <c r="H145" s="4"/>
      <c r="I145" s="4"/>
      <c r="J145" s="4"/>
      <c r="K145" s="4"/>
      <c r="L145" s="4"/>
      <c r="M145" s="4"/>
      <c r="N145" s="9" t="str">
        <f>IFERROR(__xludf.DUMMYFUNCTION("""COMPUTED_VALUE"""),"OEPS J30 025")</f>
        <v>OEPS J30 025</v>
      </c>
      <c r="O145" s="4" t="str">
        <f>IFERROR(__xludf.DUMMYFUNCTION("""COMPUTED_VALUE"""),"RC0603FR-0711KL")</f>
        <v>RC0603FR-0711KL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>
      <c r="A146" s="4" t="str">
        <f>IFERROR(__xludf.DUMMYFUNCTION("""COMPUTED_VALUE"""),"CONNECTOR:   CONN MICRO SD CARD R/A   [693071010811] [SMD]")</f>
        <v>CONNECTOR:   CONN MICRO SD CARD R/A   [693071010811] [SMD]</v>
      </c>
      <c r="B146" s="4" t="str">
        <f>IFERROR(__xludf.DUMMYFUNCTION("""COMPUTED_VALUE"""),"OEPS070119")</f>
        <v>OEPS070119</v>
      </c>
      <c r="C146" s="4" t="str">
        <f>IFERROR(__xludf.DUMMYFUNCTION("""COMPUTED_VALUE"""),"SMD")</f>
        <v>SMD</v>
      </c>
      <c r="D146" s="4" t="str">
        <f>IFERROR(__xludf.DUMMYFUNCTION("""COMPUTED_VALUE"""),"693071010811")</f>
        <v>693071010811</v>
      </c>
      <c r="E146" s="4">
        <f>IFERROR(__xludf.DUMMYFUNCTION("""COMPUTED_VALUE"""),1.0)</f>
        <v>1</v>
      </c>
      <c r="F146" s="4" t="str">
        <f>IFERROR(__xludf.DUMMYFUNCTION("""COMPUTED_VALUE"""),"Digikey")</f>
        <v>Digikey</v>
      </c>
      <c r="G146" s="4" t="str">
        <f>IFERROR(__xludf.DUMMYFUNCTION("""COMPUTED_VALUE"""),"732-3819-6-ND")</f>
        <v>732-3819-6-ND</v>
      </c>
      <c r="H146" s="4"/>
      <c r="I146" s="4"/>
      <c r="J146" s="4"/>
      <c r="K146" s="4"/>
      <c r="L146" s="4"/>
      <c r="M146" s="4"/>
      <c r="N146" s="9" t="str">
        <f>IFERROR(__xludf.DUMMYFUNCTION("""COMPUTED_VALUE"""),"OEPS J30 026")</f>
        <v>OEPS J30 026</v>
      </c>
      <c r="O146" s="4" t="str">
        <f>IFERROR(__xludf.DUMMYFUNCTION("""COMPUTED_VALUE"""),"RC0603FR-0730K1L")</f>
        <v>RC0603FR-0730K1L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>
      <c r="A147" s="4" t="str">
        <f>IFERROR(__xludf.DUMMYFUNCTION("""COMPUTED_VALUE"""),"CONNECTOR:   CONN PLUG 34POS SMD GOLD (OEPS Z00 002)   [5046223412] [SMD]")</f>
        <v>CONNECTOR:   CONN PLUG 34POS SMD GOLD (OEPS Z00 002)   [5046223412] [SMD]</v>
      </c>
      <c r="B147" s="4" t="str">
        <f>IFERROR(__xludf.DUMMYFUNCTION("""COMPUTED_VALUE"""),"OEPS070085")</f>
        <v>OEPS070085</v>
      </c>
      <c r="C147" s="4" t="str">
        <f>IFERROR(__xludf.DUMMYFUNCTION("""COMPUTED_VALUE"""),"SMD")</f>
        <v>SMD</v>
      </c>
      <c r="D147" s="4" t="str">
        <f>IFERROR(__xludf.DUMMYFUNCTION("""COMPUTED_VALUE"""),"5046223412")</f>
        <v>5046223412</v>
      </c>
      <c r="E147" s="4">
        <f>IFERROR(__xludf.DUMMYFUNCTION("""COMPUTED_VALUE"""),10.0)</f>
        <v>10</v>
      </c>
      <c r="F147" s="4" t="str">
        <f>IFERROR(__xludf.DUMMYFUNCTION("""COMPUTED_VALUE"""),"DigiKey")</f>
        <v>DigiKey</v>
      </c>
      <c r="G147" s="4" t="str">
        <f>IFERROR(__xludf.DUMMYFUNCTION("""COMPUTED_VALUE"""),"23-5046223412DKR-ND")</f>
        <v>23-5046223412DKR-ND</v>
      </c>
      <c r="H147" s="4"/>
      <c r="I147" s="4"/>
      <c r="J147" s="4"/>
      <c r="K147" s="4"/>
      <c r="L147" s="4"/>
      <c r="M147" s="4"/>
      <c r="N147" s="9" t="str">
        <f>IFERROR(__xludf.DUMMYFUNCTION("""COMPUTED_VALUE"""),"OEPS J30 027")</f>
        <v>OEPS J30 027</v>
      </c>
      <c r="O147" s="4" t="str">
        <f>IFERROR(__xludf.DUMMYFUNCTION("""COMPUTED_VALUE"""),"RC0603FR-07100KL")</f>
        <v>RC0603FR-07100KL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>
      <c r="A148" s="4" t="str">
        <f>IFERROR(__xludf.DUMMYFUNCTION("""COMPUTED_VALUE"""),"CONNECTOR:   CONN PLUG 3POS IDC 20-22AWG GOLD   [37103-2165-000 FL 100] [TH]")</f>
        <v>CONNECTOR:   CONN PLUG 3POS IDC 20-22AWG GOLD   [37103-2165-000 FL 100] [TH]</v>
      </c>
      <c r="B148" s="4" t="str">
        <f>IFERROR(__xludf.DUMMYFUNCTION("""COMPUTED_VALUE"""),"OEPS070056")</f>
        <v>OEPS070056</v>
      </c>
      <c r="C148" s="4" t="str">
        <f>IFERROR(__xludf.DUMMYFUNCTION("""COMPUTED_VALUE"""),"TH")</f>
        <v>TH</v>
      </c>
      <c r="D148" s="4" t="str">
        <f>IFERROR(__xludf.DUMMYFUNCTION("""COMPUTED_VALUE"""),"37103-2165-000 FL 100")</f>
        <v>37103-2165-000 FL 100</v>
      </c>
      <c r="E148" s="4">
        <f>IFERROR(__xludf.DUMMYFUNCTION("""COMPUTED_VALUE"""),1.0)</f>
        <v>1</v>
      </c>
      <c r="F148" s="4" t="str">
        <f>IFERROR(__xludf.DUMMYFUNCTION("""COMPUTED_VALUE"""),"DigiKey")</f>
        <v>DigiKey</v>
      </c>
      <c r="G148" s="4" t="str">
        <f>IFERROR(__xludf.DUMMYFUNCTION("""COMPUTED_VALUE"""),"3M155967-ND")</f>
        <v>3M155967-ND</v>
      </c>
      <c r="H148" s="4"/>
      <c r="I148" s="4"/>
      <c r="J148" s="4"/>
      <c r="K148" s="4"/>
      <c r="L148" s="4"/>
      <c r="M148" s="4"/>
      <c r="N148" s="9" t="str">
        <f>IFERROR(__xludf.DUMMYFUNCTION("""COMPUTED_VALUE"""),"OEPS J30 028")</f>
        <v>OEPS J30 028</v>
      </c>
      <c r="O148" s="4" t="str">
        <f>IFERROR(__xludf.DUMMYFUNCTION("""COMPUTED_VALUE"""),"RC0603FR-071ML")</f>
        <v>RC0603FR-071ML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>
      <c r="A149" s="4" t="str">
        <f>IFERROR(__xludf.DUMMYFUNCTION("""COMPUTED_VALUE"""),"CONNECTOR:   CONN PLUG 4POS IDC 20-22AWG GOLD   [37104-2165-000 FL 100] [TH]")</f>
        <v>CONNECTOR:   CONN PLUG 4POS IDC 20-22AWG GOLD   [37104-2165-000 FL 100] [TH]</v>
      </c>
      <c r="B149" s="4" t="str">
        <f>IFERROR(__xludf.DUMMYFUNCTION("""COMPUTED_VALUE"""),"OEPS070055")</f>
        <v>OEPS070055</v>
      </c>
      <c r="C149" s="4" t="str">
        <f>IFERROR(__xludf.DUMMYFUNCTION("""COMPUTED_VALUE"""),"TH")</f>
        <v>TH</v>
      </c>
      <c r="D149" s="4" t="str">
        <f>IFERROR(__xludf.DUMMYFUNCTION("""COMPUTED_VALUE"""),"37104-2165-000 FL 100")</f>
        <v>37104-2165-000 FL 100</v>
      </c>
      <c r="E149" s="4">
        <f>IFERROR(__xludf.DUMMYFUNCTION("""COMPUTED_VALUE"""),1.0)</f>
        <v>1</v>
      </c>
      <c r="F149" s="4" t="str">
        <f>IFERROR(__xludf.DUMMYFUNCTION("""COMPUTED_VALUE"""),"DigiKey")</f>
        <v>DigiKey</v>
      </c>
      <c r="G149" s="4" t="str">
        <f>IFERROR(__xludf.DUMMYFUNCTION("""COMPUTED_VALUE"""),"3M155844-ND")</f>
        <v>3M155844-ND</v>
      </c>
      <c r="H149" s="4"/>
      <c r="I149" s="4"/>
      <c r="J149" s="4"/>
      <c r="K149" s="4"/>
      <c r="L149" s="4"/>
      <c r="M149" s="4"/>
      <c r="N149" s="9" t="str">
        <f>IFERROR(__xludf.DUMMYFUNCTION("""COMPUTED_VALUE"""),"OEPS J30 029")</f>
        <v>OEPS J30 029</v>
      </c>
      <c r="O149" s="4" t="str">
        <f>IFERROR(__xludf.DUMMYFUNCTION("""COMPUTED_VALUE"""),"BLM21PG221SN1D")</f>
        <v>BLM21PG221SN1D</v>
      </c>
      <c r="P149" s="4" t="str">
        <f>IFERROR(__xludf.DUMMYFUNCTION("""COMPUTED_VALUE"""),"17(R) ")</f>
        <v>17(R) </v>
      </c>
      <c r="Q149" s="4">
        <f>IFERROR(__xludf.DUMMYFUNCTION("""COMPUTED_VALUE"""),17.0)</f>
        <v>17</v>
      </c>
      <c r="R149" s="4">
        <f>IFERROR(__xludf.DUMMYFUNCTION("""COMPUTED_VALUE"""),17.0)</f>
        <v>17</v>
      </c>
      <c r="S149" s="4" t="str">
        <f>IFERROR(__xludf.DUMMYFUNCTION("""COMPUTED_VALUE"""),"Reel")</f>
        <v>Reel</v>
      </c>
      <c r="T149" s="4" t="str">
        <f>IFERROR(__xludf.DUMMYFUNCTION("""COMPUTED_VALUE"""),"0421")</f>
        <v>0421</v>
      </c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>
      <c r="A150" s="4" t="str">
        <f>IFERROR(__xludf.DUMMYFUNCTION("""COMPUTED_VALUE"""),"CONNECTOR:   CONN POWER JACK 2.0mm SM R/A   [PJ-036AH-SMT-TR] [SMD]")</f>
        <v>CONNECTOR:   CONN POWER JACK 2.0mm SM R/A   [PJ-036AH-SMT-TR] [SMD]</v>
      </c>
      <c r="B150" s="4" t="str">
        <f>IFERROR(__xludf.DUMMYFUNCTION("""COMPUTED_VALUE"""),"OEPS070122")</f>
        <v>OEPS070122</v>
      </c>
      <c r="C150" s="4" t="str">
        <f>IFERROR(__xludf.DUMMYFUNCTION("""COMPUTED_VALUE"""),"SMD")</f>
        <v>SMD</v>
      </c>
      <c r="D150" s="4" t="str">
        <f>IFERROR(__xludf.DUMMYFUNCTION("""COMPUTED_VALUE"""),"PJ-036AH-SMT-TR")</f>
        <v>PJ-036AH-SMT-TR</v>
      </c>
      <c r="E150" s="4">
        <f>IFERROR(__xludf.DUMMYFUNCTION("""COMPUTED_VALUE"""),1.0)</f>
        <v>1</v>
      </c>
      <c r="F150" s="4" t="str">
        <f>IFERROR(__xludf.DUMMYFUNCTION("""COMPUTED_VALUE"""),"Digikey")</f>
        <v>Digikey</v>
      </c>
      <c r="G150" s="4" t="str">
        <f>IFERROR(__xludf.DUMMYFUNCTION("""COMPUTED_VALUE"""),"CP-036AHPJDKR-ND")</f>
        <v>CP-036AHPJDKR-ND</v>
      </c>
      <c r="H150" s="4"/>
      <c r="I150" s="4"/>
      <c r="J150" s="4"/>
      <c r="K150" s="4"/>
      <c r="L150" s="4"/>
      <c r="M150" s="4"/>
      <c r="N150" s="9" t="str">
        <f>IFERROR(__xludf.DUMMYFUNCTION("""COMPUTED_VALUE"""),"OEPS J30 030")</f>
        <v>OEPS J30 030</v>
      </c>
      <c r="O150" s="4" t="str">
        <f>IFERROR(__xludf.DUMMYFUNCTION("""COMPUTED_VALUE"""),"BLM18KG601SN1D")</f>
        <v>BLM18KG601SN1D</v>
      </c>
      <c r="P150" s="4" t="str">
        <f>IFERROR(__xludf.DUMMYFUNCTION("""COMPUTED_VALUE"""),"30(R) ")</f>
        <v>30(R) </v>
      </c>
      <c r="Q150" s="4">
        <f>IFERROR(__xludf.DUMMYFUNCTION("""COMPUTED_VALUE"""),30.0)</f>
        <v>30</v>
      </c>
      <c r="R150" s="4">
        <f>IFERROR(__xludf.DUMMYFUNCTION("""COMPUTED_VALUE"""),30.0)</f>
        <v>30</v>
      </c>
      <c r="S150" s="4" t="str">
        <f>IFERROR(__xludf.DUMMYFUNCTION("""COMPUTED_VALUE"""),"Reel")</f>
        <v>Reel</v>
      </c>
      <c r="T150" s="4" t="str">
        <f>IFERROR(__xludf.DUMMYFUNCTION("""COMPUTED_VALUE"""),"0421")</f>
        <v>0421</v>
      </c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>
      <c r="A151" s="4" t="str">
        <f>IFERROR(__xludf.DUMMYFUNCTION("""COMPUTED_VALUE"""),"CONNECTOR:   CONN POWER JACK 2.50mm SM R/A (OEPS J30 048)   [PJ-036BH-SMT-TR] [SMD]")</f>
        <v>CONNECTOR:   CONN POWER JACK 2.50mm SM R/A (OEPS J30 048)   [PJ-036BH-SMT-TR] [SMD]</v>
      </c>
      <c r="B151" s="4" t="str">
        <f>IFERROR(__xludf.DUMMYFUNCTION("""COMPUTED_VALUE"""),"OEPS070092")</f>
        <v>OEPS070092</v>
      </c>
      <c r="C151" s="4" t="str">
        <f>IFERROR(__xludf.DUMMYFUNCTION("""COMPUTED_VALUE"""),"SMD")</f>
        <v>SMD</v>
      </c>
      <c r="D151" s="4" t="str">
        <f>IFERROR(__xludf.DUMMYFUNCTION("""COMPUTED_VALUE"""),"PJ-036BH-SMT-TR")</f>
        <v>PJ-036BH-SMT-TR</v>
      </c>
      <c r="E151" s="4">
        <f>IFERROR(__xludf.DUMMYFUNCTION("""COMPUTED_VALUE"""),1.0)</f>
        <v>1</v>
      </c>
      <c r="F151" s="4" t="str">
        <f>IFERROR(__xludf.DUMMYFUNCTION("""COMPUTED_VALUE"""),"Digikey")</f>
        <v>Digikey</v>
      </c>
      <c r="G151" s="4" t="str">
        <f>IFERROR(__xludf.DUMMYFUNCTION("""COMPUTED_VALUE"""),"CP-036BHPJDKR-ND")</f>
        <v>CP-036BHPJDKR-ND</v>
      </c>
      <c r="H151" s="4"/>
      <c r="I151" s="4"/>
      <c r="J151" s="4"/>
      <c r="K151" s="4"/>
      <c r="L151" s="4"/>
      <c r="M151" s="4"/>
      <c r="N151" s="9" t="str">
        <f>IFERROR(__xludf.DUMMYFUNCTION("""COMPUTED_VALUE"""),"OEPS J30 031")</f>
        <v>OEPS J30 031</v>
      </c>
      <c r="O151" s="4" t="str">
        <f>IFERROR(__xludf.DUMMYFUNCTION("""COMPUTED_VALUE"""),"LQM21PN1R2MC0D")</f>
        <v>LQM21PN1R2MC0D</v>
      </c>
      <c r="P151" s="4" t="str">
        <f>IFERROR(__xludf.DUMMYFUNCTION("""COMPUTED_VALUE"""),"31(R) ")</f>
        <v>31(R) </v>
      </c>
      <c r="Q151" s="4">
        <f>IFERROR(__xludf.DUMMYFUNCTION("""COMPUTED_VALUE"""),31.0)</f>
        <v>31</v>
      </c>
      <c r="R151" s="4">
        <f>IFERROR(__xludf.DUMMYFUNCTION("""COMPUTED_VALUE"""),31.0)</f>
        <v>31</v>
      </c>
      <c r="S151" s="4" t="str">
        <f>IFERROR(__xludf.DUMMYFUNCTION("""COMPUTED_VALUE"""),"Reel")</f>
        <v>Reel</v>
      </c>
      <c r="T151" s="4" t="str">
        <f>IFERROR(__xludf.DUMMYFUNCTION("""COMPUTED_VALUE"""),"0421")</f>
        <v>0421</v>
      </c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>
      <c r="A152" s="4" t="str">
        <f>IFERROR(__xludf.DUMMYFUNCTION("""COMPUTED_VALUE"""),"CONNECTOR:   CONN RCPT 1.4 HDMI 19POS R/A   [10029449-111RLF] [SMD]")</f>
        <v>CONNECTOR:   CONN RCPT 1.4 HDMI 19POS R/A   [10029449-111RLF] [SMD]</v>
      </c>
      <c r="B152" s="4" t="str">
        <f>IFERROR(__xludf.DUMMYFUNCTION("""COMPUTED_VALUE"""),"OEPS070086")</f>
        <v>OEPS070086</v>
      </c>
      <c r="C152" s="4" t="str">
        <f>IFERROR(__xludf.DUMMYFUNCTION("""COMPUTED_VALUE"""),"SMD")</f>
        <v>SMD</v>
      </c>
      <c r="D152" s="4" t="str">
        <f>IFERROR(__xludf.DUMMYFUNCTION("""COMPUTED_VALUE"""),"10029449-111RLF")</f>
        <v>10029449-111RLF</v>
      </c>
      <c r="E152" s="4">
        <f>IFERROR(__xludf.DUMMYFUNCTION("""COMPUTED_VALUE"""),1.0)</f>
        <v>1</v>
      </c>
      <c r="F152" s="4" t="str">
        <f>IFERROR(__xludf.DUMMYFUNCTION("""COMPUTED_VALUE"""),"DigiKey")</f>
        <v>DigiKey</v>
      </c>
      <c r="G152" s="4" t="str">
        <f>IFERROR(__xludf.DUMMYFUNCTION("""COMPUTED_VALUE"""),"609-4614-6-ND")</f>
        <v>609-4614-6-ND</v>
      </c>
      <c r="H152" s="4"/>
      <c r="I152" s="4"/>
      <c r="J152" s="4"/>
      <c r="K152" s="4"/>
      <c r="L152" s="4"/>
      <c r="M152" s="4"/>
      <c r="N152" s="9" t="str">
        <f>IFERROR(__xludf.DUMMYFUNCTION("""COMPUTED_VALUE"""),"OEPS J30 032")</f>
        <v>OEPS J30 032</v>
      </c>
      <c r="O152" s="4" t="str">
        <f>IFERROR(__xludf.DUMMYFUNCTION("""COMPUTED_VALUE"""),"MPZ2012S601AT000")</f>
        <v>MPZ2012S601AT000</v>
      </c>
      <c r="P152" s="4" t="str">
        <f>IFERROR(__xludf.DUMMYFUNCTION("""COMPUTED_VALUE"""),"34(R) ")</f>
        <v>34(R) </v>
      </c>
      <c r="Q152" s="4">
        <f>IFERROR(__xludf.DUMMYFUNCTION("""COMPUTED_VALUE"""),34.0)</f>
        <v>34</v>
      </c>
      <c r="R152" s="4">
        <f>IFERROR(__xludf.DUMMYFUNCTION("""COMPUTED_VALUE"""),34.0)</f>
        <v>34</v>
      </c>
      <c r="S152" s="4" t="str">
        <f>IFERROR(__xludf.DUMMYFUNCTION("""COMPUTED_VALUE"""),"Reel")</f>
        <v>Reel</v>
      </c>
      <c r="T152" s="4" t="str">
        <f>IFERROR(__xludf.DUMMYFUNCTION("""COMPUTED_VALUE"""),"0421")</f>
        <v>0421</v>
      </c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>
      <c r="A153" s="4" t="str">
        <f>IFERROR(__xludf.DUMMYFUNCTION("""COMPUTED_VALUE"""),"CONNECTOR:   CONN RCPT 10P IDC 26-28AWG GOLD   [1658621-1] [Other]")</f>
        <v>CONNECTOR:   CONN RCPT 10P IDC 26-28AWG GOLD   [1658621-1] [Other]</v>
      </c>
      <c r="B153" s="4" t="str">
        <f>IFERROR(__xludf.DUMMYFUNCTION("""COMPUTED_VALUE"""),"OEPS070046")</f>
        <v>OEPS070046</v>
      </c>
      <c r="C153" s="4" t="str">
        <f>IFERROR(__xludf.DUMMYFUNCTION("""COMPUTED_VALUE"""),"Other")</f>
        <v>Other</v>
      </c>
      <c r="D153" s="4" t="str">
        <f>IFERROR(__xludf.DUMMYFUNCTION("""COMPUTED_VALUE"""),"1658621-1")</f>
        <v>1658621-1</v>
      </c>
      <c r="E153" s="4">
        <f>IFERROR(__xludf.DUMMYFUNCTION("""COMPUTED_VALUE"""),1.0)</f>
        <v>1</v>
      </c>
      <c r="F153" s="4" t="str">
        <f>IFERROR(__xludf.DUMMYFUNCTION("""COMPUTED_VALUE"""),"DigiKey")</f>
        <v>DigiKey</v>
      </c>
      <c r="G153" s="4" t="str">
        <f>IFERROR(__xludf.DUMMYFUNCTION("""COMPUTED_VALUE"""),"AKC10H-ND")</f>
        <v>AKC10H-ND</v>
      </c>
      <c r="H153" s="4"/>
      <c r="I153" s="4"/>
      <c r="J153" s="4"/>
      <c r="K153" s="4"/>
      <c r="L153" s="4"/>
      <c r="M153" s="4"/>
      <c r="N153" s="9" t="str">
        <f>IFERROR(__xludf.DUMMYFUNCTION("""COMPUTED_VALUE"""),"OEPS J30 033A")</f>
        <v>OEPS J30 033A</v>
      </c>
      <c r="O153" s="4" t="str">
        <f>IFERROR(__xludf.DUMMYFUNCTION("""COMPUTED_VALUE"""),"MLP2012S4R7MT0S1")</f>
        <v>MLP2012S4R7MT0S1</v>
      </c>
      <c r="P153" s="4" t="str">
        <f>IFERROR(__xludf.DUMMYFUNCTION("""COMPUTED_VALUE"""),"19(R) ")</f>
        <v>19(R) </v>
      </c>
      <c r="Q153" s="4">
        <f>IFERROR(__xludf.DUMMYFUNCTION("""COMPUTED_VALUE"""),19.0)</f>
        <v>19</v>
      </c>
      <c r="R153" s="4">
        <f>IFERROR(__xludf.DUMMYFUNCTION("""COMPUTED_VALUE"""),19.0)</f>
        <v>19</v>
      </c>
      <c r="S153" s="4" t="str">
        <f>IFERROR(__xludf.DUMMYFUNCTION("""COMPUTED_VALUE"""),"Reel")</f>
        <v>Reel</v>
      </c>
      <c r="T153" s="4" t="str">
        <f>IFERROR(__xludf.DUMMYFUNCTION("""COMPUTED_VALUE"""),"0421")</f>
        <v>0421</v>
      </c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>
      <c r="A154" s="4" t="str">
        <f>IFERROR(__xludf.DUMMYFUNCTION("""COMPUTED_VALUE"""),"CONNECTOR:   CONN RCPT 12POS 0.079 GOLD PCB   [37212-62M3-003PL] [TH]")</f>
        <v>CONNECTOR:   CONN RCPT 12POS 0.079 GOLD PCB   [37212-62M3-003PL] [TH]</v>
      </c>
      <c r="B154" s="4" t="str">
        <f>IFERROR(__xludf.DUMMYFUNCTION("""COMPUTED_VALUE"""),"OEPS070054")</f>
        <v>OEPS070054</v>
      </c>
      <c r="C154" s="4" t="str">
        <f>IFERROR(__xludf.DUMMYFUNCTION("""COMPUTED_VALUE"""),"TH")</f>
        <v>TH</v>
      </c>
      <c r="D154" s="4" t="str">
        <f>IFERROR(__xludf.DUMMYFUNCTION("""COMPUTED_VALUE"""),"37212-62M3-003PL")</f>
        <v>37212-62M3-003PL</v>
      </c>
      <c r="E154" s="4">
        <f>IFERROR(__xludf.DUMMYFUNCTION("""COMPUTED_VALUE"""),1.0)</f>
        <v>1</v>
      </c>
      <c r="F154" s="4" t="str">
        <f>IFERROR(__xludf.DUMMYFUNCTION("""COMPUTED_VALUE"""),"DigiKey")</f>
        <v>DigiKey</v>
      </c>
      <c r="G154" s="4" t="str">
        <f>IFERROR(__xludf.DUMMYFUNCTION("""COMPUTED_VALUE"""),"3M5717-ND")</f>
        <v>3M5717-ND</v>
      </c>
      <c r="H154" s="4"/>
      <c r="I154" s="4"/>
      <c r="J154" s="4"/>
      <c r="K154" s="4"/>
      <c r="L154" s="4"/>
      <c r="M154" s="4"/>
      <c r="N154" s="9" t="str">
        <f>IFERROR(__xludf.DUMMYFUNCTION("""COMPUTED_VALUE"""),"OEPS J30 034")</f>
        <v>OEPS J30 034</v>
      </c>
      <c r="O154" s="4" t="str">
        <f>IFERROR(__xludf.DUMMYFUNCTION("""COMPUTED_VALUE"""),"CBC3225T101MR")</f>
        <v>CBC3225T101MR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>
      <c r="A155" s="4" t="str">
        <f>IFERROR(__xludf.DUMMYFUNCTION("""COMPUTED_VALUE"""),"CONNECTOR:   CONN RCPT 34POS SMD GOLD (OEPS Z00 001)   [5046183412] [SMD]")</f>
        <v>CONNECTOR:   CONN RCPT 34POS SMD GOLD (OEPS Z00 001)   [5046183412] [SMD]</v>
      </c>
      <c r="B155" s="4" t="str">
        <f>IFERROR(__xludf.DUMMYFUNCTION("""COMPUTED_VALUE"""),"OEPS070084")</f>
        <v>OEPS070084</v>
      </c>
      <c r="C155" s="4" t="str">
        <f>IFERROR(__xludf.DUMMYFUNCTION("""COMPUTED_VALUE"""),"SMD")</f>
        <v>SMD</v>
      </c>
      <c r="D155" s="4" t="str">
        <f>IFERROR(__xludf.DUMMYFUNCTION("""COMPUTED_VALUE"""),"5046183412")</f>
        <v>5046183412</v>
      </c>
      <c r="E155" s="4">
        <f>IFERROR(__xludf.DUMMYFUNCTION("""COMPUTED_VALUE"""),10.0)</f>
        <v>10</v>
      </c>
      <c r="F155" s="4" t="str">
        <f>IFERROR(__xludf.DUMMYFUNCTION("""COMPUTED_VALUE"""),"DigiKey")</f>
        <v>DigiKey</v>
      </c>
      <c r="G155" s="4" t="str">
        <f>IFERROR(__xludf.DUMMYFUNCTION("""COMPUTED_VALUE"""),"23-5046183412DKR-ND")</f>
        <v>23-5046183412DKR-ND</v>
      </c>
      <c r="H155" s="4"/>
      <c r="I155" s="4"/>
      <c r="J155" s="4"/>
      <c r="K155" s="4"/>
      <c r="L155" s="4"/>
      <c r="M155" s="4"/>
      <c r="N155" s="9" t="str">
        <f>IFERROR(__xludf.DUMMYFUNCTION("""COMPUTED_VALUE"""),"OEPS J30 035")</f>
        <v>OEPS J30 035</v>
      </c>
      <c r="O155" s="4" t="str">
        <f>IFERROR(__xludf.DUMMYFUNCTION("""COMPUTED_VALUE"""),"XLH536026000000I")</f>
        <v>XLH536026000000I</v>
      </c>
      <c r="P155" s="4" t="str">
        <f>IFERROR(__xludf.DUMMYFUNCTION("""COMPUTED_VALUE"""),"2(Tp) ")</f>
        <v>2(Tp) </v>
      </c>
      <c r="Q155" s="4">
        <f>IFERROR(__xludf.DUMMYFUNCTION("""COMPUTED_VALUE"""),2.0)</f>
        <v>2</v>
      </c>
      <c r="R155" s="4">
        <f>IFERROR(__xludf.DUMMYFUNCTION("""COMPUTED_VALUE"""),2.0)</f>
        <v>2</v>
      </c>
      <c r="S155" s="4" t="str">
        <f>IFERROR(__xludf.DUMMYFUNCTION("""COMPUTED_VALUE"""),"Tape")</f>
        <v>Tape</v>
      </c>
      <c r="T155" s="4" t="str">
        <f>IFERROR(__xludf.DUMMYFUNCTION("""COMPUTED_VALUE"""),"0923")</f>
        <v>0923</v>
      </c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>
      <c r="A156" s="4" t="str">
        <f>IFERROR(__xludf.DUMMYFUNCTION("""COMPUTED_VALUE"""),"CONNECTOR:   CONN RCPT 4P 0.031 GOLD SMD R/A   [MQ172X-4PA(30)] [SMD]")</f>
        <v>CONNECTOR:   CONN RCPT 4P 0.031 GOLD SMD R/A   [MQ172X-4PA(30)] [SMD]</v>
      </c>
      <c r="B156" s="4" t="str">
        <f>IFERROR(__xludf.DUMMYFUNCTION("""COMPUTED_VALUE"""),"OEPS070072")</f>
        <v>OEPS070072</v>
      </c>
      <c r="C156" s="4" t="str">
        <f>IFERROR(__xludf.DUMMYFUNCTION("""COMPUTED_VALUE"""),"SMD")</f>
        <v>SMD</v>
      </c>
      <c r="D156" s="4" t="str">
        <f>IFERROR(__xludf.DUMMYFUNCTION("""COMPUTED_VALUE"""),"MQ172X-4PA(30)")</f>
        <v>MQ172X-4PA(30)</v>
      </c>
      <c r="E156" s="4">
        <f>IFERROR(__xludf.DUMMYFUNCTION("""COMPUTED_VALUE"""),1.0)</f>
        <v>1</v>
      </c>
      <c r="F156" s="4" t="str">
        <f>IFERROR(__xludf.DUMMYFUNCTION("""COMPUTED_VALUE"""),"DigiKey")</f>
        <v>DigiKey</v>
      </c>
      <c r="G156" s="4" t="str">
        <f>IFERROR(__xludf.DUMMYFUNCTION("""COMPUTED_VALUE"""),"H125250-ND")</f>
        <v>H125250-ND</v>
      </c>
      <c r="H156" s="4"/>
      <c r="I156" s="4"/>
      <c r="J156" s="4"/>
      <c r="K156" s="4"/>
      <c r="L156" s="4"/>
      <c r="M156" s="4"/>
      <c r="N156" s="9" t="str">
        <f>IFERROR(__xludf.DUMMYFUNCTION("""COMPUTED_VALUE"""),"OEPS J30 035A")</f>
        <v>OEPS J30 035A</v>
      </c>
      <c r="O156" s="4" t="str">
        <f>IFERROR(__xludf.DUMMYFUNCTION("""COMPUTED_VALUE"""),"XLH535026.000000I")</f>
        <v>XLH535026.000000I</v>
      </c>
      <c r="P156" s="4" t="str">
        <f>IFERROR(__xludf.DUMMYFUNCTION("""COMPUTED_VALUE"""),"4 17(Tp) ")</f>
        <v>4 17(Tp) </v>
      </c>
      <c r="Q156" s="4">
        <f>IFERROR(__xludf.DUMMYFUNCTION("""COMPUTED_VALUE"""),21.0)</f>
        <v>21</v>
      </c>
      <c r="R156" s="4">
        <f>IFERROR(__xludf.DUMMYFUNCTION("""COMPUTED_VALUE"""),4.0)</f>
        <v>4</v>
      </c>
      <c r="S156" s="4" t="str">
        <f>IFERROR(__xludf.DUMMYFUNCTION("""COMPUTED_VALUE"""),"Bag")</f>
        <v>Bag</v>
      </c>
      <c r="T156" s="4" t="str">
        <f>IFERROR(__xludf.DUMMYFUNCTION("""COMPUTED_VALUE"""),"N/A")</f>
        <v>N/A</v>
      </c>
      <c r="U156" s="4">
        <f>IFERROR(__xludf.DUMMYFUNCTION("""COMPUTED_VALUE"""),17.0)</f>
        <v>17</v>
      </c>
      <c r="V156" s="4" t="str">
        <f>IFERROR(__xludf.DUMMYFUNCTION("""COMPUTED_VALUE"""),"Tape")</f>
        <v>Tape</v>
      </c>
      <c r="W156" s="4" t="str">
        <f>IFERROR(__xludf.DUMMYFUNCTION("""COMPUTED_VALUE"""),"0223")</f>
        <v>0223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>
      <c r="A157" s="4" t="str">
        <f>IFERROR(__xludf.DUMMYFUNCTION("""COMPUTED_VALUE"""),"CONNECTOR:   CONN RCPT 4POS 0.079 GOLD PCB   [37204-62A3-004PL] [TH]")</f>
        <v>CONNECTOR:   CONN RCPT 4POS 0.079 GOLD PCB   [37204-62A3-004PL] [TH]</v>
      </c>
      <c r="B157" s="4" t="str">
        <f>IFERROR(__xludf.DUMMYFUNCTION("""COMPUTED_VALUE"""),"OEPS070053")</f>
        <v>OEPS070053</v>
      </c>
      <c r="C157" s="4" t="str">
        <f>IFERROR(__xludf.DUMMYFUNCTION("""COMPUTED_VALUE"""),"TH")</f>
        <v>TH</v>
      </c>
      <c r="D157" s="4" t="str">
        <f>IFERROR(__xludf.DUMMYFUNCTION("""COMPUTED_VALUE"""),"37204-62A3-004PL")</f>
        <v>37204-62A3-004PL</v>
      </c>
      <c r="E157" s="4">
        <f>IFERROR(__xludf.DUMMYFUNCTION("""COMPUTED_VALUE"""),1.0)</f>
        <v>1</v>
      </c>
      <c r="F157" s="4" t="str">
        <f>IFERROR(__xludf.DUMMYFUNCTION("""COMPUTED_VALUE"""),"DigiKey")</f>
        <v>DigiKey</v>
      </c>
      <c r="G157" s="4" t="str">
        <f>IFERROR(__xludf.DUMMYFUNCTION("""COMPUTED_VALUE"""),"3M5702-ND")</f>
        <v>3M5702-ND</v>
      </c>
      <c r="H157" s="4"/>
      <c r="I157" s="4"/>
      <c r="J157" s="4"/>
      <c r="K157" s="4"/>
      <c r="L157" s="4"/>
      <c r="M157" s="4"/>
      <c r="N157" s="9" t="str">
        <f>IFERROR(__xludf.DUMMYFUNCTION("""COMPUTED_VALUE"""),"OEPS J30 036")</f>
        <v>OEPS J30 036</v>
      </c>
      <c r="O157" s="4" t="str">
        <f>IFERROR(__xludf.DUMMYFUNCTION("""COMPUTED_VALUE"""),"SG-3040LC 32.7680KB3:PURE SN")</f>
        <v>SG-3040LC 32.7680KB3:PURE SN</v>
      </c>
      <c r="P157" s="4" t="str">
        <f>IFERROR(__xludf.DUMMYFUNCTION("""COMPUTED_VALUE"""),"3(Tp) 8 ")</f>
        <v>3(Tp) 8 </v>
      </c>
      <c r="Q157" s="4">
        <f>IFERROR(__xludf.DUMMYFUNCTION("""COMPUTED_VALUE"""),11.0)</f>
        <v>11</v>
      </c>
      <c r="R157" s="4">
        <f>IFERROR(__xludf.DUMMYFUNCTION("""COMPUTED_VALUE"""),3.0)</f>
        <v>3</v>
      </c>
      <c r="S157" s="4" t="str">
        <f>IFERROR(__xludf.DUMMYFUNCTION("""COMPUTED_VALUE"""),"Tape")</f>
        <v>Tape</v>
      </c>
      <c r="T157" s="4" t="str">
        <f>IFERROR(__xludf.DUMMYFUNCTION("""COMPUTED_VALUE"""),"0920")</f>
        <v>0920</v>
      </c>
      <c r="U157" s="4">
        <f>IFERROR(__xludf.DUMMYFUNCTION("""COMPUTED_VALUE"""),8.0)</f>
        <v>8</v>
      </c>
      <c r="V157" s="4" t="str">
        <f>IFERROR(__xludf.DUMMYFUNCTION("""COMPUTED_VALUE"""),"Bag")</f>
        <v>Bag</v>
      </c>
      <c r="W157" s="4" t="str">
        <f>IFERROR(__xludf.DUMMYFUNCTION("""COMPUTED_VALUE"""),"N/A")</f>
        <v>N/A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>
      <c r="A158" s="4" t="str">
        <f>IFERROR(__xludf.DUMMYFUNCTION("""COMPUTED_VALUE"""),"CONNECTOR:   CONN RCPT 70POS GOLD (OEPS D13 001)   [DF40C(2.0)-70DS-0.4V(51)] [SMD]")</f>
        <v>CONNECTOR:   CONN RCPT 70POS GOLD (OEPS D13 001)   [DF40C(2.0)-70DS-0.4V(51)] [SMD]</v>
      </c>
      <c r="B158" s="4" t="str">
        <f>IFERROR(__xludf.DUMMYFUNCTION("""COMPUTED_VALUE"""),"OEPS070090")</f>
        <v>OEPS070090</v>
      </c>
      <c r="C158" s="4" t="str">
        <f>IFERROR(__xludf.DUMMYFUNCTION("""COMPUTED_VALUE"""),"SMD")</f>
        <v>SMD</v>
      </c>
      <c r="D158" s="4" t="str">
        <f>IFERROR(__xludf.DUMMYFUNCTION("""COMPUTED_VALUE"""),"DF40C(2.0)-70DS-0.4V(51)")</f>
        <v>DF40C(2.0)-70DS-0.4V(51)</v>
      </c>
      <c r="E158" s="4">
        <f>IFERROR(__xludf.DUMMYFUNCTION("""COMPUTED_VALUE"""),3.0)</f>
        <v>3</v>
      </c>
      <c r="F158" s="4" t="str">
        <f>IFERROR(__xludf.DUMMYFUNCTION("""COMPUTED_VALUE"""),"Digikey")</f>
        <v>Digikey</v>
      </c>
      <c r="G158" s="4" t="str">
        <f>IFERROR(__xludf.DUMMYFUNCTION("""COMPUTED_VALUE"""),"H11908DKR-ND")</f>
        <v>H11908DKR-ND</v>
      </c>
      <c r="H158" s="4"/>
      <c r="I158" s="4"/>
      <c r="J158" s="4"/>
      <c r="K158" s="4"/>
      <c r="L158" s="4"/>
      <c r="M158" s="4"/>
      <c r="N158" s="9" t="str">
        <f>IFERROR(__xludf.DUMMYFUNCTION("""COMPUTED_VALUE"""),"OEPS J30 037")</f>
        <v>OEPS J30 037</v>
      </c>
      <c r="O158" s="4" t="str">
        <f>IFERROR(__xludf.DUMMYFUNCTION("""COMPUTED_VALUE"""),"SP3010-04UTG")</f>
        <v>SP3010-04UTG</v>
      </c>
      <c r="P158" s="4" t="str">
        <f>IFERROR(__xludf.DUMMYFUNCTION("""COMPUTED_VALUE"""),"4(Tp) ")</f>
        <v>4(Tp) </v>
      </c>
      <c r="Q158" s="4">
        <f>IFERROR(__xludf.DUMMYFUNCTION("""COMPUTED_VALUE"""),4.0)</f>
        <v>4</v>
      </c>
      <c r="R158" s="4">
        <f>IFERROR(__xludf.DUMMYFUNCTION("""COMPUTED_VALUE"""),4.0)</f>
        <v>4</v>
      </c>
      <c r="S158" s="4" t="str">
        <f>IFERROR(__xludf.DUMMYFUNCTION("""COMPUTED_VALUE"""),"Tape")</f>
        <v>Tape</v>
      </c>
      <c r="T158" s="4" t="str">
        <f>IFERROR(__xludf.DUMMYFUNCTION("""COMPUTED_VALUE"""),"XX20")</f>
        <v>XX20</v>
      </c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>
      <c r="A159" s="4" t="str">
        <f>IFERROR(__xludf.DUMMYFUNCTION("""COMPUTED_VALUE"""),"CONNECTOR:   CONN RCPT 80POS GOLD   [BTE-040-01-F-D-A] [SMD]")</f>
        <v>CONNECTOR:   CONN RCPT 80POS GOLD   [BTE-040-01-F-D-A] [SMD]</v>
      </c>
      <c r="B159" s="4" t="str">
        <f>IFERROR(__xludf.DUMMYFUNCTION("""COMPUTED_VALUE"""),"OEPS070089")</f>
        <v>OEPS070089</v>
      </c>
      <c r="C159" s="4" t="str">
        <f>IFERROR(__xludf.DUMMYFUNCTION("""COMPUTED_VALUE"""),"SMD")</f>
        <v>SMD</v>
      </c>
      <c r="D159" s="4" t="str">
        <f>IFERROR(__xludf.DUMMYFUNCTION("""COMPUTED_VALUE"""),"BTE-040-01-F-D-A")</f>
        <v>BTE-040-01-F-D-A</v>
      </c>
      <c r="E159" s="4">
        <f>IFERROR(__xludf.DUMMYFUNCTION("""COMPUTED_VALUE"""),1.0)</f>
        <v>1</v>
      </c>
      <c r="F159" s="4" t="str">
        <f>IFERROR(__xludf.DUMMYFUNCTION("""COMPUTED_VALUE"""),"Digikey")</f>
        <v>Digikey</v>
      </c>
      <c r="G159" s="4" t="str">
        <f>IFERROR(__xludf.DUMMYFUNCTION("""COMPUTED_VALUE"""),"SAM9060-ND")</f>
        <v>SAM9060-ND</v>
      </c>
      <c r="H159" s="4"/>
      <c r="I159" s="4"/>
      <c r="J159" s="4"/>
      <c r="K159" s="4"/>
      <c r="L159" s="4"/>
      <c r="M159" s="4"/>
      <c r="N159" s="9" t="str">
        <f>IFERROR(__xludf.DUMMYFUNCTION("""COMPUTED_VALUE"""),"OEPS J30 038A")</f>
        <v>OEPS J30 038A</v>
      </c>
      <c r="O159" s="4" t="str">
        <f>IFERROR(__xludf.DUMMYFUNCTION("""COMPUTED_VALUE"""),"CYUSB3014-BZXC")</f>
        <v>CYUSB3014-BZXC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>
      <c r="A160" s="4" t="str">
        <f>IFERROR(__xludf.DUMMYFUNCTION("""COMPUTED_VALUE"""),"CONNECTOR:   CONN RCPT 80POS SMD GOLD   [BSE-040-01-F-D-A-TR] [SMD]")</f>
        <v>CONNECTOR:   CONN RCPT 80POS SMD GOLD   [BSE-040-01-F-D-A-TR] [SMD]</v>
      </c>
      <c r="B160" s="4" t="str">
        <f>IFERROR(__xludf.DUMMYFUNCTION("""COMPUTED_VALUE"""),"OEPS070100")</f>
        <v>OEPS070100</v>
      </c>
      <c r="C160" s="4" t="str">
        <f>IFERROR(__xludf.DUMMYFUNCTION("""COMPUTED_VALUE"""),"SMD")</f>
        <v>SMD</v>
      </c>
      <c r="D160" s="4" t="str">
        <f>IFERROR(__xludf.DUMMYFUNCTION("""COMPUTED_VALUE"""),"BSE-040-01-F-D-A-TR")</f>
        <v>BSE-040-01-F-D-A-TR</v>
      </c>
      <c r="E160" s="4">
        <f>IFERROR(__xludf.DUMMYFUNCTION("""COMPUTED_VALUE"""),1.0)</f>
        <v>1</v>
      </c>
      <c r="F160" s="4" t="str">
        <f>IFERROR(__xludf.DUMMYFUNCTION("""COMPUTED_VALUE"""),"Digikey")</f>
        <v>Digikey</v>
      </c>
      <c r="G160" s="4" t="str">
        <f>IFERROR(__xludf.DUMMYFUNCTION("""COMPUTED_VALUE"""),"612-BSE-040-01-F-D-A-TRDKR-ND")</f>
        <v>612-BSE-040-01-F-D-A-TRDKR-ND</v>
      </c>
      <c r="H160" s="4"/>
      <c r="I160" s="4"/>
      <c r="J160" s="4"/>
      <c r="K160" s="4"/>
      <c r="L160" s="4"/>
      <c r="M160" s="4"/>
      <c r="N160" s="9" t="str">
        <f>IFERROR(__xludf.DUMMYFUNCTION("""COMPUTED_VALUE"""),"OEPS J30 039")</f>
        <v>OEPS J30 039</v>
      </c>
      <c r="O160" s="4" t="str">
        <f>IFERROR(__xludf.DUMMYFUNCTION("""COMPUTED_VALUE"""),"NCP361SNT1G")</f>
        <v>NCP361SNT1G</v>
      </c>
      <c r="P160" s="4" t="str">
        <f>IFERROR(__xludf.DUMMYFUNCTION("""COMPUTED_VALUE"""),"4(Tp) ")</f>
        <v>4(Tp) </v>
      </c>
      <c r="Q160" s="4">
        <f>IFERROR(__xludf.DUMMYFUNCTION("""COMPUTED_VALUE"""),4.0)</f>
        <v>4</v>
      </c>
      <c r="R160" s="4">
        <f>IFERROR(__xludf.DUMMYFUNCTION("""COMPUTED_VALUE"""),4.0)</f>
        <v>4</v>
      </c>
      <c r="S160" s="4" t="str">
        <f>IFERROR(__xludf.DUMMYFUNCTION("""COMPUTED_VALUE"""),"Tape")</f>
        <v>Tape</v>
      </c>
      <c r="T160" s="4" t="str">
        <f>IFERROR(__xludf.DUMMYFUNCTION("""COMPUTED_VALUE"""),"XX20")</f>
        <v>XX20</v>
      </c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>
      <c r="A161" s="4" t="str">
        <f>IFERROR(__xludf.DUMMYFUNCTION("""COMPUTED_VALUE"""),"CONNECTOR:   CONN RCPT FMALE 4POS GOLD SOLDER   [T4041037041-000] [TH]")</f>
        <v>CONNECTOR:   CONN RCPT FMALE 4POS GOLD SOLDER   [T4041037041-000] [TH]</v>
      </c>
      <c r="B161" s="4" t="str">
        <f>IFERROR(__xludf.DUMMYFUNCTION("""COMPUTED_VALUE"""),"OEPS070108")</f>
        <v>OEPS070108</v>
      </c>
      <c r="C161" s="4" t="str">
        <f>IFERROR(__xludf.DUMMYFUNCTION("""COMPUTED_VALUE"""),"TH")</f>
        <v>TH</v>
      </c>
      <c r="D161" s="4" t="str">
        <f>IFERROR(__xludf.DUMMYFUNCTION("""COMPUTED_VALUE"""),"T4041037041-000")</f>
        <v>T4041037041-000</v>
      </c>
      <c r="E161" s="4">
        <f>IFERROR(__xludf.DUMMYFUNCTION("""COMPUTED_VALUE"""),1.0)</f>
        <v>1</v>
      </c>
      <c r="F161" s="4" t="str">
        <f>IFERROR(__xludf.DUMMYFUNCTION("""COMPUTED_VALUE"""),"Digikey")</f>
        <v>Digikey</v>
      </c>
      <c r="G161" s="4" t="str">
        <f>IFERROR(__xludf.DUMMYFUNCTION("""COMPUTED_VALUE"""),"A126815-ND")</f>
        <v>A126815-ND</v>
      </c>
      <c r="H161" s="4"/>
      <c r="I161" s="4"/>
      <c r="J161" s="4"/>
      <c r="K161" s="4"/>
      <c r="L161" s="4"/>
      <c r="M161" s="4"/>
      <c r="N161" s="9" t="str">
        <f>IFERROR(__xludf.DUMMYFUNCTION("""COMPUTED_VALUE"""),"OEPS J30 040")</f>
        <v>OEPS J30 040</v>
      </c>
      <c r="O161" s="4" t="str">
        <f>IFERROR(__xludf.DUMMYFUNCTION("""COMPUTED_VALUE"""),"DS90UB914ATRHSTQ1")</f>
        <v>DS90UB914ATRHSTQ1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>
      <c r="A162" s="4" t="str">
        <f>IFERROR(__xludf.DUMMYFUNCTION("""COMPUTED_VALUE"""),"CONNECTOR:   CR1220 Battery Holders; 12mm (OEPS K01 013)   [3000] [SMD]")</f>
        <v>CONNECTOR:   CR1220 Battery Holders; 12mm (OEPS K01 013)   [3000] [SMD]</v>
      </c>
      <c r="B162" s="4" t="str">
        <f>IFERROR(__xludf.DUMMYFUNCTION("""COMPUTED_VALUE"""),"OEPS070116")</f>
        <v>OEPS070116</v>
      </c>
      <c r="C162" s="4" t="str">
        <f>IFERROR(__xludf.DUMMYFUNCTION("""COMPUTED_VALUE"""),"SMD")</f>
        <v>SMD</v>
      </c>
      <c r="D162" s="4" t="str">
        <f>IFERROR(__xludf.DUMMYFUNCTION("""COMPUTED_VALUE"""),"3000")</f>
        <v>3000</v>
      </c>
      <c r="E162" s="4">
        <f>IFERROR(__xludf.DUMMYFUNCTION("""COMPUTED_VALUE"""),1.0)</f>
        <v>1</v>
      </c>
      <c r="F162" s="4" t="str">
        <f>IFERROR(__xludf.DUMMYFUNCTION("""COMPUTED_VALUE"""),"Mouser")</f>
        <v>Mouser</v>
      </c>
      <c r="G162" s="4" t="str">
        <f>IFERROR(__xludf.DUMMYFUNCTION("""COMPUTED_VALUE"""),"534-3000")</f>
        <v>534-3000</v>
      </c>
      <c r="H162" s="4"/>
      <c r="I162" s="4"/>
      <c r="J162" s="4"/>
      <c r="K162" s="4"/>
      <c r="L162" s="4"/>
      <c r="M162" s="4"/>
      <c r="N162" s="9" t="str">
        <f>IFERROR(__xludf.DUMMYFUNCTION("""COMPUTED_VALUE"""),"OEPS J30 041A")</f>
        <v>OEPS J30 041A</v>
      </c>
      <c r="O162" s="4" t="str">
        <f>IFERROR(__xludf.DUMMYFUNCTION("""COMPUTED_VALUE"""),"NCV59748MWADJTBG")</f>
        <v>NCV59748MWADJTBG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>
      <c r="A163" s="4" t="str">
        <f>IFERROR(__xludf.DUMMYFUNCTION("""COMPUTED_VALUE"""),"CONNECTOR:   FPC 26POS 0.5MM R/A   [XF2M-2615-1A] [SMD]")</f>
        <v>CONNECTOR:   FPC 26POS 0.5MM R/A   [XF2M-2615-1A] [SMD]</v>
      </c>
      <c r="B163" s="4" t="str">
        <f>IFERROR(__xludf.DUMMYFUNCTION("""COMPUTED_VALUE"""),"OEPS070070")</f>
        <v>OEPS070070</v>
      </c>
      <c r="C163" s="4" t="str">
        <f>IFERROR(__xludf.DUMMYFUNCTION("""COMPUTED_VALUE"""),"SMD")</f>
        <v>SMD</v>
      </c>
      <c r="D163" s="4" t="str">
        <f>IFERROR(__xludf.DUMMYFUNCTION("""COMPUTED_VALUE"""),"XF2M-2615-1A")</f>
        <v>XF2M-2615-1A</v>
      </c>
      <c r="E163" s="4">
        <f>IFERROR(__xludf.DUMMYFUNCTION("""COMPUTED_VALUE"""),1.0)</f>
        <v>1</v>
      </c>
      <c r="F163" s="4" t="str">
        <f>IFERROR(__xludf.DUMMYFUNCTION("""COMPUTED_VALUE"""),"DigiKey")</f>
        <v>DigiKey</v>
      </c>
      <c r="G163" s="4" t="str">
        <f>IFERROR(__xludf.DUMMYFUNCTION("""COMPUTED_VALUE"""),"OR722DKR-ND")</f>
        <v>OR722DKR-ND</v>
      </c>
      <c r="H163" s="4"/>
      <c r="I163" s="4"/>
      <c r="J163" s="4"/>
      <c r="K163" s="4"/>
      <c r="L163" s="4"/>
      <c r="M163" s="4"/>
      <c r="N163" s="9" t="str">
        <f>IFERROR(__xludf.DUMMYFUNCTION("""COMPUTED_VALUE"""),"OEPS J30 041B")</f>
        <v>OEPS J30 041B</v>
      </c>
      <c r="O163" s="4" t="str">
        <f>IFERROR(__xludf.DUMMYFUNCTION("""COMPUTED_VALUE"""),"NCP59744MN1ADJTBG")</f>
        <v>NCP59744MN1ADJTBG</v>
      </c>
      <c r="P163" s="4" t="str">
        <f>IFERROR(__xludf.DUMMYFUNCTION("""COMPUTED_VALUE"""),"5 ")</f>
        <v>5 </v>
      </c>
      <c r="Q163" s="4">
        <f>IFERROR(__xludf.DUMMYFUNCTION("""COMPUTED_VALUE"""),5.0)</f>
        <v>5</v>
      </c>
      <c r="R163" s="4">
        <f>IFERROR(__xludf.DUMMYFUNCTION("""COMPUTED_VALUE"""),5.0)</f>
        <v>5</v>
      </c>
      <c r="S163" s="4" t="str">
        <f>IFERROR(__xludf.DUMMYFUNCTION("""COMPUTED_VALUE"""),"Bag")</f>
        <v>Bag</v>
      </c>
      <c r="T163" s="4" t="str">
        <f>IFERROR(__xludf.DUMMYFUNCTION("""COMPUTED_VALUE"""),"XXXX")</f>
        <v>XXXX</v>
      </c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>
      <c r="A164" s="4" t="str">
        <f>IFERROR(__xludf.DUMMYFUNCTION("""COMPUTED_VALUE"""),"CONNECTOR:   HEADER 0.8MM 8POS   [BM08B-SURS-TF] [SMD]")</f>
        <v>CONNECTOR:   HEADER 0.8MM 8POS   [BM08B-SURS-TF] [SMD]</v>
      </c>
      <c r="B164" s="4" t="str">
        <f>IFERROR(__xludf.DUMMYFUNCTION("""COMPUTED_VALUE"""),"OEPS070149")</f>
        <v>OEPS070149</v>
      </c>
      <c r="C164" s="4" t="str">
        <f>IFERROR(__xludf.DUMMYFUNCTION("""COMPUTED_VALUE"""),"SMD")</f>
        <v>SMD</v>
      </c>
      <c r="D164" s="4" t="str">
        <f>IFERROR(__xludf.DUMMYFUNCTION("""COMPUTED_VALUE"""),"BM08B-SURS-TF")</f>
        <v>BM08B-SURS-TF</v>
      </c>
      <c r="E164" s="4">
        <f>IFERROR(__xludf.DUMMYFUNCTION("""COMPUTED_VALUE"""),1.0)</f>
        <v>1</v>
      </c>
      <c r="F164" s="4" t="str">
        <f>IFERROR(__xludf.DUMMYFUNCTION("""COMPUTED_VALUE"""),"Digikey")</f>
        <v>Digikey</v>
      </c>
      <c r="G164" s="4" t="str">
        <f>IFERROR(__xludf.DUMMYFUNCTION("""COMPUTED_VALUE"""),"455-BM08B-SURS-TFDKR-ND")</f>
        <v>455-BM08B-SURS-TFDKR-ND</v>
      </c>
      <c r="H164" s="4"/>
      <c r="I164" s="4"/>
      <c r="J164" s="4"/>
      <c r="K164" s="4"/>
      <c r="L164" s="4"/>
      <c r="M164" s="4"/>
      <c r="N164" s="9" t="str">
        <f>IFERROR(__xludf.DUMMYFUNCTION("""COMPUTED_VALUE"""),"OEPS J30 042")</f>
        <v>OEPS J30 042</v>
      </c>
      <c r="O164" s="4" t="str">
        <f>IFERROR(__xludf.DUMMYFUNCTION("""COMPUTED_VALUE"""),"TPS76801QDR")</f>
        <v>TPS76801QDR</v>
      </c>
      <c r="P164" s="4" t="str">
        <f>IFERROR(__xludf.DUMMYFUNCTION("""COMPUTED_VALUE"""),"2(Tp) 5(Tb) ")</f>
        <v>2(Tp) 5(Tb) </v>
      </c>
      <c r="Q164" s="4">
        <f>IFERROR(__xludf.DUMMYFUNCTION("""COMPUTED_VALUE"""),7.0)</f>
        <v>7</v>
      </c>
      <c r="R164" s="4">
        <f>IFERROR(__xludf.DUMMYFUNCTION("""COMPUTED_VALUE"""),2.0)</f>
        <v>2</v>
      </c>
      <c r="S164" s="4" t="str">
        <f>IFERROR(__xludf.DUMMYFUNCTION("""COMPUTED_VALUE"""),"Tape")</f>
        <v>Tape</v>
      </c>
      <c r="T164" s="4" t="str">
        <f>IFERROR(__xludf.DUMMYFUNCTION("""COMPUTED_VALUE"""),"XXXX")</f>
        <v>XXXX</v>
      </c>
      <c r="U164" s="4">
        <f>IFERROR(__xludf.DUMMYFUNCTION("""COMPUTED_VALUE"""),5.0)</f>
        <v>5</v>
      </c>
      <c r="V164" s="4" t="str">
        <f>IFERROR(__xludf.DUMMYFUNCTION("""COMPUTED_VALUE"""),"Tube")</f>
        <v>Tube</v>
      </c>
      <c r="W164" s="4" t="str">
        <f>IFERROR(__xludf.DUMMYFUNCTION("""COMPUTED_VALUE"""),"XXXX")</f>
        <v>XXXX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>
      <c r="A165" s="4" t="str">
        <f>IFERROR(__xludf.DUMMYFUNCTION("""COMPUTED_VALUE"""),"CONNECTOR:   HEADER 1.27MM R/A 10POS   [FTSH-105-01-F-D-RA-K] [TH]")</f>
        <v>CONNECTOR:   HEADER 1.27MM R/A 10POS   [FTSH-105-01-F-D-RA-K] [TH]</v>
      </c>
      <c r="B165" s="4" t="str">
        <f>IFERROR(__xludf.DUMMYFUNCTION("""COMPUTED_VALUE"""),"OEPS070147")</f>
        <v>OEPS070147</v>
      </c>
      <c r="C165" s="4" t="str">
        <f>IFERROR(__xludf.DUMMYFUNCTION("""COMPUTED_VALUE"""),"TH")</f>
        <v>TH</v>
      </c>
      <c r="D165" s="4" t="str">
        <f>IFERROR(__xludf.DUMMYFUNCTION("""COMPUTED_VALUE"""),"FTSH-105-01-F-D-RA-K")</f>
        <v>FTSH-105-01-F-D-RA-K</v>
      </c>
      <c r="E165" s="4">
        <f>IFERROR(__xludf.DUMMYFUNCTION("""COMPUTED_VALUE"""),1.0)</f>
        <v>1</v>
      </c>
      <c r="F165" s="4" t="str">
        <f>IFERROR(__xludf.DUMMYFUNCTION("""COMPUTED_VALUE"""),"Digikey")</f>
        <v>Digikey</v>
      </c>
      <c r="G165" s="4" t="str">
        <f>IFERROR(__xludf.DUMMYFUNCTION("""COMPUTED_VALUE"""),"SAM9432-ND")</f>
        <v>SAM9432-ND</v>
      </c>
      <c r="H165" s="4"/>
      <c r="I165" s="4"/>
      <c r="J165" s="4"/>
      <c r="K165" s="4"/>
      <c r="L165" s="4"/>
      <c r="M165" s="4"/>
      <c r="N165" s="9" t="str">
        <f>IFERROR(__xludf.DUMMYFUNCTION("""COMPUTED_VALUE"""),"OEPS J30 043")</f>
        <v>OEPS J30 043</v>
      </c>
      <c r="O165" s="4" t="str">
        <f>IFERROR(__xludf.DUMMYFUNCTION("""COMPUTED_VALUE"""),"TPS62231DRYT")</f>
        <v>TPS62231DRYT</v>
      </c>
      <c r="P165" s="4" t="str">
        <f>IFERROR(__xludf.DUMMYFUNCTION("""COMPUTED_VALUE"""),"3(Tp) ")</f>
        <v>3(Tp) </v>
      </c>
      <c r="Q165" s="4">
        <f>IFERROR(__xludf.DUMMYFUNCTION("""COMPUTED_VALUE"""),3.0)</f>
        <v>3</v>
      </c>
      <c r="R165" s="4">
        <f>IFERROR(__xludf.DUMMYFUNCTION("""COMPUTED_VALUE"""),3.0)</f>
        <v>3</v>
      </c>
      <c r="S165" s="4" t="str">
        <f>IFERROR(__xludf.DUMMYFUNCTION("""COMPUTED_VALUE"""),"Tape")</f>
        <v>Tape</v>
      </c>
      <c r="T165" s="4" t="str">
        <f>IFERROR(__xludf.DUMMYFUNCTION("""COMPUTED_VALUE"""),"XX20")</f>
        <v>XX20</v>
      </c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>
      <c r="A166" s="4" t="str">
        <f>IFERROR(__xludf.DUMMYFUNCTION("""COMPUTED_VALUE"""),"CONNECTOR:   HEADER 1.27MM straight 4x10POS   [MOLC-110-11-S-Q] [TH]")</f>
        <v>CONNECTOR:   HEADER 1.27MM straight 4x10POS   [MOLC-110-11-S-Q] [TH]</v>
      </c>
      <c r="B166" s="4" t="str">
        <f>IFERROR(__xludf.DUMMYFUNCTION("""COMPUTED_VALUE"""),"OEPS070132")</f>
        <v>OEPS070132</v>
      </c>
      <c r="C166" s="4" t="str">
        <f>IFERROR(__xludf.DUMMYFUNCTION("""COMPUTED_VALUE"""),"TH")</f>
        <v>TH</v>
      </c>
      <c r="D166" s="4" t="str">
        <f>IFERROR(__xludf.DUMMYFUNCTION("""COMPUTED_VALUE"""),"MOLC-110-11-S-Q")</f>
        <v>MOLC-110-11-S-Q</v>
      </c>
      <c r="E166" s="4">
        <f>IFERROR(__xludf.DUMMYFUNCTION("""COMPUTED_VALUE"""),1.0)</f>
        <v>1</v>
      </c>
      <c r="F166" s="4" t="str">
        <f>IFERROR(__xludf.DUMMYFUNCTION("""COMPUTED_VALUE"""),"Samtec")</f>
        <v>Samtec</v>
      </c>
      <c r="G166" s="4" t="str">
        <f>IFERROR(__xludf.DUMMYFUNCTION("""COMPUTED_VALUE"""),"MOLC-110-11-S-Q")</f>
        <v>MOLC-110-11-S-Q</v>
      </c>
      <c r="H166" s="4"/>
      <c r="I166" s="4"/>
      <c r="J166" s="4"/>
      <c r="K166" s="4"/>
      <c r="L166" s="4"/>
      <c r="M166" s="4"/>
      <c r="N166" s="9" t="str">
        <f>IFERROR(__xludf.DUMMYFUNCTION("""COMPUTED_VALUE"""),"OEPS J30 044")</f>
        <v>OEPS J30 044</v>
      </c>
      <c r="O166" s="4" t="str">
        <f>IFERROR(__xludf.DUMMYFUNCTION("""COMPUTED_VALUE"""),"MMBT3904-TP")</f>
        <v>MMBT3904-TP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>
      <c r="A167" s="4" t="str">
        <f>IFERROR(__xludf.DUMMYFUNCTION("""COMPUTED_VALUE"""),"CONNECTOR:   HEADER 2.00MM straight 1x5POS GOLD   [NPPN051BFLD-RC] [SMD]")</f>
        <v>CONNECTOR:   HEADER 2.00MM straight 1x5POS GOLD   [NPPN051BFLD-RC] [SMD]</v>
      </c>
      <c r="B167" s="4" t="str">
        <f>IFERROR(__xludf.DUMMYFUNCTION("""COMPUTED_VALUE"""),"OEPS070018")</f>
        <v>OEPS070018</v>
      </c>
      <c r="C167" s="4" t="str">
        <f>IFERROR(__xludf.DUMMYFUNCTION("""COMPUTED_VALUE"""),"SMD")</f>
        <v>SMD</v>
      </c>
      <c r="D167" s="4" t="str">
        <f>IFERROR(__xludf.DUMMYFUNCTION("""COMPUTED_VALUE"""),"NPPN051BFLD-RC")</f>
        <v>NPPN051BFLD-RC</v>
      </c>
      <c r="E167" s="4">
        <f>IFERROR(__xludf.DUMMYFUNCTION("""COMPUTED_VALUE"""),1.0)</f>
        <v>1</v>
      </c>
      <c r="F167" s="4" t="str">
        <f>IFERROR(__xludf.DUMMYFUNCTION("""COMPUTED_VALUE"""),"DigiKey")</f>
        <v>DigiKey</v>
      </c>
      <c r="G167" s="4" t="str">
        <f>IFERROR(__xludf.DUMMYFUNCTION("""COMPUTED_VALUE"""),"S5902-05-ND")</f>
        <v>S5902-05-ND</v>
      </c>
      <c r="H167" s="4"/>
      <c r="I167" s="4"/>
      <c r="J167" s="4"/>
      <c r="K167" s="4"/>
      <c r="L167" s="4"/>
      <c r="M167" s="4"/>
      <c r="N167" s="9" t="str">
        <f>IFERROR(__xludf.DUMMYFUNCTION("""COMPUTED_VALUE"""),"OEPS J30 045")</f>
        <v>OEPS J30 045</v>
      </c>
      <c r="O167" s="4" t="str">
        <f>IFERROR(__xludf.DUMMYFUNCTION("""COMPUTED_VALUE"""),"M24M02-DRMN6TP")</f>
        <v>M24M02-DRMN6TP</v>
      </c>
      <c r="P167" s="4" t="str">
        <f>IFERROR(__xludf.DUMMYFUNCTION("""COMPUTED_VALUE"""),"2(Tp) 9(Tb) ")</f>
        <v>2(Tp) 9(Tb) </v>
      </c>
      <c r="Q167" s="4">
        <f>IFERROR(__xludf.DUMMYFUNCTION("""COMPUTED_VALUE"""),11.0)</f>
        <v>11</v>
      </c>
      <c r="R167" s="4">
        <f>IFERROR(__xludf.DUMMYFUNCTION("""COMPUTED_VALUE"""),2.0)</f>
        <v>2</v>
      </c>
      <c r="S167" s="4" t="str">
        <f>IFERROR(__xludf.DUMMYFUNCTION("""COMPUTED_VALUE"""),"Tape")</f>
        <v>Tape</v>
      </c>
      <c r="T167" s="4" t="str">
        <f>IFERROR(__xludf.DUMMYFUNCTION("""COMPUTED_VALUE"""),"N/A")</f>
        <v>N/A</v>
      </c>
      <c r="U167" s="4">
        <f>IFERROR(__xludf.DUMMYFUNCTION("""COMPUTED_VALUE"""),9.0)</f>
        <v>9</v>
      </c>
      <c r="V167" s="4" t="str">
        <f>IFERROR(__xludf.DUMMYFUNCTION("""COMPUTED_VALUE"""),"Tube")</f>
        <v>Tube</v>
      </c>
      <c r="W167" s="4" t="str">
        <f>IFERROR(__xludf.DUMMYFUNCTION("""COMPUTED_VALUE"""),"XXXX")</f>
        <v>XXXX</v>
      </c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>
      <c r="A168" s="4" t="str">
        <f>IFERROR(__xludf.DUMMYFUNCTION("""COMPUTED_VALUE"""),"CONNECTOR:   HEADER 2.00MM straight 1x7POS GOLD   [NPPN071BFLC-RC] [SMD]")</f>
        <v>CONNECTOR:   HEADER 2.00MM straight 1x7POS GOLD   [NPPN071BFLC-RC] [SMD]</v>
      </c>
      <c r="B168" s="4" t="str">
        <f>IFERROR(__xludf.DUMMYFUNCTION("""COMPUTED_VALUE"""),"OEPS070019")</f>
        <v>OEPS070019</v>
      </c>
      <c r="C168" s="4" t="str">
        <f>IFERROR(__xludf.DUMMYFUNCTION("""COMPUTED_VALUE"""),"SMD")</f>
        <v>SMD</v>
      </c>
      <c r="D168" s="4" t="str">
        <f>IFERROR(__xludf.DUMMYFUNCTION("""COMPUTED_VALUE"""),"NPPN071BFLC-RC")</f>
        <v>NPPN071BFLC-RC</v>
      </c>
      <c r="E168" s="4">
        <f>IFERROR(__xludf.DUMMYFUNCTION("""COMPUTED_VALUE"""),1.0)</f>
        <v>1</v>
      </c>
      <c r="F168" s="4" t="str">
        <f>IFERROR(__xludf.DUMMYFUNCTION("""COMPUTED_VALUE"""),"DigiKey")</f>
        <v>DigiKey</v>
      </c>
      <c r="G168" s="4" t="str">
        <f>IFERROR(__xludf.DUMMYFUNCTION("""COMPUTED_VALUE"""),"S5901-07-ND")</f>
        <v>S5901-07-ND</v>
      </c>
      <c r="H168" s="4"/>
      <c r="I168" s="4"/>
      <c r="J168" s="4"/>
      <c r="K168" s="4"/>
      <c r="L168" s="4"/>
      <c r="M168" s="4"/>
      <c r="N168" s="9" t="str">
        <f>IFERROR(__xludf.DUMMYFUNCTION("""COMPUTED_VALUE"""),"OEPS J30 046")</f>
        <v>OEPS J30 046</v>
      </c>
      <c r="O168" s="4" t="str">
        <f>IFERROR(__xludf.DUMMYFUNCTION("""COMPUTED_VALUE"""),"SN74VC1G125DBVR")</f>
        <v>SN74VC1G125DBVR</v>
      </c>
      <c r="P168" s="4" t="str">
        <f>IFERROR(__xludf.DUMMYFUNCTION("""COMPUTED_VALUE"""),"6(Tp) ")</f>
        <v>6(Tp) </v>
      </c>
      <c r="Q168" s="4">
        <f>IFERROR(__xludf.DUMMYFUNCTION("""COMPUTED_VALUE"""),6.0)</f>
        <v>6</v>
      </c>
      <c r="R168" s="4">
        <f>IFERROR(__xludf.DUMMYFUNCTION("""COMPUTED_VALUE"""),6.0)</f>
        <v>6</v>
      </c>
      <c r="S168" s="4" t="str">
        <f>IFERROR(__xludf.DUMMYFUNCTION("""COMPUTED_VALUE"""),"Tape")</f>
        <v>Tape</v>
      </c>
      <c r="T168" s="4" t="str">
        <f>IFERROR(__xludf.DUMMYFUNCTION("""COMPUTED_VALUE"""),"XX20")</f>
        <v>XX20</v>
      </c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>
      <c r="A169" s="4" t="str">
        <f>IFERROR(__xludf.DUMMYFUNCTION("""COMPUTED_VALUE"""),"CONNECTOR:   HEADER 2.54MM 2x5POS   [M20-8760542] [SMD]")</f>
        <v>CONNECTOR:   HEADER 2.54MM 2x5POS   [M20-8760542] [SMD]</v>
      </c>
      <c r="B169" s="4" t="str">
        <f>IFERROR(__xludf.DUMMYFUNCTION("""COMPUTED_VALUE"""),"OEPS070145")</f>
        <v>OEPS070145</v>
      </c>
      <c r="C169" s="4" t="str">
        <f>IFERROR(__xludf.DUMMYFUNCTION("""COMPUTED_VALUE"""),"SMD")</f>
        <v>SMD</v>
      </c>
      <c r="D169" s="4" t="str">
        <f>IFERROR(__xludf.DUMMYFUNCTION("""COMPUTED_VALUE"""),"M20-8760542")</f>
        <v>M20-8760542</v>
      </c>
      <c r="E169" s="4">
        <f>IFERROR(__xludf.DUMMYFUNCTION("""COMPUTED_VALUE"""),1.0)</f>
        <v>1</v>
      </c>
      <c r="F169" s="4" t="str">
        <f>IFERROR(__xludf.DUMMYFUNCTION("""COMPUTED_VALUE"""),"Digikey")</f>
        <v>Digikey</v>
      </c>
      <c r="G169" s="4" t="str">
        <f>IFERROR(__xludf.DUMMYFUNCTION("""COMPUTED_VALUE"""),"952-2842-ND")</f>
        <v>952-2842-ND</v>
      </c>
      <c r="H169" s="4"/>
      <c r="I169" s="4"/>
      <c r="J169" s="4"/>
      <c r="K169" s="4"/>
      <c r="L169" s="4"/>
      <c r="M169" s="4"/>
      <c r="N169" s="9" t="str">
        <f>IFERROR(__xludf.DUMMYFUNCTION("""COMPUTED_VALUE"""),"OEPS J30 046B")</f>
        <v>OEPS J30 046B</v>
      </c>
      <c r="O169" s="4" t="str">
        <f>IFERROR(__xludf.DUMMYFUNCTION("""COMPUTED_VALUE"""),"74LVC1G125GWQ100")</f>
        <v>74LVC1G125GWQ100</v>
      </c>
      <c r="P169" s="4" t="str">
        <f>IFERROR(__xludf.DUMMYFUNCTION("""COMPUTED_VALUE"""),"249(R) ")</f>
        <v>249(R) </v>
      </c>
      <c r="Q169" s="4">
        <f>IFERROR(__xludf.DUMMYFUNCTION("""COMPUTED_VALUE"""),249.0)</f>
        <v>249</v>
      </c>
      <c r="R169" s="4">
        <f>IFERROR(__xludf.DUMMYFUNCTION("""COMPUTED_VALUE"""),249.0)</f>
        <v>249</v>
      </c>
      <c r="S169" s="4" t="str">
        <f>IFERROR(__xludf.DUMMYFUNCTION("""COMPUTED_VALUE"""),"Reel")</f>
        <v>Reel</v>
      </c>
      <c r="T169" s="4" t="str">
        <f>IFERROR(__xludf.DUMMYFUNCTION("""COMPUTED_VALUE"""),"XXXX")</f>
        <v>XXXX</v>
      </c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>
      <c r="A170" s="4" t="str">
        <f>IFERROR(__xludf.DUMMYFUNCTION("""COMPUTED_VALUE"""),"CONNECTOR:   HEADER 2.54MM 90º 1x2POS   [PH1RB-02-UA] [TH]")</f>
        <v>CONNECTOR:   HEADER 2.54MM 90º 1x2POS   [PH1RB-02-UA] [TH]</v>
      </c>
      <c r="B170" s="4" t="str">
        <f>IFERROR(__xludf.DUMMYFUNCTION("""COMPUTED_VALUE"""),"OEPS070005")</f>
        <v>OEPS070005</v>
      </c>
      <c r="C170" s="4" t="str">
        <f>IFERROR(__xludf.DUMMYFUNCTION("""COMPUTED_VALUE"""),"TH")</f>
        <v>TH</v>
      </c>
      <c r="D170" s="4" t="str">
        <f>IFERROR(__xludf.DUMMYFUNCTION("""COMPUTED_VALUE"""),"PH1RB-02-UA")</f>
        <v>PH1RB-02-UA</v>
      </c>
      <c r="E170" s="4">
        <f>IFERROR(__xludf.DUMMYFUNCTION("""COMPUTED_VALUE"""),1.0)</f>
        <v>1</v>
      </c>
      <c r="F170" s="4" t="str">
        <f>IFERROR(__xludf.DUMMYFUNCTION("""COMPUTED_VALUE"""),"DigiKey")</f>
        <v>DigiKey</v>
      </c>
      <c r="G170" s="4" t="str">
        <f>IFERROR(__xludf.DUMMYFUNCTION("""COMPUTED_VALUE"""),"2057-PH1RB-02-UA-ND")</f>
        <v>2057-PH1RB-02-UA-ND</v>
      </c>
      <c r="H170" s="4"/>
      <c r="I170" s="4"/>
      <c r="J170" s="4"/>
      <c r="K170" s="4"/>
      <c r="L170" s="4"/>
      <c r="M170" s="4"/>
      <c r="N170" s="9" t="str">
        <f>IFERROR(__xludf.DUMMYFUNCTION("""COMPUTED_VALUE"""),"OEPS J30 047")</f>
        <v>OEPS J30 047</v>
      </c>
      <c r="O170" s="4" t="str">
        <f>IFERROR(__xludf.DUMMYFUNCTION("""COMPUTED_VALUE"""),"897-10-010-40-300002")</f>
        <v>897-10-010-40-300002</v>
      </c>
      <c r="P170" s="4" t="str">
        <f>IFERROR(__xludf.DUMMYFUNCTION("""COMPUTED_VALUE"""),"8(Tp) ")</f>
        <v>8(Tp) </v>
      </c>
      <c r="Q170" s="4">
        <f>IFERROR(__xludf.DUMMYFUNCTION("""COMPUTED_VALUE"""),8.0)</f>
        <v>8</v>
      </c>
      <c r="R170" s="4">
        <f>IFERROR(__xludf.DUMMYFUNCTION("""COMPUTED_VALUE"""),8.0)</f>
        <v>8</v>
      </c>
      <c r="S170" s="4" t="str">
        <f>IFERROR(__xludf.DUMMYFUNCTION("""COMPUTED_VALUE"""),"Tape")</f>
        <v>Tape</v>
      </c>
      <c r="T170" s="4" t="str">
        <f>IFERROR(__xludf.DUMMYFUNCTION("""COMPUTED_VALUE"""),"0725")</f>
        <v>0725</v>
      </c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>
      <c r="A171" s="4" t="str">
        <f>IFERROR(__xludf.DUMMYFUNCTION("""COMPUTED_VALUE"""),"CONNECTOR:   HEADER 2.54MM R/A 1x5POS   [61300511021] [TH]")</f>
        <v>CONNECTOR:   HEADER 2.54MM R/A 1x5POS   [61300511021] [TH]</v>
      </c>
      <c r="B171" s="4" t="str">
        <f>IFERROR(__xludf.DUMMYFUNCTION("""COMPUTED_VALUE"""),"OEPS070143")</f>
        <v>OEPS070143</v>
      </c>
      <c r="C171" s="4" t="str">
        <f>IFERROR(__xludf.DUMMYFUNCTION("""COMPUTED_VALUE"""),"TH")</f>
        <v>TH</v>
      </c>
      <c r="D171" s="4" t="str">
        <f>IFERROR(__xludf.DUMMYFUNCTION("""COMPUTED_VALUE"""),"61300511021")</f>
        <v>61300511021</v>
      </c>
      <c r="E171" s="4">
        <f>IFERROR(__xludf.DUMMYFUNCTION("""COMPUTED_VALUE"""),1.0)</f>
        <v>1</v>
      </c>
      <c r="F171" s="4" t="str">
        <f>IFERROR(__xludf.DUMMYFUNCTION("""COMPUTED_VALUE"""),"Digikey")</f>
        <v>Digikey</v>
      </c>
      <c r="G171" s="4" t="str">
        <f>IFERROR(__xludf.DUMMYFUNCTION("""COMPUTED_VALUE"""),"732-5338-ND")</f>
        <v>732-5338-ND</v>
      </c>
      <c r="H171" s="4"/>
      <c r="I171" s="4"/>
      <c r="J171" s="4"/>
      <c r="K171" s="4"/>
      <c r="L171" s="4"/>
      <c r="M171" s="4"/>
      <c r="N171" s="9" t="str">
        <f>IFERROR(__xludf.DUMMYFUNCTION("""COMPUTED_VALUE"""),"OEPS J30 048")</f>
        <v>OEPS J30 048</v>
      </c>
      <c r="O171" s="4" t="str">
        <f>IFERROR(__xludf.DUMMYFUNCTION("""COMPUTED_VALUE"""),"PJ-036BH-SMT-TR")</f>
        <v>PJ-036BH-SMT-TR</v>
      </c>
      <c r="P171" s="4" t="str">
        <f>IFERROR(__xludf.DUMMYFUNCTION("""COMPUTED_VALUE"""),"2 ")</f>
        <v>2 </v>
      </c>
      <c r="Q171" s="4">
        <f>IFERROR(__xludf.DUMMYFUNCTION("""COMPUTED_VALUE"""),2.0)</f>
        <v>2</v>
      </c>
      <c r="R171" s="4">
        <f>IFERROR(__xludf.DUMMYFUNCTION("""COMPUTED_VALUE"""),2.0)</f>
        <v>2</v>
      </c>
      <c r="S171" s="4" t="str">
        <f>IFERROR(__xludf.DUMMYFUNCTION("""COMPUTED_VALUE"""),"Bag")</f>
        <v>Bag</v>
      </c>
      <c r="T171" s="4" t="str">
        <f>IFERROR(__xludf.DUMMYFUNCTION("""COMPUTED_VALUE"""),"1020")</f>
        <v>1020</v>
      </c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>
      <c r="A172" s="4" t="str">
        <f>IFERROR(__xludf.DUMMYFUNCTION("""COMPUTED_VALUE"""),"CONNECTOR:   HEADER 2.54MM R/A 1x6POS (OEPS K01 025)   [61300611021] [TH]")</f>
        <v>CONNECTOR:   HEADER 2.54MM R/A 1x6POS (OEPS K01 025)   [61300611021] [TH]</v>
      </c>
      <c r="B172" s="4" t="str">
        <f>IFERROR(__xludf.DUMMYFUNCTION("""COMPUTED_VALUE"""),"OEPS070118")</f>
        <v>OEPS070118</v>
      </c>
      <c r="C172" s="4" t="str">
        <f>IFERROR(__xludf.DUMMYFUNCTION("""COMPUTED_VALUE"""),"TH")</f>
        <v>TH</v>
      </c>
      <c r="D172" s="4" t="str">
        <f>IFERROR(__xludf.DUMMYFUNCTION("""COMPUTED_VALUE"""),"61300611021")</f>
        <v>61300611021</v>
      </c>
      <c r="E172" s="4">
        <f>IFERROR(__xludf.DUMMYFUNCTION("""COMPUTED_VALUE"""),1.0)</f>
        <v>1</v>
      </c>
      <c r="F172" s="4" t="str">
        <f>IFERROR(__xludf.DUMMYFUNCTION("""COMPUTED_VALUE"""),"Digikey")</f>
        <v>Digikey</v>
      </c>
      <c r="G172" s="4" t="str">
        <f>IFERROR(__xludf.DUMMYFUNCTION("""COMPUTED_VALUE"""),"732-5339-ND")</f>
        <v>732-5339-ND</v>
      </c>
      <c r="H172" s="4"/>
      <c r="I172" s="4"/>
      <c r="J172" s="4"/>
      <c r="K172" s="4"/>
      <c r="L172" s="4"/>
      <c r="M172" s="4"/>
      <c r="N172" s="9" t="str">
        <f>IFERROR(__xludf.DUMMYFUNCTION("""COMPUTED_VALUE"""),"OEPS J30 049A")</f>
        <v>OEPS J30 049A</v>
      </c>
      <c r="O172" s="4" t="str">
        <f>IFERROR(__xludf.DUMMYFUNCTION("""COMPUTED_VALUE"""),"LSM0603453V")</f>
        <v>LSM0603453V</v>
      </c>
      <c r="P172" s="4" t="str">
        <f>IFERROR(__xludf.DUMMYFUNCTION("""COMPUTED_VALUE"""),"10(R) ")</f>
        <v>10(R) </v>
      </c>
      <c r="Q172" s="4">
        <f>IFERROR(__xludf.DUMMYFUNCTION("""COMPUTED_VALUE"""),10.0)</f>
        <v>10</v>
      </c>
      <c r="R172" s="4">
        <f>IFERROR(__xludf.DUMMYFUNCTION("""COMPUTED_VALUE"""),10.0)</f>
        <v>10</v>
      </c>
      <c r="S172" s="4" t="str">
        <f>IFERROR(__xludf.DUMMYFUNCTION("""COMPUTED_VALUE"""),"Reel")</f>
        <v>Reel</v>
      </c>
      <c r="T172" s="4" t="str">
        <f>IFERROR(__xludf.DUMMYFUNCTION("""COMPUTED_VALUE"""),"0425")</f>
        <v>0425</v>
      </c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>
      <c r="A173" s="4" t="str">
        <f>IFERROR(__xludf.DUMMYFUNCTION("""COMPUTED_VALUE"""),"CONNECTOR:   HEADER 2.54MM R/A 2x2POS   [10129381-904003BLF] [TH]")</f>
        <v>CONNECTOR:   HEADER 2.54MM R/A 2x2POS   [10129381-904003BLF] [TH]</v>
      </c>
      <c r="B173" s="4" t="str">
        <f>IFERROR(__xludf.DUMMYFUNCTION("""COMPUTED_VALUE"""),"OEPS070146")</f>
        <v>OEPS070146</v>
      </c>
      <c r="C173" s="4" t="str">
        <f>IFERROR(__xludf.DUMMYFUNCTION("""COMPUTED_VALUE"""),"TH")</f>
        <v>TH</v>
      </c>
      <c r="D173" s="4" t="str">
        <f>IFERROR(__xludf.DUMMYFUNCTION("""COMPUTED_VALUE"""),"10129381-904003BLF")</f>
        <v>10129381-904003BLF</v>
      </c>
      <c r="E173" s="4">
        <f>IFERROR(__xludf.DUMMYFUNCTION("""COMPUTED_VALUE"""),1.0)</f>
        <v>1</v>
      </c>
      <c r="F173" s="4" t="str">
        <f>IFERROR(__xludf.DUMMYFUNCTION("""COMPUTED_VALUE"""),"Digikey")</f>
        <v>Digikey</v>
      </c>
      <c r="G173" s="4" t="str">
        <f>IFERROR(__xludf.DUMMYFUNCTION("""COMPUTED_VALUE"""),"10129381-904003BLF")</f>
        <v>10129381-904003BLF</v>
      </c>
      <c r="H173" s="4"/>
      <c r="I173" s="4"/>
      <c r="J173" s="4"/>
      <c r="K173" s="4"/>
      <c r="L173" s="4"/>
      <c r="M173" s="4"/>
      <c r="N173" s="9" t="str">
        <f>IFERROR(__xludf.DUMMYFUNCTION("""COMPUTED_VALUE"""),"OEPS J30 050")</f>
        <v>OEPS J30 050</v>
      </c>
      <c r="O173" s="4" t="str">
        <f>IFERROR(__xludf.DUMMYFUNCTION("""COMPUTED_VALUE"""),"CONSMA002")</f>
        <v>CONSMA002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>
      <c r="A174" s="4" t="str">
        <f>IFERROR(__xludf.DUMMYFUNCTION("""COMPUTED_VALUE"""),"CONNECTOR:   HEADER 2.54MM R/A 2x3POS   [61300621021] [TH]")</f>
        <v>CONNECTOR:   HEADER 2.54MM R/A 2x3POS   [61300621021] [TH]</v>
      </c>
      <c r="B174" s="4" t="str">
        <f>IFERROR(__xludf.DUMMYFUNCTION("""COMPUTED_VALUE"""),"OEPS070144")</f>
        <v>OEPS070144</v>
      </c>
      <c r="C174" s="4" t="str">
        <f>IFERROR(__xludf.DUMMYFUNCTION("""COMPUTED_VALUE"""),"TH")</f>
        <v>TH</v>
      </c>
      <c r="D174" s="4" t="str">
        <f>IFERROR(__xludf.DUMMYFUNCTION("""COMPUTED_VALUE"""),"61300621021")</f>
        <v>61300621021</v>
      </c>
      <c r="E174" s="4">
        <f>IFERROR(__xludf.DUMMYFUNCTION("""COMPUTED_VALUE"""),1.0)</f>
        <v>1</v>
      </c>
      <c r="F174" s="4" t="str">
        <f>IFERROR(__xludf.DUMMYFUNCTION("""COMPUTED_VALUE"""),"Digikey")</f>
        <v>Digikey</v>
      </c>
      <c r="G174" s="4" t="str">
        <f>IFERROR(__xludf.DUMMYFUNCTION("""COMPUTED_VALUE"""),"732-5352-ND")</f>
        <v>732-5352-ND</v>
      </c>
      <c r="H174" s="4"/>
      <c r="I174" s="4"/>
      <c r="J174" s="4"/>
      <c r="K174" s="4"/>
      <c r="L174" s="4"/>
      <c r="M174" s="4"/>
      <c r="N174" s="9" t="str">
        <f>IFERROR(__xludf.DUMMYFUNCTION("""COMPUTED_VALUE"""),"OEPS J30 052")</f>
        <v>OEPS J30 052</v>
      </c>
      <c r="O174" s="4" t="str">
        <f>IFERROR(__xludf.DUMMYFUNCTION("""COMPUTED_VALUE"""),"67996-206HLF")</f>
        <v>67996-206HLF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>
      <c r="A175" s="4" t="str">
        <f>IFERROR(__xludf.DUMMYFUNCTION("""COMPUTED_VALUE"""),"CONNECTOR:   HEADER 2.54MM R/A 2x5POS   [SBH11-PBPC-D05-RA-BK] [TH]")</f>
        <v>CONNECTOR:   HEADER 2.54MM R/A 2x5POS   [SBH11-PBPC-D05-RA-BK] [TH]</v>
      </c>
      <c r="B175" s="4" t="str">
        <f>IFERROR(__xludf.DUMMYFUNCTION("""COMPUTED_VALUE"""),"OEPS070027")</f>
        <v>OEPS070027</v>
      </c>
      <c r="C175" s="4" t="str">
        <f>IFERROR(__xludf.DUMMYFUNCTION("""COMPUTED_VALUE"""),"TH")</f>
        <v>TH</v>
      </c>
      <c r="D175" s="4" t="str">
        <f>IFERROR(__xludf.DUMMYFUNCTION("""COMPUTED_VALUE"""),"SBH11-PBPC-D05-RA-BK")</f>
        <v>SBH11-PBPC-D05-RA-BK</v>
      </c>
      <c r="E175" s="4">
        <f>IFERROR(__xludf.DUMMYFUNCTION("""COMPUTED_VALUE"""),1.0)</f>
        <v>1</v>
      </c>
      <c r="F175" s="4" t="str">
        <f>IFERROR(__xludf.DUMMYFUNCTION("""COMPUTED_VALUE"""),"DigiKey")</f>
        <v>DigiKey</v>
      </c>
      <c r="G175" s="4" t="str">
        <f>IFERROR(__xludf.DUMMYFUNCTION("""COMPUTED_VALUE"""),"S9177-ND")</f>
        <v>S9177-ND</v>
      </c>
      <c r="H175" s="4"/>
      <c r="I175" s="4"/>
      <c r="J175" s="4"/>
      <c r="K175" s="4"/>
      <c r="L175" s="4"/>
      <c r="M175" s="4"/>
      <c r="N175" s="9" t="str">
        <f>IFERROR(__xludf.DUMMYFUNCTION("""COMPUTED_VALUE"""),"OEPS J30 053")</f>
        <v>OEPS J30 053</v>
      </c>
      <c r="O175" s="4" t="str">
        <f>IFERROR(__xludf.DUMMYFUNCTION("""COMPUTED_VALUE"""),"67996-208HLF")</f>
        <v>67996-208HLF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>
      <c r="A176" s="4" t="str">
        <f>IFERROR(__xludf.DUMMYFUNCTION("""COMPUTED_VALUE"""),"CONNECTOR:   HEADER 2.54MM R/A 2x8POS   [302-R161] [TH]")</f>
        <v>CONNECTOR:   HEADER 2.54MM R/A 2x8POS   [302-R161] [TH]</v>
      </c>
      <c r="B176" s="4" t="str">
        <f>IFERROR(__xludf.DUMMYFUNCTION("""COMPUTED_VALUE"""),"OEPS070152")</f>
        <v>OEPS070152</v>
      </c>
      <c r="C176" s="4" t="str">
        <f>IFERROR(__xludf.DUMMYFUNCTION("""COMPUTED_VALUE"""),"TH")</f>
        <v>TH</v>
      </c>
      <c r="D176" s="4" t="str">
        <f>IFERROR(__xludf.DUMMYFUNCTION("""COMPUTED_VALUE"""),"302-R161")</f>
        <v>302-R161</v>
      </c>
      <c r="E176" s="4">
        <f>IFERROR(__xludf.DUMMYFUNCTION("""COMPUTED_VALUE"""),1.0)</f>
        <v>1</v>
      </c>
      <c r="F176" s="4" t="str">
        <f>IFERROR(__xludf.DUMMYFUNCTION("""COMPUTED_VALUE"""),"DigiKey")</f>
        <v>DigiKey</v>
      </c>
      <c r="G176" s="4" t="str">
        <f>IFERROR(__xludf.DUMMYFUNCTION("""COMPUTED_VALUE"""),"ED10535-ND")</f>
        <v>ED10535-ND</v>
      </c>
      <c r="H176" s="4"/>
      <c r="I176" s="4"/>
      <c r="J176" s="4"/>
      <c r="K176" s="4"/>
      <c r="L176" s="4"/>
      <c r="M176" s="4"/>
      <c r="N176" s="9" t="str">
        <f>IFERROR(__xludf.DUMMYFUNCTION("""COMPUTED_VALUE"""),"OEPS J30 054")</f>
        <v>OEPS J30 054</v>
      </c>
      <c r="O176" s="4" t="str">
        <f>IFERROR(__xludf.DUMMYFUNCTION("""COMPUTED_VALUE"""),"5-146280")</f>
        <v>5-146280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>
      <c r="A177" s="4" t="str">
        <f>IFERROR(__xludf.DUMMYFUNCTION("""COMPUTED_VALUE"""),"CONNECTOR:   HEADER 2.54MM straight 1x14POS   [TSW-114-07-G-S] [TH]")</f>
        <v>CONNECTOR:   HEADER 2.54MM straight 1x14POS   [TSW-114-07-G-S] [TH]</v>
      </c>
      <c r="B177" s="4" t="str">
        <f>IFERROR(__xludf.DUMMYFUNCTION("""COMPUTED_VALUE"""),"OEPS070004")</f>
        <v>OEPS070004</v>
      </c>
      <c r="C177" s="4" t="str">
        <f>IFERROR(__xludf.DUMMYFUNCTION("""COMPUTED_VALUE"""),"TH")</f>
        <v>TH</v>
      </c>
      <c r="D177" s="4" t="str">
        <f>IFERROR(__xludf.DUMMYFUNCTION("""COMPUTED_VALUE"""),"TSW-114-07-G-S")</f>
        <v>TSW-114-07-G-S</v>
      </c>
      <c r="E177" s="4">
        <f>IFERROR(__xludf.DUMMYFUNCTION("""COMPUTED_VALUE"""),1.0)</f>
        <v>1</v>
      </c>
      <c r="F177" s="4" t="str">
        <f>IFERROR(__xludf.DUMMYFUNCTION("""COMPUTED_VALUE"""),"DigiKey")</f>
        <v>DigiKey</v>
      </c>
      <c r="G177" s="4" t="str">
        <f>IFERROR(__xludf.DUMMYFUNCTION("""COMPUTED_VALUE"""),"SAM1029-14-ND")</f>
        <v>SAM1029-14-ND</v>
      </c>
      <c r="H177" s="4"/>
      <c r="I177" s="4"/>
      <c r="J177" s="4"/>
      <c r="K177" s="4"/>
      <c r="L177" s="4"/>
      <c r="M177" s="4"/>
      <c r="N177" s="9" t="str">
        <f>IFERROR(__xludf.DUMMYFUNCTION("""COMPUTED_VALUE"""),"OEPS J30 055")</f>
        <v>OEPS J30 055</v>
      </c>
      <c r="O177" s="4" t="str">
        <f>IFERROR(__xludf.DUMMYFUNCTION("""COMPUTED_VALUE"""),"5-146280-2")</f>
        <v>5-146280-2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>
      <c r="A178" s="4" t="str">
        <f>IFERROR(__xludf.DUMMYFUNCTION("""COMPUTED_VALUE"""),"CONNECTOR:   HEADER 2.54MM straight 1x2POS   [68001-202HLF] [TH]")</f>
        <v>CONNECTOR:   HEADER 2.54MM straight 1x2POS   [68001-202HLF] [TH]</v>
      </c>
      <c r="B178" s="4" t="str">
        <f>IFERROR(__xludf.DUMMYFUNCTION("""COMPUTED_VALUE"""),"OEPS070079")</f>
        <v>OEPS070079</v>
      </c>
      <c r="C178" s="4" t="str">
        <f>IFERROR(__xludf.DUMMYFUNCTION("""COMPUTED_VALUE"""),"TH")</f>
        <v>TH</v>
      </c>
      <c r="D178" s="4" t="str">
        <f>IFERROR(__xludf.DUMMYFUNCTION("""COMPUTED_VALUE"""),"68001-202HLF")</f>
        <v>68001-202HLF</v>
      </c>
      <c r="E178" s="4">
        <f>IFERROR(__xludf.DUMMYFUNCTION("""COMPUTED_VALUE"""),1.0)</f>
        <v>1</v>
      </c>
      <c r="F178" s="4" t="str">
        <f>IFERROR(__xludf.DUMMYFUNCTION("""COMPUTED_VALUE"""),"DigiKey")</f>
        <v>DigiKey</v>
      </c>
      <c r="G178" s="4" t="str">
        <f>IFERROR(__xludf.DUMMYFUNCTION("""COMPUTED_VALUE"""),"609-3469-ND")</f>
        <v>609-3469-ND</v>
      </c>
      <c r="H178" s="4"/>
      <c r="I178" s="4"/>
      <c r="J178" s="4"/>
      <c r="K178" s="4"/>
      <c r="L178" s="4"/>
      <c r="M178" s="4"/>
      <c r="N178" s="9" t="str">
        <f>IFERROR(__xludf.DUMMYFUNCTION("""COMPUTED_VALUE"""),"OEPS K01 001")</f>
        <v>OEPS K01 001</v>
      </c>
      <c r="O178" s="4" t="str">
        <f>IFERROR(__xludf.DUMMYFUNCTION("""COMPUTED_VALUE"""),"PCF8523T/1,118")</f>
        <v>PCF8523T/1,118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>
      <c r="A179" s="4" t="str">
        <f>IFERROR(__xludf.DUMMYFUNCTION("""COMPUTED_VALUE"""),"CONNECTOR:   HEADER 2.54MM straight 1x3POS   [68001-203HLF] [TH]")</f>
        <v>CONNECTOR:   HEADER 2.54MM straight 1x3POS   [68001-203HLF] [TH]</v>
      </c>
      <c r="B179" s="4" t="str">
        <f>IFERROR(__xludf.DUMMYFUNCTION("""COMPUTED_VALUE"""),"OEPS070029")</f>
        <v>OEPS070029</v>
      </c>
      <c r="C179" s="4" t="str">
        <f>IFERROR(__xludf.DUMMYFUNCTION("""COMPUTED_VALUE"""),"TH")</f>
        <v>TH</v>
      </c>
      <c r="D179" s="4" t="str">
        <f>IFERROR(__xludf.DUMMYFUNCTION("""COMPUTED_VALUE"""),"68001-203HLF")</f>
        <v>68001-203HLF</v>
      </c>
      <c r="E179" s="4">
        <f>IFERROR(__xludf.DUMMYFUNCTION("""COMPUTED_VALUE"""),1.0)</f>
        <v>1</v>
      </c>
      <c r="F179" s="4" t="str">
        <f>IFERROR(__xludf.DUMMYFUNCTION("""COMPUTED_VALUE"""),"DigiKey")</f>
        <v>DigiKey</v>
      </c>
      <c r="G179" s="4" t="str">
        <f>IFERROR(__xludf.DUMMYFUNCTION("""COMPUTED_VALUE"""),"609-3470-ND")</f>
        <v>609-3470-ND</v>
      </c>
      <c r="H179" s="4"/>
      <c r="I179" s="4"/>
      <c r="J179" s="4"/>
      <c r="K179" s="4"/>
      <c r="L179" s="4"/>
      <c r="M179" s="4"/>
      <c r="N179" s="9" t="str">
        <f>IFERROR(__xludf.DUMMYFUNCTION("""COMPUTED_VALUE"""),"OEPS K01 002")</f>
        <v>OEPS K01 002</v>
      </c>
      <c r="O179" s="4" t="str">
        <f>IFERROR(__xludf.DUMMYFUNCTION("""COMPUTED_VALUE"""),"TB6612FNG,C,8,EL")</f>
        <v>TB6612FNG,C,8,EL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>
      <c r="A180" s="4" t="str">
        <f>IFERROR(__xludf.DUMMYFUNCTION("""COMPUTED_VALUE"""),"CONNECTOR:   HEADER 2.54MM straight 1x4POS   [68001-204HLF] [TH]")</f>
        <v>CONNECTOR:   HEADER 2.54MM straight 1x4POS   [68001-204HLF] [TH]</v>
      </c>
      <c r="B180" s="4" t="str">
        <f>IFERROR(__xludf.DUMMYFUNCTION("""COMPUTED_VALUE"""),"OEPS070080")</f>
        <v>OEPS070080</v>
      </c>
      <c r="C180" s="4" t="str">
        <f>IFERROR(__xludf.DUMMYFUNCTION("""COMPUTED_VALUE"""),"TH")</f>
        <v>TH</v>
      </c>
      <c r="D180" s="4" t="str">
        <f>IFERROR(__xludf.DUMMYFUNCTION("""COMPUTED_VALUE"""),"68001-204HLF")</f>
        <v>68001-204HLF</v>
      </c>
      <c r="E180" s="4">
        <f>IFERROR(__xludf.DUMMYFUNCTION("""COMPUTED_VALUE"""),1.0)</f>
        <v>1</v>
      </c>
      <c r="F180" s="4" t="str">
        <f>IFERROR(__xludf.DUMMYFUNCTION("""COMPUTED_VALUE"""),"DigiKey")</f>
        <v>DigiKey</v>
      </c>
      <c r="G180" s="4" t="str">
        <f>IFERROR(__xludf.DUMMYFUNCTION("""COMPUTED_VALUE"""),"609-3402-ND")</f>
        <v>609-3402-ND</v>
      </c>
      <c r="H180" s="4"/>
      <c r="I180" s="4"/>
      <c r="J180" s="4"/>
      <c r="K180" s="4"/>
      <c r="L180" s="4"/>
      <c r="M180" s="4"/>
      <c r="N180" s="9" t="str">
        <f>IFERROR(__xludf.DUMMYFUNCTION("""COMPUTED_VALUE"""),"OEPS K01 003")</f>
        <v>OEPS K01 003</v>
      </c>
      <c r="O180" s="4" t="str">
        <f>IFERROR(__xludf.DUMMYFUNCTION("""COMPUTED_VALUE"""),"M74VHC1GT125DT1G")</f>
        <v>M74VHC1GT125DT1G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>
      <c r="A181" s="4" t="str">
        <f>IFERROR(__xludf.DUMMYFUNCTION("""COMPUTED_VALUE"""),"CONNECTOR:   HEADER 2.54MM straight 1x5POS   [M20-9990546] [TH]")</f>
        <v>CONNECTOR:   HEADER 2.54MM straight 1x5POS   [M20-9990546] [TH]</v>
      </c>
      <c r="B181" s="4" t="str">
        <f>IFERROR(__xludf.DUMMYFUNCTION("""COMPUTED_VALUE"""),"OEPS070131")</f>
        <v>OEPS070131</v>
      </c>
      <c r="C181" s="4" t="str">
        <f>IFERROR(__xludf.DUMMYFUNCTION("""COMPUTED_VALUE"""),"TH")</f>
        <v>TH</v>
      </c>
      <c r="D181" s="4" t="str">
        <f>IFERROR(__xludf.DUMMYFUNCTION("""COMPUTED_VALUE"""),"M20-9990546")</f>
        <v>M20-9990546</v>
      </c>
      <c r="E181" s="4">
        <f>IFERROR(__xludf.DUMMYFUNCTION("""COMPUTED_VALUE"""),1.0)</f>
        <v>1</v>
      </c>
      <c r="F181" s="4" t="str">
        <f>IFERROR(__xludf.DUMMYFUNCTION("""COMPUTED_VALUE"""),"DigiKey")</f>
        <v>DigiKey</v>
      </c>
      <c r="G181" s="4" t="str">
        <f>IFERROR(__xludf.DUMMYFUNCTION("""COMPUTED_VALUE"""),"952-2268-ND")</f>
        <v>952-2268-ND</v>
      </c>
      <c r="H181" s="4"/>
      <c r="I181" s="4"/>
      <c r="J181" s="4"/>
      <c r="K181" s="4"/>
      <c r="L181" s="4"/>
      <c r="M181" s="4"/>
      <c r="N181" s="9" t="str">
        <f>IFERROR(__xludf.DUMMYFUNCTION("""COMPUTED_VALUE"""),"OEPS K01 004")</f>
        <v>OEPS K01 004</v>
      </c>
      <c r="O181" s="4" t="str">
        <f>IFERROR(__xludf.DUMMYFUNCTION("""COMPUTED_VALUE"""),"RC0805FR-071KL")</f>
        <v>RC0805FR-071KL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>
      <c r="A182" s="4" t="str">
        <f>IFERROR(__xludf.DUMMYFUNCTION("""COMPUTED_VALUE"""),"CONNECTOR:   HEADER 2.54MM straight 1x6POS   [61300611121] [TH]")</f>
        <v>CONNECTOR:   HEADER 2.54MM straight 1x6POS   [61300611121] [TH]</v>
      </c>
      <c r="B182" s="4" t="str">
        <f>IFERROR(__xludf.DUMMYFUNCTION("""COMPUTED_VALUE"""),"OEPS070097")</f>
        <v>OEPS070097</v>
      </c>
      <c r="C182" s="4" t="str">
        <f>IFERROR(__xludf.DUMMYFUNCTION("""COMPUTED_VALUE"""),"TH")</f>
        <v>TH</v>
      </c>
      <c r="D182" s="4" t="str">
        <f>IFERROR(__xludf.DUMMYFUNCTION("""COMPUTED_VALUE"""),"61300611121")</f>
        <v>61300611121</v>
      </c>
      <c r="E182" s="4">
        <f>IFERROR(__xludf.DUMMYFUNCTION("""COMPUTED_VALUE"""),1.0)</f>
        <v>1</v>
      </c>
      <c r="F182" s="4" t="str">
        <f>IFERROR(__xludf.DUMMYFUNCTION("""COMPUTED_VALUE"""),"Digikey")</f>
        <v>Digikey</v>
      </c>
      <c r="G182" s="4" t="str">
        <f>IFERROR(__xludf.DUMMYFUNCTION("""COMPUTED_VALUE"""),"732-5319-ND")</f>
        <v>732-5319-ND</v>
      </c>
      <c r="H182" s="4"/>
      <c r="I182" s="4"/>
      <c r="J182" s="4"/>
      <c r="K182" s="4"/>
      <c r="L182" s="4"/>
      <c r="M182" s="4"/>
      <c r="N182" s="9" t="str">
        <f>IFERROR(__xludf.DUMMYFUNCTION("""COMPUTED_VALUE"""),"OEPS K01 005")</f>
        <v>OEPS K01 005</v>
      </c>
      <c r="O182" s="4" t="str">
        <f>IFERROR(__xludf.DUMMYFUNCTION("""COMPUTED_VALUE"""),"RC0805FR-074K7L")</f>
        <v>RC0805FR-074K7L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>
      <c r="A183" s="4" t="str">
        <f>IFERROR(__xludf.DUMMYFUNCTION("""COMPUTED_VALUE"""),"CONNECTOR:   HEADER 2.54MM straight 2x10POS   [67996-420HLF] [TH]")</f>
        <v>CONNECTOR:   HEADER 2.54MM straight 2x10POS   [67996-420HLF] [TH]</v>
      </c>
      <c r="B183" s="4" t="str">
        <f>IFERROR(__xludf.DUMMYFUNCTION("""COMPUTED_VALUE"""),"OEPS070016")</f>
        <v>OEPS070016</v>
      </c>
      <c r="C183" s="4" t="str">
        <f>IFERROR(__xludf.DUMMYFUNCTION("""COMPUTED_VALUE"""),"TH")</f>
        <v>TH</v>
      </c>
      <c r="D183" s="4" t="str">
        <f>IFERROR(__xludf.DUMMYFUNCTION("""COMPUTED_VALUE"""),"67996-420HLF")</f>
        <v>67996-420HLF</v>
      </c>
      <c r="E183" s="4">
        <f>IFERROR(__xludf.DUMMYFUNCTION("""COMPUTED_VALUE"""),1.0)</f>
        <v>1</v>
      </c>
      <c r="F183" s="4" t="str">
        <f>IFERROR(__xludf.DUMMYFUNCTION("""COMPUTED_VALUE"""),"DigiKey")</f>
        <v>DigiKey</v>
      </c>
      <c r="G183" s="4" t="str">
        <f>IFERROR(__xludf.DUMMYFUNCTION("""COMPUTED_VALUE"""),"609-3221-ND")</f>
        <v>609-3221-ND</v>
      </c>
      <c r="H183" s="4"/>
      <c r="I183" s="4"/>
      <c r="J183" s="4"/>
      <c r="K183" s="4"/>
      <c r="L183" s="4"/>
      <c r="M183" s="4"/>
      <c r="N183" s="9" t="str">
        <f>IFERROR(__xludf.DUMMYFUNCTION("""COMPUTED_VALUE"""),"OEPS K01 006")</f>
        <v>OEPS K01 006</v>
      </c>
      <c r="O183" s="4" t="str">
        <f>IFERROR(__xludf.DUMMYFUNCTION("""COMPUTED_VALUE"""),"CR0805-FX-3302ELF")</f>
        <v>CR0805-FX-3302ELF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>
      <c r="A184" s="4" t="str">
        <f>IFERROR(__xludf.DUMMYFUNCTION("""COMPUTED_VALUE"""),"CONNECTOR:   HEADER 2.54MM straight 2x3POS   [67996-206HLF] [TH]")</f>
        <v>CONNECTOR:   HEADER 2.54MM straight 2x3POS   [67996-206HLF] [TH]</v>
      </c>
      <c r="B184" s="4" t="str">
        <f>IFERROR(__xludf.DUMMYFUNCTION("""COMPUTED_VALUE"""),"OEPS070015")</f>
        <v>OEPS070015</v>
      </c>
      <c r="C184" s="4" t="str">
        <f>IFERROR(__xludf.DUMMYFUNCTION("""COMPUTED_VALUE"""),"TH")</f>
        <v>TH</v>
      </c>
      <c r="D184" s="4" t="str">
        <f>IFERROR(__xludf.DUMMYFUNCTION("""COMPUTED_VALUE"""),"67996-206HLF")</f>
        <v>67996-206HLF</v>
      </c>
      <c r="E184" s="4">
        <f>IFERROR(__xludf.DUMMYFUNCTION("""COMPUTED_VALUE"""),1.0)</f>
        <v>1</v>
      </c>
      <c r="F184" s="4" t="str">
        <f>IFERROR(__xludf.DUMMYFUNCTION("""COMPUTED_VALUE"""),"DigiKey")</f>
        <v>DigiKey</v>
      </c>
      <c r="G184" s="4" t="str">
        <f>IFERROR(__xludf.DUMMYFUNCTION("""COMPUTED_VALUE"""),"609-3210-ND")</f>
        <v>609-3210-ND</v>
      </c>
      <c r="H184" s="4"/>
      <c r="I184" s="4"/>
      <c r="J184" s="4"/>
      <c r="K184" s="4"/>
      <c r="L184" s="4"/>
      <c r="M184" s="4"/>
      <c r="N184" s="9" t="str">
        <f>IFERROR(__xludf.DUMMYFUNCTION("""COMPUTED_VALUE"""),"OEPS K01 008")</f>
        <v>OEPS K01 008</v>
      </c>
      <c r="O184" s="4" t="str">
        <f>IFERROR(__xludf.DUMMYFUNCTION("""COMPUTED_VALUE"""),"ERJ-6ENF4700V")</f>
        <v>ERJ-6ENF4700V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>
      <c r="A185" s="4" t="str">
        <f>IFERROR(__xludf.DUMMYFUNCTION("""COMPUTED_VALUE"""),"CONNECTOR:   HEADER 2.54MM straight 2x3POS   [PR20203VBDN] [TH]")</f>
        <v>CONNECTOR:   HEADER 2.54MM straight 2x3POS   [PR20203VBDN] [TH]</v>
      </c>
      <c r="B185" s="4" t="str">
        <f>IFERROR(__xludf.DUMMYFUNCTION("""COMPUTED_VALUE"""),"OEPS070124")</f>
        <v>OEPS070124</v>
      </c>
      <c r="C185" s="4" t="str">
        <f>IFERROR(__xludf.DUMMYFUNCTION("""COMPUTED_VALUE"""),"TH")</f>
        <v>TH</v>
      </c>
      <c r="D185" s="4" t="str">
        <f>IFERROR(__xludf.DUMMYFUNCTION("""COMPUTED_VALUE"""),"PR20203VBDN")</f>
        <v>PR20203VBDN</v>
      </c>
      <c r="E185" s="4">
        <f>IFERROR(__xludf.DUMMYFUNCTION("""COMPUTED_VALUE"""),1.0)</f>
        <v>1</v>
      </c>
      <c r="F185" s="4" t="str">
        <f>IFERROR(__xludf.DUMMYFUNCTION("""COMPUTED_VALUE"""),"DigiKey")</f>
        <v>DigiKey</v>
      </c>
      <c r="G185" s="4" t="str">
        <f>IFERROR(__xludf.DUMMYFUNCTION("""COMPUTED_VALUE"""),"1849-PR20203VBDN-ND")</f>
        <v>1849-PR20203VBDN-ND</v>
      </c>
      <c r="H185" s="4"/>
      <c r="I185" s="4"/>
      <c r="J185" s="4"/>
      <c r="K185" s="4"/>
      <c r="L185" s="4"/>
      <c r="M185" s="4"/>
      <c r="N185" s="9" t="str">
        <f>IFERROR(__xludf.DUMMYFUNCTION("""COMPUTED_VALUE"""),"OEPS K01 009")</f>
        <v>OEPS K01 009</v>
      </c>
      <c r="O185" s="4" t="str">
        <f>IFERROR(__xludf.DUMMYFUNCTION("""COMPUTED_VALUE"""),"GRM21BR61E106KA73L")</f>
        <v>GRM21BR61E106KA73L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>
      <c r="A186" s="4" t="str">
        <f>IFERROR(__xludf.DUMMYFUNCTION("""COMPUTED_VALUE"""),"CONNECTOR:   HEADER JST VERT 2.5MM 2POS   [B2B-XH-A(LF)(SN)] [TH]")</f>
        <v>CONNECTOR:   HEADER JST VERT 2.5MM 2POS   [B2B-XH-A(LF)(SN)] [TH]</v>
      </c>
      <c r="B186" s="4" t="str">
        <f>IFERROR(__xludf.DUMMYFUNCTION("""COMPUTED_VALUE"""),"OEPS070028")</f>
        <v>OEPS070028</v>
      </c>
      <c r="C186" s="4" t="str">
        <f>IFERROR(__xludf.DUMMYFUNCTION("""COMPUTED_VALUE"""),"TH")</f>
        <v>TH</v>
      </c>
      <c r="D186" s="4" t="str">
        <f>IFERROR(__xludf.DUMMYFUNCTION("""COMPUTED_VALUE"""),"B2B-XH-A(LF)(SN)")</f>
        <v>B2B-XH-A(LF)(SN)</v>
      </c>
      <c r="E186" s="4">
        <f>IFERROR(__xludf.DUMMYFUNCTION("""COMPUTED_VALUE"""),1.0)</f>
        <v>1</v>
      </c>
      <c r="F186" s="4" t="str">
        <f>IFERROR(__xludf.DUMMYFUNCTION("""COMPUTED_VALUE"""),"DigiKey")</f>
        <v>DigiKey</v>
      </c>
      <c r="G186" s="4" t="str">
        <f>IFERROR(__xludf.DUMMYFUNCTION("""COMPUTED_VALUE"""),"455-2247-ND")</f>
        <v>455-2247-ND</v>
      </c>
      <c r="H186" s="4"/>
      <c r="I186" s="4"/>
      <c r="J186" s="4"/>
      <c r="K186" s="4"/>
      <c r="L186" s="4"/>
      <c r="M186" s="4"/>
      <c r="N186" s="9" t="str">
        <f>IFERROR(__xludf.DUMMYFUNCTION("""COMPUTED_VALUE"""),"OEPS K01 010")</f>
        <v>OEPS K01 010</v>
      </c>
      <c r="O186" s="4" t="str">
        <f>IFERROR(__xludf.DUMMYFUNCTION("""COMPUTED_VALUE"""),"RSM200S-32.768-12.5-10PPM-NPB")</f>
        <v>RSM200S-32.768-12.5-10PPM-NPB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>
      <c r="A187" s="4" t="str">
        <f>IFERROR(__xludf.DUMMYFUNCTION("""COMPUTED_VALUE"""),"CONNECTOR:   HEADER JST VERT 2MM 2POS   [B2B-PH-K-S(LF)(SN)] [TH]")</f>
        <v>CONNECTOR:   HEADER JST VERT 2MM 2POS   [B2B-PH-K-S(LF)(SN)] [TH]</v>
      </c>
      <c r="B187" s="4" t="str">
        <f>IFERROR(__xludf.DUMMYFUNCTION("""COMPUTED_VALUE"""),"OEPS070130")</f>
        <v>OEPS070130</v>
      </c>
      <c r="C187" s="4" t="str">
        <f>IFERROR(__xludf.DUMMYFUNCTION("""COMPUTED_VALUE"""),"TH")</f>
        <v>TH</v>
      </c>
      <c r="D187" s="4" t="str">
        <f>IFERROR(__xludf.DUMMYFUNCTION("""COMPUTED_VALUE"""),"B2B-PH-K-S(LF)(SN)")</f>
        <v>B2B-PH-K-S(LF)(SN)</v>
      </c>
      <c r="E187" s="4">
        <f>IFERROR(__xludf.DUMMYFUNCTION("""COMPUTED_VALUE"""),1.0)</f>
        <v>1</v>
      </c>
      <c r="F187" s="4" t="str">
        <f>IFERROR(__xludf.DUMMYFUNCTION("""COMPUTED_VALUE"""),"DigiKey")</f>
        <v>DigiKey</v>
      </c>
      <c r="G187" s="4" t="str">
        <f>IFERROR(__xludf.DUMMYFUNCTION("""COMPUTED_VALUE"""),"455-1704-ND")</f>
        <v>455-1704-ND</v>
      </c>
      <c r="H187" s="4"/>
      <c r="I187" s="4"/>
      <c r="J187" s="4"/>
      <c r="K187" s="4"/>
      <c r="L187" s="4"/>
      <c r="M187" s="4"/>
      <c r="N187" s="9" t="str">
        <f>IFERROR(__xludf.DUMMYFUNCTION("""COMPUTED_VALUE"""),"OEPS K01 010B")</f>
        <v>OEPS K01 010B</v>
      </c>
      <c r="O187" s="4" t="str">
        <f>IFERROR(__xludf.DUMMYFUNCTION("""COMPUTED_VALUE"""),"ABS25-32.768KHZ-4-T")</f>
        <v>ABS25-32.768KHZ-4-T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>
      <c r="A188" s="4" t="str">
        <f>IFERROR(__xludf.DUMMYFUNCTION("""COMPUTED_VALUE"""),"CONNECTOR:   HEADER R/A 8POS 0.8MM   [SM08B-SURS-TF(LF)(SN)] [SMD]")</f>
        <v>CONNECTOR:   HEADER R/A 8POS 0.8MM   [SM08B-SURS-TF(LF)(SN)] [SMD]</v>
      </c>
      <c r="B188" s="4" t="str">
        <f>IFERROR(__xludf.DUMMYFUNCTION("""COMPUTED_VALUE"""),"OEPS070048")</f>
        <v>OEPS070048</v>
      </c>
      <c r="C188" s="4" t="str">
        <f>IFERROR(__xludf.DUMMYFUNCTION("""COMPUTED_VALUE"""),"SMD")</f>
        <v>SMD</v>
      </c>
      <c r="D188" s="4" t="str">
        <f>IFERROR(__xludf.DUMMYFUNCTION("""COMPUTED_VALUE"""),"SM08B-SURS-TF(LF)(SN)")</f>
        <v>SM08B-SURS-TF(LF)(SN)</v>
      </c>
      <c r="E188" s="4">
        <f>IFERROR(__xludf.DUMMYFUNCTION("""COMPUTED_VALUE"""),1.0)</f>
        <v>1</v>
      </c>
      <c r="F188" s="4" t="str">
        <f>IFERROR(__xludf.DUMMYFUNCTION("""COMPUTED_VALUE"""),"DigiKey")</f>
        <v>DigiKey</v>
      </c>
      <c r="G188" s="4" t="str">
        <f>IFERROR(__xludf.DUMMYFUNCTION("""COMPUTED_VALUE"""),"455-2040-6-ND")</f>
        <v>455-2040-6-ND</v>
      </c>
      <c r="H188" s="4"/>
      <c r="I188" s="4"/>
      <c r="J188" s="4"/>
      <c r="K188" s="4"/>
      <c r="L188" s="4"/>
      <c r="M188" s="4"/>
      <c r="N188" s="9" t="str">
        <f>IFERROR(__xludf.DUMMYFUNCTION("""COMPUTED_VALUE"""),"OEPS K01 011A")</f>
        <v>OEPS K01 011A</v>
      </c>
      <c r="O188" s="4" t="str">
        <f>IFERROR(__xludf.DUMMYFUNCTION("""COMPUTED_VALUE"""),"TSM500P02CX RFG")</f>
        <v>TSM500P02CX RFG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>
      <c r="A189" s="4" t="str">
        <f>IFERROR(__xludf.DUMMYFUNCTION("""COMPUTED_VALUE"""),"CONNECTOR:   HEADER RCPT 16POS 2.54MM   [CES-116-01-T-S] [TH]")</f>
        <v>CONNECTOR:   HEADER RCPT 16POS 2.54MM   [CES-116-01-T-S] [TH]</v>
      </c>
      <c r="B189" s="4" t="str">
        <f>IFERROR(__xludf.DUMMYFUNCTION("""COMPUTED_VALUE"""),"OEPS070110")</f>
        <v>OEPS070110</v>
      </c>
      <c r="C189" s="4" t="str">
        <f>IFERROR(__xludf.DUMMYFUNCTION("""COMPUTED_VALUE"""),"TH")</f>
        <v>TH</v>
      </c>
      <c r="D189" s="4" t="str">
        <f>IFERROR(__xludf.DUMMYFUNCTION("""COMPUTED_VALUE"""),"CES-116-01-T-S")</f>
        <v>CES-116-01-T-S</v>
      </c>
      <c r="E189" s="4">
        <f>IFERROR(__xludf.DUMMYFUNCTION("""COMPUTED_VALUE"""),1.0)</f>
        <v>1</v>
      </c>
      <c r="F189" s="4" t="str">
        <f>IFERROR(__xludf.DUMMYFUNCTION("""COMPUTED_VALUE"""),"Digikey")</f>
        <v>Digikey</v>
      </c>
      <c r="G189" s="4" t="str">
        <f>IFERROR(__xludf.DUMMYFUNCTION("""COMPUTED_VALUE"""),"SAM1087-16-ND")</f>
        <v>SAM1087-16-ND</v>
      </c>
      <c r="H189" s="4"/>
      <c r="I189" s="4"/>
      <c r="J189" s="4"/>
      <c r="K189" s="4"/>
      <c r="L189" s="4"/>
      <c r="M189" s="4"/>
      <c r="N189" s="9" t="str">
        <f>IFERROR(__xludf.DUMMYFUNCTION("""COMPUTED_VALUE"""),"OEPS K01 012")</f>
        <v>OEPS K01 012</v>
      </c>
      <c r="O189" s="4" t="str">
        <f>IFERROR(__xludf.DUMMYFUNCTION("""COMPUTED_VALUE"""),"Adafruit: 2762 (black) 2759 (white) Mouser: 485-2762 485-2759")</f>
        <v>Adafruit: 2762 (black) 2759 (white) Mouser: 485-2762 485-2759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>
      <c r="A190" s="4" t="str">
        <f>IFERROR(__xludf.DUMMYFUNCTION("""COMPUTED_VALUE"""),"CONNECTOR:   HEADER RCPT 2.54MM 2POS R/A   [SSW-102-02-T-S-RA] [TH]")</f>
        <v>CONNECTOR:   HEADER RCPT 2.54MM 2POS R/A   [SSW-102-02-T-S-RA] [TH]</v>
      </c>
      <c r="B190" s="4" t="str">
        <f>IFERROR(__xludf.DUMMYFUNCTION("""COMPUTED_VALUE"""),"OEPS070098")</f>
        <v>OEPS070098</v>
      </c>
      <c r="C190" s="4" t="str">
        <f>IFERROR(__xludf.DUMMYFUNCTION("""COMPUTED_VALUE"""),"TH")</f>
        <v>TH</v>
      </c>
      <c r="D190" s="4" t="str">
        <f>IFERROR(__xludf.DUMMYFUNCTION("""COMPUTED_VALUE"""),"SSW-102-02-T-S-RA")</f>
        <v>SSW-102-02-T-S-RA</v>
      </c>
      <c r="E190" s="4">
        <f>IFERROR(__xludf.DUMMYFUNCTION("""COMPUTED_VALUE"""),1.0)</f>
        <v>1</v>
      </c>
      <c r="F190" s="4" t="str">
        <f>IFERROR(__xludf.DUMMYFUNCTION("""COMPUTED_VALUE"""),"Digikey")</f>
        <v>Digikey</v>
      </c>
      <c r="G190" s="4" t="str">
        <f>IFERROR(__xludf.DUMMYFUNCTION("""COMPUTED_VALUE"""),"SAM11929-ND")</f>
        <v>SAM11929-ND</v>
      </c>
      <c r="H190" s="4"/>
      <c r="I190" s="4"/>
      <c r="J190" s="4"/>
      <c r="K190" s="4"/>
      <c r="L190" s="4"/>
      <c r="M190" s="4"/>
      <c r="N190" s="9" t="str">
        <f>IFERROR(__xludf.DUMMYFUNCTION("""COMPUTED_VALUE"""),"OEPS K01 012A")</f>
        <v>OEPS K01 012A</v>
      </c>
      <c r="O190" s="4" t="str">
        <f>IFERROR(__xludf.DUMMYFUNCTION("""COMPUTED_VALUE"""),"XT1511RGBW-BW")</f>
        <v>XT1511RGBW-BW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>
      <c r="A191" s="4" t="str">
        <f>IFERROR(__xludf.DUMMYFUNCTION("""COMPUTED_VALUE"""),"CONNECTOR:   HEADER RCPT 2.54MM straight 1x14POS   [PPPC141LFBN-RC] [TH]")</f>
        <v>CONNECTOR:   HEADER RCPT 2.54MM straight 1x14POS   [PPPC141LFBN-RC] [TH]</v>
      </c>
      <c r="B191" s="4" t="str">
        <f>IFERROR(__xludf.DUMMYFUNCTION("""COMPUTED_VALUE"""),"OEPS070006")</f>
        <v>OEPS070006</v>
      </c>
      <c r="C191" s="4" t="str">
        <f>IFERROR(__xludf.DUMMYFUNCTION("""COMPUTED_VALUE"""),"TH")</f>
        <v>TH</v>
      </c>
      <c r="D191" s="4" t="str">
        <f>IFERROR(__xludf.DUMMYFUNCTION("""COMPUTED_VALUE"""),"PPPC141LFBN-RC")</f>
        <v>PPPC141LFBN-RC</v>
      </c>
      <c r="E191" s="4">
        <f>IFERROR(__xludf.DUMMYFUNCTION("""COMPUTED_VALUE"""),1.0)</f>
        <v>1</v>
      </c>
      <c r="F191" s="4" t="str">
        <f>IFERROR(__xludf.DUMMYFUNCTION("""COMPUTED_VALUE"""),"DigiKey")</f>
        <v>DigiKey</v>
      </c>
      <c r="G191" s="4" t="str">
        <f>IFERROR(__xludf.DUMMYFUNCTION("""COMPUTED_VALUE"""),"S7047-ND")</f>
        <v>S7047-ND</v>
      </c>
      <c r="H191" s="4"/>
      <c r="I191" s="4"/>
      <c r="J191" s="4"/>
      <c r="K191" s="4"/>
      <c r="L191" s="4"/>
      <c r="M191" s="4"/>
      <c r="N191" s="9" t="str">
        <f>IFERROR(__xludf.DUMMYFUNCTION("""COMPUTED_VALUE"""),"OEPS K01 013")</f>
        <v>OEPS K01 013</v>
      </c>
      <c r="O191" s="4" t="str">
        <f>IFERROR(__xludf.DUMMYFUNCTION("""COMPUTED_VALUE"""),"534-3000 (534-3000TR tape&amp;reel version)")</f>
        <v>534-3000 (534-3000TR tape&amp;reel version)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>
      <c r="A192" s="4" t="str">
        <f>IFERROR(__xludf.DUMMYFUNCTION("""COMPUTED_VALUE"""),"CONNECTOR:   HEADER RCPT 2.54MM straight 1x2POS   [PPTC021LFBN-RC] [TH]")</f>
        <v>CONNECTOR:   HEADER RCPT 2.54MM straight 1x2POS   [PPTC021LFBN-RC] [TH]</v>
      </c>
      <c r="B192" s="4" t="str">
        <f>IFERROR(__xludf.DUMMYFUNCTION("""COMPUTED_VALUE"""),"OEPS070095")</f>
        <v>OEPS070095</v>
      </c>
      <c r="C192" s="4" t="str">
        <f>IFERROR(__xludf.DUMMYFUNCTION("""COMPUTED_VALUE"""),"TH")</f>
        <v>TH</v>
      </c>
      <c r="D192" s="4" t="str">
        <f>IFERROR(__xludf.DUMMYFUNCTION("""COMPUTED_VALUE"""),"PPTC021LFBN-RC")</f>
        <v>PPTC021LFBN-RC</v>
      </c>
      <c r="E192" s="4">
        <f>IFERROR(__xludf.DUMMYFUNCTION("""COMPUTED_VALUE"""),1.0)</f>
        <v>1</v>
      </c>
      <c r="F192" s="4" t="str">
        <f>IFERROR(__xludf.DUMMYFUNCTION("""COMPUTED_VALUE"""),"Digikey")</f>
        <v>Digikey</v>
      </c>
      <c r="G192" s="4" t="str">
        <f>IFERROR(__xludf.DUMMYFUNCTION("""COMPUTED_VALUE"""),"S7000-ND")</f>
        <v>S7000-ND</v>
      </c>
      <c r="H192" s="4"/>
      <c r="I192" s="4"/>
      <c r="J192" s="4"/>
      <c r="K192" s="4"/>
      <c r="L192" s="4"/>
      <c r="M192" s="4"/>
      <c r="N192" s="9" t="str">
        <f>IFERROR(__xludf.DUMMYFUNCTION("""COMPUTED_VALUE"""),"OEPS K01 014")</f>
        <v>OEPS K01 014</v>
      </c>
      <c r="O192" s="4" t="str">
        <f>IFERROR(__xludf.DUMMYFUNCTION("""COMPUTED_VALUE"""),"PS1240P02BT")</f>
        <v>PS1240P02BT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>
      <c r="A193" s="4" t="str">
        <f>IFERROR(__xludf.DUMMYFUNCTION("""COMPUTED_VALUE"""),"CONNECTOR:   HEADER RCPT 2.54MM straight 1x4POS   [PPTC041LFBN-RC] [TH]")</f>
        <v>CONNECTOR:   HEADER RCPT 2.54MM straight 1x4POS   [PPTC041LFBN-RC] [TH]</v>
      </c>
      <c r="B193" s="4" t="str">
        <f>IFERROR(__xludf.DUMMYFUNCTION("""COMPUTED_VALUE"""),"OEPS070096")</f>
        <v>OEPS070096</v>
      </c>
      <c r="C193" s="4" t="str">
        <f>IFERROR(__xludf.DUMMYFUNCTION("""COMPUTED_VALUE"""),"TH")</f>
        <v>TH</v>
      </c>
      <c r="D193" s="4" t="str">
        <f>IFERROR(__xludf.DUMMYFUNCTION("""COMPUTED_VALUE"""),"PPTC041LFBN-RC")</f>
        <v>PPTC041LFBN-RC</v>
      </c>
      <c r="E193" s="4">
        <f>IFERROR(__xludf.DUMMYFUNCTION("""COMPUTED_VALUE"""),1.0)</f>
        <v>1</v>
      </c>
      <c r="F193" s="4" t="str">
        <f>IFERROR(__xludf.DUMMYFUNCTION("""COMPUTED_VALUE"""),"Digikey")</f>
        <v>Digikey</v>
      </c>
      <c r="G193" s="4" t="str">
        <f>IFERROR(__xludf.DUMMYFUNCTION("""COMPUTED_VALUE"""),"S7002-ND")</f>
        <v>S7002-ND</v>
      </c>
      <c r="H193" s="4"/>
      <c r="I193" s="4"/>
      <c r="J193" s="4"/>
      <c r="K193" s="4"/>
      <c r="L193" s="4"/>
      <c r="M193" s="4"/>
      <c r="N193" s="9" t="str">
        <f>IFERROR(__xludf.DUMMYFUNCTION("""COMPUTED_VALUE"""),"OEPS K01 016")</f>
        <v>OEPS K01 016</v>
      </c>
      <c r="O193" s="4" t="str">
        <f>IFERROR(__xludf.DUMMYFUNCTION("""COMPUTED_VALUE"""),"BYS10-25-E3/TR")</f>
        <v>BYS10-25-E3/TR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>
      <c r="A194" s="4" t="str">
        <f>IFERROR(__xludf.DUMMYFUNCTION("""COMPUTED_VALUE"""),"CONNECTOR:   HEADER RCPT 2.54MM straight 1x5POS   [PPTC051LFBN-RC] [TH]")</f>
        <v>CONNECTOR:   HEADER RCPT 2.54MM straight 1x5POS   [PPTC051LFBN-RC] [TH]</v>
      </c>
      <c r="B194" s="4" t="str">
        <f>IFERROR(__xludf.DUMMYFUNCTION("""COMPUTED_VALUE"""),"OEPS070142")</f>
        <v>OEPS070142</v>
      </c>
      <c r="C194" s="4" t="str">
        <f>IFERROR(__xludf.DUMMYFUNCTION("""COMPUTED_VALUE"""),"TH")</f>
        <v>TH</v>
      </c>
      <c r="D194" s="4" t="str">
        <f>IFERROR(__xludf.DUMMYFUNCTION("""COMPUTED_VALUE"""),"PPTC051LFBN-RC")</f>
        <v>PPTC051LFBN-RC</v>
      </c>
      <c r="E194" s="4">
        <f>IFERROR(__xludf.DUMMYFUNCTION("""COMPUTED_VALUE"""),1.0)</f>
        <v>1</v>
      </c>
      <c r="F194" s="4" t="str">
        <f>IFERROR(__xludf.DUMMYFUNCTION("""COMPUTED_VALUE"""),"Digikey")</f>
        <v>Digikey</v>
      </c>
      <c r="G194" s="4" t="str">
        <f>IFERROR(__xludf.DUMMYFUNCTION("""COMPUTED_VALUE"""),"S6103-ND")</f>
        <v>S6103-ND</v>
      </c>
      <c r="H194" s="4"/>
      <c r="I194" s="4"/>
      <c r="J194" s="4"/>
      <c r="K194" s="4"/>
      <c r="L194" s="4"/>
      <c r="M194" s="4"/>
      <c r="N194" s="9" t="str">
        <f>IFERROR(__xludf.DUMMYFUNCTION("""COMPUTED_VALUE"""),"OEPS K01 017")</f>
        <v>OEPS K01 017</v>
      </c>
      <c r="O194" s="4" t="str">
        <f>IFERROR(__xludf.DUMMYFUNCTION("""COMPUTED_VALUE"""),"SSSS811101")</f>
        <v>SSSS811101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>
      <c r="A195" s="4" t="str">
        <f>IFERROR(__xludf.DUMMYFUNCTION("""COMPUTED_VALUE"""),"CONNECTOR:   HEADER RCPT 2.54MM straight 1x7POS Blue   [76341-307LF] [TH]")</f>
        <v>CONNECTOR:   HEADER RCPT 2.54MM straight 1x7POS Blue   [76341-307LF] [TH]</v>
      </c>
      <c r="B195" s="4" t="str">
        <f>IFERROR(__xludf.DUMMYFUNCTION("""COMPUTED_VALUE"""),"OEPS070150")</f>
        <v>OEPS070150</v>
      </c>
      <c r="C195" s="4" t="str">
        <f>IFERROR(__xludf.DUMMYFUNCTION("""COMPUTED_VALUE"""),"TH")</f>
        <v>TH</v>
      </c>
      <c r="D195" s="4" t="str">
        <f>IFERROR(__xludf.DUMMYFUNCTION("""COMPUTED_VALUE"""),"76341-307LF")</f>
        <v>76341-307LF</v>
      </c>
      <c r="E195" s="4">
        <f>IFERROR(__xludf.DUMMYFUNCTION("""COMPUTED_VALUE"""),1.0)</f>
        <v>1</v>
      </c>
      <c r="F195" s="4" t="str">
        <f>IFERROR(__xludf.DUMMYFUNCTION("""COMPUTED_VALUE"""),"Mouser")</f>
        <v>Mouser</v>
      </c>
      <c r="G195" s="4" t="str">
        <f>IFERROR(__xludf.DUMMYFUNCTION("""COMPUTED_VALUE"""),"649-76341-307LF")</f>
        <v>649-76341-307LF</v>
      </c>
      <c r="H195" s="4"/>
      <c r="I195" s="4"/>
      <c r="J195" s="4"/>
      <c r="K195" s="4"/>
      <c r="L195" s="4"/>
      <c r="M195" s="4"/>
      <c r="N195" s="9" t="str">
        <f>IFERROR(__xludf.DUMMYFUNCTION("""COMPUTED_VALUE"""),"OEPS K01 018")</f>
        <v>OEPS K01 018</v>
      </c>
      <c r="O195" s="4" t="str">
        <f>IFERROR(__xludf.DUMMYFUNCTION("""COMPUTED_VALUE"""),"35RASMT2BHNTRX")</f>
        <v>35RASMT2BHNTRX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>
      <c r="A196" s="4" t="str">
        <f>IFERROR(__xludf.DUMMYFUNCTION("""COMPUTED_VALUE"""),"CONNECTOR:   HEADER RCPT 2x6POS 2.54MM   [CES-106-01-T-D] [TH]")</f>
        <v>CONNECTOR:   HEADER RCPT 2x6POS 2.54MM   [CES-106-01-T-D] [TH]</v>
      </c>
      <c r="B196" s="4" t="str">
        <f>IFERROR(__xludf.DUMMYFUNCTION("""COMPUTED_VALUE"""),"OEPS070135")</f>
        <v>OEPS070135</v>
      </c>
      <c r="C196" s="4" t="str">
        <f>IFERROR(__xludf.DUMMYFUNCTION("""COMPUTED_VALUE"""),"TH")</f>
        <v>TH</v>
      </c>
      <c r="D196" s="4" t="str">
        <f>IFERROR(__xludf.DUMMYFUNCTION("""COMPUTED_VALUE"""),"CES-106-01-T-D")</f>
        <v>CES-106-01-T-D</v>
      </c>
      <c r="E196" s="4">
        <f>IFERROR(__xludf.DUMMYFUNCTION("""COMPUTED_VALUE"""),1.0)</f>
        <v>1</v>
      </c>
      <c r="F196" s="4" t="str">
        <f>IFERROR(__xludf.DUMMYFUNCTION("""COMPUTED_VALUE"""),"Digikey")</f>
        <v>Digikey</v>
      </c>
      <c r="G196" s="4" t="str">
        <f>IFERROR(__xludf.DUMMYFUNCTION("""COMPUTED_VALUE"""),"SAM1086-06-ND")</f>
        <v>SAM1086-06-ND</v>
      </c>
      <c r="H196" s="4"/>
      <c r="I196" s="4"/>
      <c r="J196" s="4"/>
      <c r="K196" s="4"/>
      <c r="L196" s="4"/>
      <c r="M196" s="4"/>
      <c r="N196" s="9" t="str">
        <f>IFERROR(__xludf.DUMMYFUNCTION("""COMPUTED_VALUE"""),"OEPS K01 019")</f>
        <v>OEPS K01 019</v>
      </c>
      <c r="O196" s="4" t="str">
        <f>IFERROR(__xludf.DUMMYFUNCTION("""COMPUTED_VALUE"""),"CES-112-01-T-S")</f>
        <v>CES-112-01-T-S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>
      <c r="A197" s="4" t="str">
        <f>IFERROR(__xludf.DUMMYFUNCTION("""COMPUTED_VALUE"""),"CONNECTOR:   HEADER RCPT 3POS 2.54MM   [2212S-03SG-85] [TH]")</f>
        <v>CONNECTOR:   HEADER RCPT 3POS 2.54MM   [2212S-03SG-85] [TH]</v>
      </c>
      <c r="B197" s="4" t="str">
        <f>IFERROR(__xludf.DUMMYFUNCTION("""COMPUTED_VALUE"""),"OEPS070137")</f>
        <v>OEPS070137</v>
      </c>
      <c r="C197" s="4" t="str">
        <f>IFERROR(__xludf.DUMMYFUNCTION("""COMPUTED_VALUE"""),"TH")</f>
        <v>TH</v>
      </c>
      <c r="D197" s="4" t="str">
        <f>IFERROR(__xludf.DUMMYFUNCTION("""COMPUTED_VALUE"""),"2212S-03SG-85")</f>
        <v>2212S-03SG-85</v>
      </c>
      <c r="E197" s="4">
        <f>IFERROR(__xludf.DUMMYFUNCTION("""COMPUTED_VALUE"""),1.0)</f>
        <v>1</v>
      </c>
      <c r="F197" s="4" t="str">
        <f>IFERROR(__xludf.DUMMYFUNCTION("""COMPUTED_VALUE"""),"Farnell")</f>
        <v>Farnell</v>
      </c>
      <c r="G197" s="4" t="str">
        <f>IFERROR(__xludf.DUMMYFUNCTION("""COMPUTED_VALUE"""),"1593459")</f>
        <v>1593459</v>
      </c>
      <c r="H197" s="4"/>
      <c r="I197" s="4"/>
      <c r="J197" s="4"/>
      <c r="K197" s="4"/>
      <c r="L197" s="4"/>
      <c r="M197" s="4"/>
      <c r="N197" s="9" t="str">
        <f>IFERROR(__xludf.DUMMYFUNCTION("""COMPUTED_VALUE"""),"OEPS K01 020")</f>
        <v>OEPS K01 020</v>
      </c>
      <c r="O197" s="4" t="str">
        <f>IFERROR(__xludf.DUMMYFUNCTION("""COMPUTED_VALUE"""),"CES-116-01-T-S")</f>
        <v>CES-116-01-T-S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>
      <c r="A198" s="4" t="str">
        <f>IFERROR(__xludf.DUMMYFUNCTION("""COMPUTED_VALUE"""),"CONNECTOR:   HEADER RCPT 3POS R/A 2.54MM    [SSW-103-02-T-S-RA] [TH]")</f>
        <v>CONNECTOR:   HEADER RCPT 3POS R/A 2.54MM    [SSW-103-02-T-S-RA] [TH]</v>
      </c>
      <c r="B198" s="4" t="str">
        <f>IFERROR(__xludf.DUMMYFUNCTION("""COMPUTED_VALUE"""),"OEPS070139")</f>
        <v>OEPS070139</v>
      </c>
      <c r="C198" s="4" t="str">
        <f>IFERROR(__xludf.DUMMYFUNCTION("""COMPUTED_VALUE"""),"TH")</f>
        <v>TH</v>
      </c>
      <c r="D198" s="4" t="str">
        <f>IFERROR(__xludf.DUMMYFUNCTION("""COMPUTED_VALUE"""),"SSW-103-02-T-S-RA")</f>
        <v>SSW-103-02-T-S-RA</v>
      </c>
      <c r="E198" s="4">
        <f>IFERROR(__xludf.DUMMYFUNCTION("""COMPUTED_VALUE"""),1.0)</f>
        <v>1</v>
      </c>
      <c r="F198" s="4" t="str">
        <f>IFERROR(__xludf.DUMMYFUNCTION("""COMPUTED_VALUE"""),"Digikey")</f>
        <v>Digikey</v>
      </c>
      <c r="G198" s="4" t="str">
        <f>IFERROR(__xludf.DUMMYFUNCTION("""COMPUTED_VALUE"""),"SSW-103-02-T-S-RA-ND")</f>
        <v>SSW-103-02-T-S-RA-ND</v>
      </c>
      <c r="H198" s="4"/>
      <c r="I198" s="4"/>
      <c r="J198" s="4"/>
      <c r="K198" s="4"/>
      <c r="L198" s="4"/>
      <c r="M198" s="4"/>
      <c r="N198" s="9" t="str">
        <f>IFERROR(__xludf.DUMMYFUNCTION("""COMPUTED_VALUE"""),"OEPS K01 021")</f>
        <v>OEPS K01 021</v>
      </c>
      <c r="O198" s="4" t="str">
        <f>IFERROR(__xludf.DUMMYFUNCTION("""COMPUTED_VALUE"""),"M20-9990546")</f>
        <v>M20-9990546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>
      <c r="A199" s="4" t="str">
        <f>IFERROR(__xludf.DUMMYFUNCTION("""COMPUTED_VALUE"""),"CONNECTOR:   HEADER Samtec 80POS   [BTE-040-01-L-D-A] [SMD]")</f>
        <v>CONNECTOR:   HEADER Samtec 80POS   [BTE-040-01-L-D-A] [SMD]</v>
      </c>
      <c r="B199" s="4" t="str">
        <f>IFERROR(__xludf.DUMMYFUNCTION("""COMPUTED_VALUE"""),"OEPS070017")</f>
        <v>OEPS070017</v>
      </c>
      <c r="C199" s="4" t="str">
        <f>IFERROR(__xludf.DUMMYFUNCTION("""COMPUTED_VALUE"""),"SMD")</f>
        <v>SMD</v>
      </c>
      <c r="D199" s="4" t="str">
        <f>IFERROR(__xludf.DUMMYFUNCTION("""COMPUTED_VALUE"""),"BTE-040-01-L-D-A")</f>
        <v>BTE-040-01-L-D-A</v>
      </c>
      <c r="E199" s="4">
        <f>IFERROR(__xludf.DUMMYFUNCTION("""COMPUTED_VALUE"""),2.0)</f>
        <v>2</v>
      </c>
      <c r="F199" s="4" t="str">
        <f>IFERROR(__xludf.DUMMYFUNCTION("""COMPUTED_VALUE"""),"DigiKey")</f>
        <v>DigiKey</v>
      </c>
      <c r="G199" s="4" t="str">
        <f>IFERROR(__xludf.DUMMYFUNCTION("""COMPUTED_VALUE"""),"SAM8745-ND")</f>
        <v>SAM8745-ND</v>
      </c>
      <c r="H199" s="4"/>
      <c r="I199" s="4"/>
      <c r="J199" s="4"/>
      <c r="K199" s="4"/>
      <c r="L199" s="4"/>
      <c r="M199" s="4"/>
      <c r="N199" s="9" t="str">
        <f>IFERROR(__xludf.DUMMYFUNCTION("""COMPUTED_VALUE"""),"OEPS K01 022A")</f>
        <v>OEPS K01 022A</v>
      </c>
      <c r="O199" s="4" t="str">
        <f>IFERROR(__xludf.DUMMYFUNCTION("""COMPUTED_VALUE"""),"GP1A57HRJ00F")</f>
        <v>GP1A57HRJ00F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>
      <c r="A200" s="4" t="str">
        <f>IFERROR(__xludf.DUMMYFUNCTION("""COMPUTED_VALUE"""),"CONNECTOR:   HEADER SMD 2x2POS 2.54MM   [M20-8760242] [SMD]")</f>
        <v>CONNECTOR:   HEADER SMD 2x2POS 2.54MM   [M20-8760242] [SMD]</v>
      </c>
      <c r="B200" s="4" t="str">
        <f>IFERROR(__xludf.DUMMYFUNCTION("""COMPUTED_VALUE"""),"OEPS070099")</f>
        <v>OEPS070099</v>
      </c>
      <c r="C200" s="4" t="str">
        <f>IFERROR(__xludf.DUMMYFUNCTION("""COMPUTED_VALUE"""),"SMD")</f>
        <v>SMD</v>
      </c>
      <c r="D200" s="4" t="str">
        <f>IFERROR(__xludf.DUMMYFUNCTION("""COMPUTED_VALUE"""),"M20-8760242")</f>
        <v>M20-8760242</v>
      </c>
      <c r="E200" s="4">
        <f>IFERROR(__xludf.DUMMYFUNCTION("""COMPUTED_VALUE"""),1.0)</f>
        <v>1</v>
      </c>
      <c r="F200" s="4" t="str">
        <f>IFERROR(__xludf.DUMMYFUNCTION("""COMPUTED_VALUE"""),"Digikey")</f>
        <v>Digikey</v>
      </c>
      <c r="G200" s="4" t="str">
        <f>IFERROR(__xludf.DUMMYFUNCTION("""COMPUTED_VALUE"""),"952-3254-ND")</f>
        <v>952-3254-ND</v>
      </c>
      <c r="H200" s="4"/>
      <c r="I200" s="4"/>
      <c r="J200" s="4"/>
      <c r="K200" s="4"/>
      <c r="L200" s="4"/>
      <c r="M200" s="4"/>
      <c r="N200" s="9" t="str">
        <f>IFERROR(__xludf.DUMMYFUNCTION("""COMPUTED_VALUE"""),"OEPS K01 023")</f>
        <v>OEPS K01 023</v>
      </c>
      <c r="O200" s="4" t="str">
        <f>IFERROR(__xludf.DUMMYFUNCTION("""COMPUTED_VALUE"""),"B2B-PH-K-S(LF)(SN)")</f>
        <v>B2B-PH-K-S(LF)(SN)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>
      <c r="A201" s="4" t="str">
        <f>IFERROR(__xludf.DUMMYFUNCTION("""COMPUTED_VALUE"""),"CONNECTOR:   HEADER SMD JST 4POS 1MM   [BM04B-SRSS-TB(LF)(SN)] [SMD]")</f>
        <v>CONNECTOR:   HEADER SMD JST 4POS 1MM   [BM04B-SRSS-TB(LF)(SN)] [SMD]</v>
      </c>
      <c r="B201" s="4" t="str">
        <f>IFERROR(__xludf.DUMMYFUNCTION("""COMPUTED_VALUE"""),"OEPS070125")</f>
        <v>OEPS070125</v>
      </c>
      <c r="C201" s="4" t="str">
        <f>IFERROR(__xludf.DUMMYFUNCTION("""COMPUTED_VALUE"""),"SMD")</f>
        <v>SMD</v>
      </c>
      <c r="D201" s="4" t="str">
        <f>IFERROR(__xludf.DUMMYFUNCTION("""COMPUTED_VALUE"""),"BM04B-SRSS-TB(LF)(SN)")</f>
        <v>BM04B-SRSS-TB(LF)(SN)</v>
      </c>
      <c r="E201" s="4">
        <f>IFERROR(__xludf.DUMMYFUNCTION("""COMPUTED_VALUE"""),2.0)</f>
        <v>2</v>
      </c>
      <c r="F201" s="4" t="str">
        <f>IFERROR(__xludf.DUMMYFUNCTION("""COMPUTED_VALUE"""),"Mouser")</f>
        <v>Mouser</v>
      </c>
      <c r="G201" s="4" t="str">
        <f>IFERROR(__xludf.DUMMYFUNCTION("""COMPUTED_VALUE"""),"306-BM04BSRSSTBLFSN")</f>
        <v>306-BM04BSRSSTBLFSN</v>
      </c>
      <c r="H201" s="4"/>
      <c r="I201" s="4"/>
      <c r="J201" s="4"/>
      <c r="K201" s="4"/>
      <c r="L201" s="4"/>
      <c r="M201" s="4"/>
      <c r="N201" s="9" t="str">
        <f>IFERROR(__xludf.DUMMYFUNCTION("""COMPUTED_VALUE"""),"OEPS K01 025")</f>
        <v>OEPS K01 025</v>
      </c>
      <c r="O201" s="4" t="str">
        <f>IFERROR(__xludf.DUMMYFUNCTION("""COMPUTED_VALUE"""),"61300611021")</f>
        <v>61300611021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>
      <c r="A202" s="4" t="str">
        <f>IFERROR(__xludf.DUMMYFUNCTION("""COMPUTED_VALUE"""),"CONNECTOR:   HEADER SMD JST 4POS 1MM   [BM04B-SRSS-TB] [SMD]")</f>
        <v>CONNECTOR:   HEADER SMD JST 4POS 1MM   [BM04B-SRSS-TB] [SMD]</v>
      </c>
      <c r="B202" s="4" t="str">
        <f>IFERROR(__xludf.DUMMYFUNCTION("""COMPUTED_VALUE"""),"OEPS070126")</f>
        <v>OEPS070126</v>
      </c>
      <c r="C202" s="4" t="str">
        <f>IFERROR(__xludf.DUMMYFUNCTION("""COMPUTED_VALUE"""),"SMD")</f>
        <v>SMD</v>
      </c>
      <c r="D202" s="4" t="str">
        <f>IFERROR(__xludf.DUMMYFUNCTION("""COMPUTED_VALUE"""),"BM04B-SRSS-TB")</f>
        <v>BM04B-SRSS-TB</v>
      </c>
      <c r="E202" s="4">
        <f>IFERROR(__xludf.DUMMYFUNCTION("""COMPUTED_VALUE"""),2.0)</f>
        <v>2</v>
      </c>
      <c r="F202" s="4" t="str">
        <f>IFERROR(__xludf.DUMMYFUNCTION("""COMPUTED_VALUE"""),"DigiKey")</f>
        <v>DigiKey</v>
      </c>
      <c r="G202" s="4" t="str">
        <f>IFERROR(__xludf.DUMMYFUNCTION("""COMPUTED_VALUE"""),"455-BM04B-SRSS-TBDKR-ND")</f>
        <v>455-BM04B-SRSS-TBDKR-ND</v>
      </c>
      <c r="H202" s="4"/>
      <c r="I202" s="4"/>
      <c r="J202" s="4"/>
      <c r="K202" s="4"/>
      <c r="L202" s="4"/>
      <c r="M202" s="4"/>
      <c r="N202" s="9" t="str">
        <f>IFERROR(__xludf.DUMMYFUNCTION("""COMPUTED_VALUE"""),"OEPS K01 101")</f>
        <v>OEPS K01 101</v>
      </c>
      <c r="O202" s="4" t="str">
        <f>IFERROR(__xludf.DUMMYFUNCTION("""COMPUTED_VALUE"""),"Adafruit 2796 M: 485-2796 DK: 1528-1539-ND")</f>
        <v>Adafruit 2796 M: 485-2796 DK: 1528-1539-ND</v>
      </c>
      <c r="P202" s="4" t="str">
        <f>IFERROR(__xludf.DUMMYFUNCTION("""COMPUTED_VALUE"""),"24 ")</f>
        <v>24 </v>
      </c>
      <c r="Q202" s="4">
        <f>IFERROR(__xludf.DUMMYFUNCTION("""COMPUTED_VALUE"""),24.0)</f>
        <v>24</v>
      </c>
      <c r="R202" s="4">
        <f>IFERROR(__xludf.DUMMYFUNCTION("""COMPUTED_VALUE"""),24.0)</f>
        <v>24</v>
      </c>
      <c r="S202" s="4" t="str">
        <f>IFERROR(__xludf.DUMMYFUNCTION("""COMPUTED_VALUE"""),"Bag")</f>
        <v>Bag</v>
      </c>
      <c r="T202" s="4" t="str">
        <f>IFERROR(__xludf.DUMMYFUNCTION("""COMPUTED_VALUE"""),"0624")</f>
        <v>0624</v>
      </c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>
      <c r="A203" s="4" t="str">
        <f>IFERROR(__xludf.DUMMYFUNCTION("""COMPUTED_VALUE"""),"CONNECTOR:   HEADER SMD JST 4POS 1MM   [SM04B-SRSS-TB] [SMD]")</f>
        <v>CONNECTOR:   HEADER SMD JST 4POS 1MM   [SM04B-SRSS-TB] [SMD]</v>
      </c>
      <c r="B203" s="4" t="str">
        <f>IFERROR(__xludf.DUMMYFUNCTION("""COMPUTED_VALUE"""),"OEPS070138")</f>
        <v>OEPS070138</v>
      </c>
      <c r="C203" s="4" t="str">
        <f>IFERROR(__xludf.DUMMYFUNCTION("""COMPUTED_VALUE"""),"SMD")</f>
        <v>SMD</v>
      </c>
      <c r="D203" s="4" t="str">
        <f>IFERROR(__xludf.DUMMYFUNCTION("""COMPUTED_VALUE"""),"SM04B-SRSS-TB")</f>
        <v>SM04B-SRSS-TB</v>
      </c>
      <c r="E203" s="4">
        <f>IFERROR(__xludf.DUMMYFUNCTION("""COMPUTED_VALUE"""),2.0)</f>
        <v>2</v>
      </c>
      <c r="F203" s="4" t="str">
        <f>IFERROR(__xludf.DUMMYFUNCTION("""COMPUTED_VALUE"""),"DigiKey")</f>
        <v>DigiKey</v>
      </c>
      <c r="G203" s="4" t="str">
        <f>IFERROR(__xludf.DUMMYFUNCTION("""COMPUTED_VALUE"""),"455-SM04B-SRSS-TBDKR-ND")</f>
        <v>455-SM04B-SRSS-TBDKR-ND</v>
      </c>
      <c r="H203" s="4"/>
      <c r="I203" s="4"/>
      <c r="J203" s="4"/>
      <c r="K203" s="4"/>
      <c r="L203" s="4"/>
      <c r="M203" s="4"/>
      <c r="N203" s="9" t="str">
        <f>IFERROR(__xludf.DUMMYFUNCTION("""COMPUTED_VALUE"""),"OEPS K01 104")</f>
        <v>OEPS K01 104</v>
      </c>
      <c r="O203" s="4" t="str">
        <f>IFERROR(__xludf.DUMMYFUNCTION("""COMPUTED_VALUE"""),"Adafruit 3502 M: 485-3502 DK: 1528-2326-ND")</f>
        <v>Adafruit 3502 M: 485-3502 DK: 1528-2326-ND</v>
      </c>
      <c r="P203" s="4" t="str">
        <f>IFERROR(__xludf.DUMMYFUNCTION("""COMPUTED_VALUE"""),"1 ")</f>
        <v>1 </v>
      </c>
      <c r="Q203" s="4">
        <f>IFERROR(__xludf.DUMMYFUNCTION("""COMPUTED_VALUE"""),1.0)</f>
        <v>1</v>
      </c>
      <c r="R203" s="4">
        <f>IFERROR(__xludf.DUMMYFUNCTION("""COMPUTED_VALUE"""),1.0)</f>
        <v>1</v>
      </c>
      <c r="S203" s="4" t="str">
        <f>IFERROR(__xludf.DUMMYFUNCTION("""COMPUTED_VALUE"""),"Box")</f>
        <v>Box</v>
      </c>
      <c r="T203" s="4" t="str">
        <f>IFERROR(__xludf.DUMMYFUNCTION("""COMPUTED_VALUE"""),"XXXX")</f>
        <v>XXXX</v>
      </c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>
      <c r="A204" s="4" t="str">
        <f>IFERROR(__xludf.DUMMYFUNCTION("""COMPUTED_VALUE"""),"CONNECTOR:   HEADER SMD JST 6POS 2MM   [B6B-PH-SM4-TB] [SMD]")</f>
        <v>CONNECTOR:   HEADER SMD JST 6POS 2MM   [B6B-PH-SM4-TB] [SMD]</v>
      </c>
      <c r="B204" s="4" t="str">
        <f>IFERROR(__xludf.DUMMYFUNCTION("""COMPUTED_VALUE"""),"OEPS070154")</f>
        <v>OEPS070154</v>
      </c>
      <c r="C204" s="4" t="str">
        <f>IFERROR(__xludf.DUMMYFUNCTION("""COMPUTED_VALUE"""),"SMD")</f>
        <v>SMD</v>
      </c>
      <c r="D204" s="4" t="str">
        <f>IFERROR(__xludf.DUMMYFUNCTION("""COMPUTED_VALUE"""),"B6B-PH-SM4-TB")</f>
        <v>B6B-PH-SM4-TB</v>
      </c>
      <c r="E204" s="4">
        <f>IFERROR(__xludf.DUMMYFUNCTION("""COMPUTED_VALUE"""),2.0)</f>
        <v>2</v>
      </c>
      <c r="F204" s="4" t="str">
        <f>IFERROR(__xludf.DUMMYFUNCTION("""COMPUTED_VALUE"""),"DigiKey")</f>
        <v>DigiKey</v>
      </c>
      <c r="G204" s="4" t="str">
        <f>IFERROR(__xludf.DUMMYFUNCTION("""COMPUTED_VALUE"""),"455-B6B-PH-SM4-TBDKR-ND")</f>
        <v>455-B6B-PH-SM4-TBDKR-ND</v>
      </c>
      <c r="H204" s="4"/>
      <c r="I204" s="4"/>
      <c r="J204" s="4"/>
      <c r="K204" s="4"/>
      <c r="L204" s="4"/>
      <c r="M204" s="4"/>
      <c r="N204" s="9" t="str">
        <f>IFERROR(__xludf.DUMMYFUNCTION("""COMPUTED_VALUE"""),"OEPS K01 106")</f>
        <v>OEPS K01 106</v>
      </c>
      <c r="O204" s="4" t="str">
        <f>IFERROR(__xludf.DUMMYFUNCTION("""COMPUTED_VALUE"""),"TSW-112-06-T-S")</f>
        <v>TSW-112-06-T-S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>
      <c r="A205" s="4" t="str">
        <f>IFERROR(__xludf.DUMMYFUNCTION("""COMPUTED_VALUE"""),"CONNECTOR:   HEADER VERT 16POS 2.54MM   [TSW-116-06-T-S] [TH]")</f>
        <v>CONNECTOR:   HEADER VERT 16POS 2.54MM   [TSW-116-06-T-S] [TH]</v>
      </c>
      <c r="B205" s="4" t="str">
        <f>IFERROR(__xludf.DUMMYFUNCTION("""COMPUTED_VALUE"""),"OEPS070109")</f>
        <v>OEPS070109</v>
      </c>
      <c r="C205" s="4" t="str">
        <f>IFERROR(__xludf.DUMMYFUNCTION("""COMPUTED_VALUE"""),"TH")</f>
        <v>TH</v>
      </c>
      <c r="D205" s="4" t="str">
        <f>IFERROR(__xludf.DUMMYFUNCTION("""COMPUTED_VALUE"""),"TSW-116-06-T-S")</f>
        <v>TSW-116-06-T-S</v>
      </c>
      <c r="E205" s="4">
        <f>IFERROR(__xludf.DUMMYFUNCTION("""COMPUTED_VALUE"""),1.0)</f>
        <v>1</v>
      </c>
      <c r="F205" s="4" t="str">
        <f>IFERROR(__xludf.DUMMYFUNCTION("""COMPUTED_VALUE"""),"Digikey")</f>
        <v>Digikey</v>
      </c>
      <c r="G205" s="4" t="str">
        <f>IFERROR(__xludf.DUMMYFUNCTION("""COMPUTED_VALUE"""),"SAM1027-16-ND")</f>
        <v>SAM1027-16-ND</v>
      </c>
      <c r="H205" s="4"/>
      <c r="I205" s="4"/>
      <c r="J205" s="4"/>
      <c r="K205" s="4"/>
      <c r="L205" s="4"/>
      <c r="M205" s="4"/>
      <c r="N205" s="9" t="str">
        <f>IFERROR(__xludf.DUMMYFUNCTION("""COMPUTED_VALUE"""),"OEPS K01 107")</f>
        <v>OEPS K01 107</v>
      </c>
      <c r="O205" s="4" t="str">
        <f>IFERROR(__xludf.DUMMYFUNCTION("""COMPUTED_VALUE"""),"TSW-116-06-T-S")</f>
        <v>TSW-116-06-T-S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>
      <c r="A206" s="4" t="str">
        <f>IFERROR(__xludf.DUMMYFUNCTION("""COMPUTED_VALUE"""),"CONNECTOR:   HEADER VERT 2x5POS 2.54MM   [10129383-910002ALF] [SMD]")</f>
        <v>CONNECTOR:   HEADER VERT 2x5POS 2.54MM   [10129383-910002ALF] [SMD]</v>
      </c>
      <c r="B206" s="4" t="str">
        <f>IFERROR(__xludf.DUMMYFUNCTION("""COMPUTED_VALUE"""),"OEPS070120")</f>
        <v>OEPS070120</v>
      </c>
      <c r="C206" s="4" t="str">
        <f>IFERROR(__xludf.DUMMYFUNCTION("""COMPUTED_VALUE"""),"SMD")</f>
        <v>SMD</v>
      </c>
      <c r="D206" s="4" t="str">
        <f>IFERROR(__xludf.DUMMYFUNCTION("""COMPUTED_VALUE"""),"10129383-910002ALF")</f>
        <v>10129383-910002ALF</v>
      </c>
      <c r="E206" s="4">
        <f>IFERROR(__xludf.DUMMYFUNCTION("""COMPUTED_VALUE"""),1.0)</f>
        <v>1</v>
      </c>
      <c r="F206" s="4" t="str">
        <f>IFERROR(__xludf.DUMMYFUNCTION("""COMPUTED_VALUE"""),"Digikey")</f>
        <v>Digikey</v>
      </c>
      <c r="G206" s="4" t="str">
        <f>IFERROR(__xludf.DUMMYFUNCTION("""COMPUTED_VALUE"""),"609-10129383-910002ALFDKR-ND")</f>
        <v>609-10129383-910002ALFDKR-ND</v>
      </c>
      <c r="H206" s="4"/>
      <c r="I206" s="4"/>
      <c r="J206" s="4"/>
      <c r="K206" s="4"/>
      <c r="L206" s="4"/>
      <c r="M206" s="4"/>
      <c r="N206" s="9" t="str">
        <f>IFERROR(__xludf.DUMMYFUNCTION("""COMPUTED_VALUE"""),"OEPS K01 109")</f>
        <v>OEPS K01 109</v>
      </c>
      <c r="O206" s="4" t="str">
        <f>IFERROR(__xludf.DUMMYFUNCTION("""COMPUTED_VALUE"""),"ERJ-3EKF1002V")</f>
        <v>ERJ-3EKF1002V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>
      <c r="A207" s="4" t="str">
        <f>IFERROR(__xludf.DUMMYFUNCTION("""COMPUTED_VALUE"""),"CONNECTOR:   HEADER VERT 2x6POS 2.54MM   [TSW-106-06-T-D] [TH]")</f>
        <v>CONNECTOR:   HEADER VERT 2x6POS 2.54MM   [TSW-106-06-T-D] [TH]</v>
      </c>
      <c r="B207" s="4" t="str">
        <f>IFERROR(__xludf.DUMMYFUNCTION("""COMPUTED_VALUE"""),"OEPS070136")</f>
        <v>OEPS070136</v>
      </c>
      <c r="C207" s="4" t="str">
        <f>IFERROR(__xludf.DUMMYFUNCTION("""COMPUTED_VALUE"""),"TH")</f>
        <v>TH</v>
      </c>
      <c r="D207" s="4" t="str">
        <f>IFERROR(__xludf.DUMMYFUNCTION("""COMPUTED_VALUE"""),"TSW-106-06-T-D")</f>
        <v>TSW-106-06-T-D</v>
      </c>
      <c r="E207" s="4">
        <f>IFERROR(__xludf.DUMMYFUNCTION("""COMPUTED_VALUE"""),1.0)</f>
        <v>1</v>
      </c>
      <c r="F207" s="4" t="str">
        <f>IFERROR(__xludf.DUMMYFUNCTION("""COMPUTED_VALUE"""),"Digikey")</f>
        <v>Digikey</v>
      </c>
      <c r="G207" s="4" t="str">
        <f>IFERROR(__xludf.DUMMYFUNCTION("""COMPUTED_VALUE"""),"612-TSW-106-06-T-D-ND")</f>
        <v>612-TSW-106-06-T-D-ND</v>
      </c>
      <c r="H207" s="4"/>
      <c r="I207" s="4"/>
      <c r="J207" s="4"/>
      <c r="K207" s="4"/>
      <c r="L207" s="4"/>
      <c r="M207" s="4"/>
      <c r="N207" s="9" t="str">
        <f>IFERROR(__xludf.DUMMYFUNCTION("""COMPUTED_VALUE"""),"OEPS M01 004")</f>
        <v>OEPS M01 004</v>
      </c>
      <c r="O207" s="4" t="str">
        <f>IFERROR(__xludf.DUMMYFUNCTION("""COMPUTED_VALUE"""),"GRM033R71E103KE14D")</f>
        <v>GRM033R71E103KE14D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>
      <c r="A208" s="4" t="str">
        <f>IFERROR(__xludf.DUMMYFUNCTION("""COMPUTED_VALUE"""),"CONNECTOR:   HEADER VERT 3POS 1MM   [BM03B-SRSS-TB] [SMD]")</f>
        <v>CONNECTOR:   HEADER VERT 3POS 1MM   [BM03B-SRSS-TB] [SMD]</v>
      </c>
      <c r="B208" s="4" t="str">
        <f>IFERROR(__xludf.DUMMYFUNCTION("""COMPUTED_VALUE"""),"OEPS070121")</f>
        <v>OEPS070121</v>
      </c>
      <c r="C208" s="4" t="str">
        <f>IFERROR(__xludf.DUMMYFUNCTION("""COMPUTED_VALUE"""),"SMD")</f>
        <v>SMD</v>
      </c>
      <c r="D208" s="4" t="str">
        <f>IFERROR(__xludf.DUMMYFUNCTION("""COMPUTED_VALUE"""),"BM03B-SRSS-TB")</f>
        <v>BM03B-SRSS-TB</v>
      </c>
      <c r="E208" s="4">
        <f>IFERROR(__xludf.DUMMYFUNCTION("""COMPUTED_VALUE"""),1.0)</f>
        <v>1</v>
      </c>
      <c r="F208" s="4" t="str">
        <f>IFERROR(__xludf.DUMMYFUNCTION("""COMPUTED_VALUE"""),"Digikey")</f>
        <v>Digikey</v>
      </c>
      <c r="G208" s="4" t="str">
        <f>IFERROR(__xludf.DUMMYFUNCTION("""COMPUTED_VALUE"""),"455-BM03B-SRSS-TBDKR-ND")</f>
        <v>455-BM03B-SRSS-TBDKR-ND</v>
      </c>
      <c r="H208" s="4"/>
      <c r="I208" s="4"/>
      <c r="J208" s="4"/>
      <c r="K208" s="4"/>
      <c r="L208" s="4"/>
      <c r="M208" s="4"/>
      <c r="N208" s="9" t="str">
        <f>IFERROR(__xludf.DUMMYFUNCTION("""COMPUTED_VALUE"""),"OEPS M01 007")</f>
        <v>OEPS M01 007</v>
      </c>
      <c r="O208" s="4" t="str">
        <f>IFERROR(__xludf.DUMMYFUNCTION("""COMPUTED_VALUE"""),"GRM033R61E104KE14J")</f>
        <v>GRM033R61E104KE14J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>
      <c r="A209" s="4" t="str">
        <f>IFERROR(__xludf.DUMMYFUNCTION("""COMPUTED_VALUE"""),"CONNECTOR:   HIROSE PLUG 70POS GOLD (OEPS M01 055)   [DF40C-70DP-0.4V(51)] [SMD]")</f>
        <v>CONNECTOR:   HIROSE PLUG 70POS GOLD (OEPS M01 055)   [DF40C-70DP-0.4V(51)] [SMD]</v>
      </c>
      <c r="B209" s="4" t="str">
        <f>IFERROR(__xludf.DUMMYFUNCTION("""COMPUTED_VALUE"""),"OEPS070068")</f>
        <v>OEPS070068</v>
      </c>
      <c r="C209" s="4" t="str">
        <f>IFERROR(__xludf.DUMMYFUNCTION("""COMPUTED_VALUE"""),"SMD")</f>
        <v>SMD</v>
      </c>
      <c r="D209" s="4" t="str">
        <f>IFERROR(__xludf.DUMMYFUNCTION("""COMPUTED_VALUE"""),"DF40C-70DP-0.4V(51)")</f>
        <v>DF40C-70DP-0.4V(51)</v>
      </c>
      <c r="E209" s="4">
        <f>IFERROR(__xludf.DUMMYFUNCTION("""COMPUTED_VALUE"""),5.0)</f>
        <v>5</v>
      </c>
      <c r="F209" s="4" t="str">
        <f>IFERROR(__xludf.DUMMYFUNCTION("""COMPUTED_VALUE"""),"DigiKey")</f>
        <v>DigiKey</v>
      </c>
      <c r="G209" s="4" t="str">
        <f>IFERROR(__xludf.DUMMYFUNCTION("""COMPUTED_VALUE"""),"H11630DKR-ND")</f>
        <v>H11630DKR-ND</v>
      </c>
      <c r="H209" s="4"/>
      <c r="I209" s="4"/>
      <c r="J209" s="4"/>
      <c r="K209" s="4"/>
      <c r="L209" s="4"/>
      <c r="M209" s="4"/>
      <c r="N209" s="9" t="str">
        <f>IFERROR(__xludf.DUMMYFUNCTION("""COMPUTED_VALUE"""),"OEPS M01 011")</f>
        <v>OEPS M01 011</v>
      </c>
      <c r="O209" s="4" t="str">
        <f>IFERROR(__xludf.DUMMYFUNCTION("""COMPUTED_VALUE"""),"GRM155R61E105KA12D")</f>
        <v>GRM155R61E105KA12D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>
      <c r="A210" s="4" t="str">
        <f>IFERROR(__xludf.DUMMYFUNCTION("""COMPUTED_VALUE"""),"CONNECTOR:   IDC 2.54MM straight 2x12POS   [69168-124HLF] [TH]")</f>
        <v>CONNECTOR:   IDC 2.54MM straight 2x12POS   [69168-124HLF] [TH]</v>
      </c>
      <c r="B210" s="4" t="str">
        <f>IFERROR(__xludf.DUMMYFUNCTION("""COMPUTED_VALUE"""),"OEPS070008")</f>
        <v>OEPS070008</v>
      </c>
      <c r="C210" s="4" t="str">
        <f>IFERROR(__xludf.DUMMYFUNCTION("""COMPUTED_VALUE"""),"TH")</f>
        <v>TH</v>
      </c>
      <c r="D210" s="4" t="str">
        <f>IFERROR(__xludf.DUMMYFUNCTION("""COMPUTED_VALUE"""),"69168-124HLF")</f>
        <v>69168-124HLF</v>
      </c>
      <c r="E210" s="4">
        <f>IFERROR(__xludf.DUMMYFUNCTION("""COMPUTED_VALUE"""),1.0)</f>
        <v>1</v>
      </c>
      <c r="F210" s="4" t="str">
        <f>IFERROR(__xludf.DUMMYFUNCTION("""COMPUTED_VALUE"""),"Mouser")</f>
        <v>Mouser</v>
      </c>
      <c r="G210" s="4" t="str">
        <f>IFERROR(__xludf.DUMMYFUNCTION("""COMPUTED_VALUE"""),"649-69168-124HLF")</f>
        <v>649-69168-124HLF</v>
      </c>
      <c r="H210" s="4"/>
      <c r="I210" s="4"/>
      <c r="J210" s="4"/>
      <c r="K210" s="4"/>
      <c r="L210" s="4"/>
      <c r="M210" s="4"/>
      <c r="N210" s="9" t="str">
        <f>IFERROR(__xludf.DUMMYFUNCTION("""COMPUTED_VALUE"""),"OEPS M01 012")</f>
        <v>OEPS M01 012</v>
      </c>
      <c r="O210" s="4" t="str">
        <f>IFERROR(__xludf.DUMMYFUNCTION("""COMPUTED_VALUE"""),"GRM155R61E225KE11D")</f>
        <v>GRM155R61E225KE11D</v>
      </c>
      <c r="P210" s="4" t="str">
        <f>IFERROR(__xludf.DUMMYFUNCTION("""COMPUTED_VALUE"""),"58(R) ")</f>
        <v>58(R) </v>
      </c>
      <c r="Q210" s="4">
        <f>IFERROR(__xludf.DUMMYFUNCTION("""COMPUTED_VALUE"""),58.0)</f>
        <v>58</v>
      </c>
      <c r="R210" s="4">
        <f>IFERROR(__xludf.DUMMYFUNCTION("""COMPUTED_VALUE"""),58.0)</f>
        <v>58</v>
      </c>
      <c r="S210" s="4" t="str">
        <f>IFERROR(__xludf.DUMMYFUNCTION("""COMPUTED_VALUE"""),"Reel")</f>
        <v>Reel</v>
      </c>
      <c r="T210" s="4" t="str">
        <f>IFERROR(__xludf.DUMMYFUNCTION("""COMPUTED_VALUE"""),"0919")</f>
        <v>0919</v>
      </c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>
      <c r="A211" s="4" t="str">
        <f>IFERROR(__xludf.DUMMYFUNCTION("""COMPUTED_VALUE"""),"CONNECTOR:   IDC 2.54MM Straight 2x5POS   [SBH11-PBPC-D05-ST-BK] [TH]")</f>
        <v>CONNECTOR:   IDC 2.54MM Straight 2x5POS   [SBH11-PBPC-D05-ST-BK] [TH]</v>
      </c>
      <c r="B211" s="4" t="str">
        <f>IFERROR(__xludf.DUMMYFUNCTION("""COMPUTED_VALUE"""),"OEPS070030")</f>
        <v>OEPS070030</v>
      </c>
      <c r="C211" s="4" t="str">
        <f>IFERROR(__xludf.DUMMYFUNCTION("""COMPUTED_VALUE"""),"TH")</f>
        <v>TH</v>
      </c>
      <c r="D211" s="4" t="str">
        <f>IFERROR(__xludf.DUMMYFUNCTION("""COMPUTED_VALUE"""),"SBH11-PBPC-D05-ST-BK")</f>
        <v>SBH11-PBPC-D05-ST-BK</v>
      </c>
      <c r="E211" s="4">
        <f>IFERROR(__xludf.DUMMYFUNCTION("""COMPUTED_VALUE"""),1.0)</f>
        <v>1</v>
      </c>
      <c r="F211" s="4" t="str">
        <f>IFERROR(__xludf.DUMMYFUNCTION("""COMPUTED_VALUE"""),"DigiKey")</f>
        <v>DigiKey</v>
      </c>
      <c r="G211" s="4" t="str">
        <f>IFERROR(__xludf.DUMMYFUNCTION("""COMPUTED_VALUE"""),"S9169-ND")</f>
        <v>S9169-ND</v>
      </c>
      <c r="H211" s="4"/>
      <c r="I211" s="4"/>
      <c r="J211" s="4"/>
      <c r="K211" s="4"/>
      <c r="L211" s="4"/>
      <c r="M211" s="4"/>
      <c r="N211" s="9" t="str">
        <f>IFERROR(__xludf.DUMMYFUNCTION("""COMPUTED_VALUE"""),"OEPS M01 013")</f>
        <v>OEPS M01 013</v>
      </c>
      <c r="O211" s="4" t="str">
        <f>IFERROR(__xludf.DUMMYFUNCTION("""COMPUTED_VALUE"""),"CL05A475MO5NUNC")</f>
        <v>CL05A475MO5NUNC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>
      <c r="A212" s="4" t="str">
        <f>IFERROR(__xludf.DUMMYFUNCTION("""COMPUTED_VALUE"""),"CONNECTOR:   IDC 2.54MM straight 2x8POS   [69168-116HLF] [TH]")</f>
        <v>CONNECTOR:   IDC 2.54MM straight 2x8POS   [69168-116HLF] [TH]</v>
      </c>
      <c r="B212" s="4" t="str">
        <f>IFERROR(__xludf.DUMMYFUNCTION("""COMPUTED_VALUE"""),"OEPS070007")</f>
        <v>OEPS070007</v>
      </c>
      <c r="C212" s="4" t="str">
        <f>IFERROR(__xludf.DUMMYFUNCTION("""COMPUTED_VALUE"""),"TH")</f>
        <v>TH</v>
      </c>
      <c r="D212" s="4" t="str">
        <f>IFERROR(__xludf.DUMMYFUNCTION("""COMPUTED_VALUE"""),"69168-116HLF")</f>
        <v>69168-116HLF</v>
      </c>
      <c r="E212" s="4">
        <f>IFERROR(__xludf.DUMMYFUNCTION("""COMPUTED_VALUE"""),1.0)</f>
        <v>1</v>
      </c>
      <c r="F212" s="4" t="str">
        <f>IFERROR(__xludf.DUMMYFUNCTION("""COMPUTED_VALUE"""),"Mouser")</f>
        <v>Mouser</v>
      </c>
      <c r="G212" s="4" t="str">
        <f>IFERROR(__xludf.DUMMYFUNCTION("""COMPUTED_VALUE"""),"649-69168-116HLF")</f>
        <v>649-69168-116HLF</v>
      </c>
      <c r="H212" s="4"/>
      <c r="I212" s="4"/>
      <c r="J212" s="4"/>
      <c r="K212" s="4"/>
      <c r="L212" s="4"/>
      <c r="M212" s="4"/>
      <c r="N212" s="9" t="str">
        <f>IFERROR(__xludf.DUMMYFUNCTION("""COMPUTED_VALUE"""),"OEPS M01 014")</f>
        <v>OEPS M01 014</v>
      </c>
      <c r="O212" s="4" t="str">
        <f>IFERROR(__xludf.DUMMYFUNCTION("""COMPUTED_VALUE"""),"CL05A106MP5NUNC")</f>
        <v>CL05A106MP5NUNC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>
      <c r="A213" s="4" t="str">
        <f>IFERROR(__xludf.DUMMYFUNCTION("""COMPUTED_VALUE"""),"CONNECTOR:   IDC RCPT 10POS 26-28AWG GOLD   [61201023021] [Other]")</f>
        <v>CONNECTOR:   IDC RCPT 10POS 26-28AWG GOLD   [61201023021] [Other]</v>
      </c>
      <c r="B213" s="4" t="str">
        <f>IFERROR(__xludf.DUMMYFUNCTION("""COMPUTED_VALUE"""),"OEPS070040")</f>
        <v>OEPS070040</v>
      </c>
      <c r="C213" s="4" t="str">
        <f>IFERROR(__xludf.DUMMYFUNCTION("""COMPUTED_VALUE"""),"Other")</f>
        <v>Other</v>
      </c>
      <c r="D213" s="4" t="str">
        <f>IFERROR(__xludf.DUMMYFUNCTION("""COMPUTED_VALUE"""),"61201023021")</f>
        <v>61201023021</v>
      </c>
      <c r="E213" s="4">
        <f>IFERROR(__xludf.DUMMYFUNCTION("""COMPUTED_VALUE"""),1.0)</f>
        <v>1</v>
      </c>
      <c r="F213" s="4" t="str">
        <f>IFERROR(__xludf.DUMMYFUNCTION("""COMPUTED_VALUE"""),"DigiKey")</f>
        <v>DigiKey</v>
      </c>
      <c r="G213" s="4" t="str">
        <f>IFERROR(__xludf.DUMMYFUNCTION("""COMPUTED_VALUE"""),"732-2102-ND")</f>
        <v>732-2102-ND</v>
      </c>
      <c r="H213" s="4"/>
      <c r="I213" s="4"/>
      <c r="J213" s="4"/>
      <c r="K213" s="4"/>
      <c r="L213" s="4"/>
      <c r="M213" s="4"/>
      <c r="N213" s="9" t="str">
        <f>IFERROR(__xludf.DUMMYFUNCTION("""COMPUTED_VALUE"""),"OEPS M01 015")</f>
        <v>OEPS M01 015</v>
      </c>
      <c r="O213" s="4" t="str">
        <f>IFERROR(__xludf.DUMMYFUNCTION("""COMPUTED_VALUE"""),"CL05A156MQ5Q6J8")</f>
        <v>CL05A156MQ5Q6J8</v>
      </c>
      <c r="P213" s="4" t="str">
        <f>IFERROR(__xludf.DUMMYFUNCTION("""COMPUTED_VALUE"""),"48(R) ")</f>
        <v>48(R) </v>
      </c>
      <c r="Q213" s="4">
        <f>IFERROR(__xludf.DUMMYFUNCTION("""COMPUTED_VALUE"""),48.0)</f>
        <v>48</v>
      </c>
      <c r="R213" s="4">
        <f>IFERROR(__xludf.DUMMYFUNCTION("""COMPUTED_VALUE"""),48.0)</f>
        <v>48</v>
      </c>
      <c r="S213" s="4" t="str">
        <f>IFERROR(__xludf.DUMMYFUNCTION("""COMPUTED_VALUE"""),"Reel")</f>
        <v>Reel</v>
      </c>
      <c r="T213" s="4" t="str">
        <f>IFERROR(__xludf.DUMMYFUNCTION("""COMPUTED_VALUE"""),"0919")</f>
        <v>0919</v>
      </c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>
      <c r="A214" s="4" t="str">
        <f>IFERROR(__xludf.DUMMYFUNCTION("""COMPUTED_VALUE"""),"CONNECTOR:   LASER DIODE SOCKET FOR Ø3.8 MM   [S038S] [SMD]")</f>
        <v>CONNECTOR:   LASER DIODE SOCKET FOR Ø3.8 MM   [S038S] [SMD]</v>
      </c>
      <c r="B214" s="4" t="str">
        <f>IFERROR(__xludf.DUMMYFUNCTION("""COMPUTED_VALUE"""),"OEPS070102")</f>
        <v>OEPS070102</v>
      </c>
      <c r="C214" s="4" t="str">
        <f>IFERROR(__xludf.DUMMYFUNCTION("""COMPUTED_VALUE"""),"SMD")</f>
        <v>SMD</v>
      </c>
      <c r="D214" s="4" t="str">
        <f>IFERROR(__xludf.DUMMYFUNCTION("""COMPUTED_VALUE"""),"S038S")</f>
        <v>S038S</v>
      </c>
      <c r="E214" s="4">
        <f>IFERROR(__xludf.DUMMYFUNCTION("""COMPUTED_VALUE"""),1.0)</f>
        <v>1</v>
      </c>
      <c r="F214" s="4" t="str">
        <f>IFERROR(__xludf.DUMMYFUNCTION("""COMPUTED_VALUE"""),"Thorlabs")</f>
        <v>Thorlabs</v>
      </c>
      <c r="G214" s="4" t="str">
        <f>IFERROR(__xludf.DUMMYFUNCTION("""COMPUTED_VALUE"""),"S038S")</f>
        <v>S038S</v>
      </c>
      <c r="H214" s="4"/>
      <c r="I214" s="4"/>
      <c r="J214" s="4"/>
      <c r="K214" s="4"/>
      <c r="L214" s="4"/>
      <c r="M214" s="4"/>
      <c r="N214" s="9" t="str">
        <f>IFERROR(__xludf.DUMMYFUNCTION("""COMPUTED_VALUE"""),"OEPS M01 015A")</f>
        <v>OEPS M01 015A</v>
      </c>
      <c r="O214" s="4" t="str">
        <f>IFERROR(__xludf.DUMMYFUNCTION("""COMPUTED_VALUE"""),"GRM155R60J156ME05D")</f>
        <v>GRM155R60J156ME05D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>
      <c r="A215" s="4" t="str">
        <f>IFERROR(__xludf.DUMMYFUNCTION("""COMPUTED_VALUE"""),"CONNECTOR:   LASER DIODE SOCKET FOR Ø5.6 MM   [S7060R] [SMD]")</f>
        <v>CONNECTOR:   LASER DIODE SOCKET FOR Ø5.6 MM   [S7060R] [SMD]</v>
      </c>
      <c r="B215" s="4" t="str">
        <f>IFERROR(__xludf.DUMMYFUNCTION("""COMPUTED_VALUE"""),"OEPS070101")</f>
        <v>OEPS070101</v>
      </c>
      <c r="C215" s="4" t="str">
        <f>IFERROR(__xludf.DUMMYFUNCTION("""COMPUTED_VALUE"""),"SMD")</f>
        <v>SMD</v>
      </c>
      <c r="D215" s="4" t="str">
        <f>IFERROR(__xludf.DUMMYFUNCTION("""COMPUTED_VALUE"""),"S7060R")</f>
        <v>S7060R</v>
      </c>
      <c r="E215" s="4">
        <f>IFERROR(__xludf.DUMMYFUNCTION("""COMPUTED_VALUE"""),1.0)</f>
        <v>1</v>
      </c>
      <c r="F215" s="4" t="str">
        <f>IFERROR(__xludf.DUMMYFUNCTION("""COMPUTED_VALUE"""),"Thorlabs")</f>
        <v>Thorlabs</v>
      </c>
      <c r="G215" s="4" t="str">
        <f>IFERROR(__xludf.DUMMYFUNCTION("""COMPUTED_VALUE"""),"S7060R")</f>
        <v>S7060R</v>
      </c>
      <c r="H215" s="4"/>
      <c r="I215" s="4"/>
      <c r="J215" s="4"/>
      <c r="K215" s="4"/>
      <c r="L215" s="4"/>
      <c r="M215" s="4"/>
      <c r="N215" s="9" t="str">
        <f>IFERROR(__xludf.DUMMYFUNCTION("""COMPUTED_VALUE"""),"OEPS M01 018")</f>
        <v>OEPS M01 018</v>
      </c>
      <c r="O215" s="4" t="str">
        <f>IFERROR(__xludf.DUMMYFUNCTION("""COMPUTED_VALUE"""),"RC0201FR-07100RL")</f>
        <v>RC0201FR-07100RL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>
      <c r="A216" s="4" t="str">
        <f>IFERROR(__xludf.DUMMYFUNCTION("""COMPUTED_VALUE"""),"CONNECTOR:   MMCX RCPT 50ohm 90º   [1-1634010-0] [TH]")</f>
        <v>CONNECTOR:   MMCX RCPT 50ohm 90º   [1-1634010-0] [TH]</v>
      </c>
      <c r="B216" s="4" t="str">
        <f>IFERROR(__xludf.DUMMYFUNCTION("""COMPUTED_VALUE"""),"OEPS070039")</f>
        <v>OEPS070039</v>
      </c>
      <c r="C216" s="4" t="str">
        <f>IFERROR(__xludf.DUMMYFUNCTION("""COMPUTED_VALUE"""),"TH")</f>
        <v>TH</v>
      </c>
      <c r="D216" s="4" t="str">
        <f>IFERROR(__xludf.DUMMYFUNCTION("""COMPUTED_VALUE"""),"1-1634010-0")</f>
        <v>1-1634010-0</v>
      </c>
      <c r="E216" s="4">
        <f>IFERROR(__xludf.DUMMYFUNCTION("""COMPUTED_VALUE"""),1.0)</f>
        <v>1</v>
      </c>
      <c r="F216" s="4" t="str">
        <f>IFERROR(__xludf.DUMMYFUNCTION("""COMPUTED_VALUE"""),"DigiKey")</f>
        <v>DigiKey</v>
      </c>
      <c r="G216" s="4" t="str">
        <f>IFERROR(__xludf.DUMMYFUNCTION("""COMPUTED_VALUE"""),"A101964-ND")</f>
        <v>A101964-ND</v>
      </c>
      <c r="H216" s="4"/>
      <c r="I216" s="4"/>
      <c r="J216" s="4"/>
      <c r="K216" s="4"/>
      <c r="L216" s="4"/>
      <c r="M216" s="4"/>
      <c r="N216" s="9" t="str">
        <f>IFERROR(__xludf.DUMMYFUNCTION("""COMPUTED_VALUE"""),"OEPS M01 021")</f>
        <v>OEPS M01 021</v>
      </c>
      <c r="O216" s="4" t="str">
        <f>IFERROR(__xludf.DUMMYFUNCTION("""COMPUTED_VALUE"""),"RC0201FR-072KL")</f>
        <v>RC0201FR-072KL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>
      <c r="A217" s="4" t="str">
        <f>IFERROR(__xludf.DUMMYFUNCTION("""COMPUTED_VALUE"""),"CONNECTOR:   MMCX RCPT 50ohm 90º   [262105] [TH]")</f>
        <v>CONNECTOR:   MMCX RCPT 50ohm 90º   [262105] [TH]</v>
      </c>
      <c r="B217" s="4" t="str">
        <f>IFERROR(__xludf.DUMMYFUNCTION("""COMPUTED_VALUE"""),"OEPS070081")</f>
        <v>OEPS070081</v>
      </c>
      <c r="C217" s="4" t="str">
        <f>IFERROR(__xludf.DUMMYFUNCTION("""COMPUTED_VALUE"""),"TH")</f>
        <v>TH</v>
      </c>
      <c r="D217" s="4" t="str">
        <f>IFERROR(__xludf.DUMMYFUNCTION("""COMPUTED_VALUE"""),"262105")</f>
        <v>262105</v>
      </c>
      <c r="E217" s="4">
        <f>IFERROR(__xludf.DUMMYFUNCTION("""COMPUTED_VALUE"""),1.0)</f>
        <v>1</v>
      </c>
      <c r="F217" s="4" t="str">
        <f>IFERROR(__xludf.DUMMYFUNCTION("""COMPUTED_VALUE"""),"DigiKey")</f>
        <v>DigiKey</v>
      </c>
      <c r="G217" s="4" t="str">
        <f>IFERROR(__xludf.DUMMYFUNCTION("""COMPUTED_VALUE"""),"ACX1978-ND")</f>
        <v>ACX1978-ND</v>
      </c>
      <c r="H217" s="4"/>
      <c r="I217" s="4"/>
      <c r="J217" s="4"/>
      <c r="K217" s="4"/>
      <c r="L217" s="4"/>
      <c r="M217" s="4"/>
      <c r="N217" s="9" t="str">
        <f>IFERROR(__xludf.DUMMYFUNCTION("""COMPUTED_VALUE"""),"OEPS M01 022")</f>
        <v>OEPS M01 022</v>
      </c>
      <c r="O217" s="4" t="str">
        <f>IFERROR(__xludf.DUMMYFUNCTION("""COMPUTED_VALUE"""),"RC0201FR-072K87L")</f>
        <v>RC0201FR-072K87L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>
      <c r="A218" s="4" t="str">
        <f>IFERROR(__xludf.DUMMYFUNCTION("""COMPUTED_VALUE"""),"CONNECTOR:   MMCX RCPT 50ohm 90º   [6-1634010-0] [TH]")</f>
        <v>CONNECTOR:   MMCX RCPT 50ohm 90º   [6-1634010-0] [TH]</v>
      </c>
      <c r="B218" s="4" t="str">
        <f>IFERROR(__xludf.DUMMYFUNCTION("""COMPUTED_VALUE"""),"OEPS070003")</f>
        <v>OEPS070003</v>
      </c>
      <c r="C218" s="4" t="str">
        <f>IFERROR(__xludf.DUMMYFUNCTION("""COMPUTED_VALUE"""),"TH")</f>
        <v>TH</v>
      </c>
      <c r="D218" s="4" t="str">
        <f>IFERROR(__xludf.DUMMYFUNCTION("""COMPUTED_VALUE"""),"6-1634010-0")</f>
        <v>6-1634010-0</v>
      </c>
      <c r="E218" s="4">
        <f>IFERROR(__xludf.DUMMYFUNCTION("""COMPUTED_VALUE"""),1.0)</f>
        <v>1</v>
      </c>
      <c r="F218" s="4" t="str">
        <f>IFERROR(__xludf.DUMMYFUNCTION("""COMPUTED_VALUE"""),"DigiKey")</f>
        <v>DigiKey</v>
      </c>
      <c r="G218" s="4" t="str">
        <f>IFERROR(__xludf.DUMMYFUNCTION("""COMPUTED_VALUE"""),"A123178-ND")</f>
        <v>A123178-ND</v>
      </c>
      <c r="H218" s="4"/>
      <c r="I218" s="4"/>
      <c r="J218" s="4"/>
      <c r="K218" s="4"/>
      <c r="L218" s="4"/>
      <c r="M218" s="4"/>
      <c r="N218" s="9" t="str">
        <f>IFERROR(__xludf.DUMMYFUNCTION("""COMPUTED_VALUE"""),"OEPS M01 023")</f>
        <v>OEPS M01 023</v>
      </c>
      <c r="O218" s="4" t="str">
        <f>IFERROR(__xludf.DUMMYFUNCTION("""COMPUTED_VALUE"""),"RC0201FR-074KL7L")</f>
        <v>RC0201FR-074KL7L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>
      <c r="A219" s="4" t="str">
        <f>IFERROR(__xludf.DUMMYFUNCTION("""COMPUTED_VALUE"""),"CONNECTOR:   OMNETICS NANO PLUG 36POS HORIZONTAL (OEPS H1 006)   [A79025-001] [SMD]")</f>
        <v>CONNECTOR:   OMNETICS NANO PLUG 36POS HORIZONTAL (OEPS H1 006)   [A79025-001] [SMD]</v>
      </c>
      <c r="B219" s="4" t="str">
        <f>IFERROR(__xludf.DUMMYFUNCTION("""COMPUTED_VALUE"""),"OEPS070065")</f>
        <v>OEPS070065</v>
      </c>
      <c r="C219" s="4" t="str">
        <f>IFERROR(__xludf.DUMMYFUNCTION("""COMPUTED_VALUE"""),"SMD")</f>
        <v>SMD</v>
      </c>
      <c r="D219" s="4" t="str">
        <f>IFERROR(__xludf.DUMMYFUNCTION("""COMPUTED_VALUE"""),"A79025-001")</f>
        <v>A79025-001</v>
      </c>
      <c r="E219" s="4">
        <f>IFERROR(__xludf.DUMMYFUNCTION("""COMPUTED_VALUE"""),1.0)</f>
        <v>1</v>
      </c>
      <c r="F219" s="4" t="str">
        <f>IFERROR(__xludf.DUMMYFUNCTION("""COMPUTED_VALUE"""),"Omnetics")</f>
        <v>Omnetics</v>
      </c>
      <c r="G219" s="4" t="str">
        <f>IFERROR(__xludf.DUMMYFUNCTION("""COMPUTED_VALUE"""),"A79025-001")</f>
        <v>A79025-001</v>
      </c>
      <c r="H219" s="4"/>
      <c r="I219" s="4"/>
      <c r="J219" s="4"/>
      <c r="K219" s="4"/>
      <c r="L219" s="4"/>
      <c r="M219" s="4"/>
      <c r="N219" s="9" t="str">
        <f>IFERROR(__xludf.DUMMYFUNCTION("""COMPUTED_VALUE"""),"OEPS M01 024")</f>
        <v>OEPS M01 024</v>
      </c>
      <c r="O219" s="4" t="str">
        <f>IFERROR(__xludf.DUMMYFUNCTION("""COMPUTED_VALUE"""),"RC0201FR-079K09L")</f>
        <v>RC0201FR-079K09L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>
      <c r="A220" s="4" t="str">
        <f>IFERROR(__xludf.DUMMYFUNCTION("""COMPUTED_VALUE"""),"CONNECTOR:   OMNETICS NANO PLUG/SOCKET HORIZONTAL 12POS (OEPS00041, OEPS H1 007)   [A79623-001] [SMD]")</f>
        <v>CONNECTOR:   OMNETICS NANO PLUG/SOCKET HORIZONTAL 12POS (OEPS00041, OEPS H1 007)   [A79623-001] [SMD]</v>
      </c>
      <c r="B220" s="4" t="str">
        <f>IFERROR(__xludf.DUMMYFUNCTION("""COMPUTED_VALUE"""),"OEPS070066")</f>
        <v>OEPS070066</v>
      </c>
      <c r="C220" s="4" t="str">
        <f>IFERROR(__xludf.DUMMYFUNCTION("""COMPUTED_VALUE"""),"SMD")</f>
        <v>SMD</v>
      </c>
      <c r="D220" s="4" t="str">
        <f>IFERROR(__xludf.DUMMYFUNCTION("""COMPUTED_VALUE"""),"A79623-001")</f>
        <v>A79623-001</v>
      </c>
      <c r="E220" s="4">
        <f>IFERROR(__xludf.DUMMYFUNCTION("""COMPUTED_VALUE"""),1.0)</f>
        <v>1</v>
      </c>
      <c r="F220" s="4" t="str">
        <f>IFERROR(__xludf.DUMMYFUNCTION("""COMPUTED_VALUE"""),"Omnetics")</f>
        <v>Omnetics</v>
      </c>
      <c r="G220" s="4" t="str">
        <f>IFERROR(__xludf.DUMMYFUNCTION("""COMPUTED_VALUE"""),"A79623-001")</f>
        <v>A79623-001</v>
      </c>
      <c r="H220" s="4"/>
      <c r="I220" s="4"/>
      <c r="J220" s="4"/>
      <c r="K220" s="4"/>
      <c r="L220" s="4"/>
      <c r="M220" s="4"/>
      <c r="N220" s="9" t="str">
        <f>IFERROR(__xludf.DUMMYFUNCTION("""COMPUTED_VALUE"""),"OEPS M01 025")</f>
        <v>OEPS M01 025</v>
      </c>
      <c r="O220" s="4" t="str">
        <f>IFERROR(__xludf.DUMMYFUNCTION("""COMPUTED_VALUE"""),"ERA-1AEB103C")</f>
        <v>ERA-1AEB103C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>
      <c r="A221" s="4" t="str">
        <f>IFERROR(__xludf.DUMMYFUNCTION("""COMPUTED_VALUE"""),"CONNECTOR:   OMNETICS NANO PLUG/SOCKET VERTICAL 12POS (OEPS H02 012)   [A79622-001] [SMD]")</f>
        <v>CONNECTOR:   OMNETICS NANO PLUG/SOCKET VERTICAL 12POS (OEPS H02 012)   [A79622-001] [SMD]</v>
      </c>
      <c r="B221" s="4" t="str">
        <f>IFERROR(__xludf.DUMMYFUNCTION("""COMPUTED_VALUE"""),"OEPS070067")</f>
        <v>OEPS070067</v>
      </c>
      <c r="C221" s="4" t="str">
        <f>IFERROR(__xludf.DUMMYFUNCTION("""COMPUTED_VALUE"""),"SMD")</f>
        <v>SMD</v>
      </c>
      <c r="D221" s="4" t="str">
        <f>IFERROR(__xludf.DUMMYFUNCTION("""COMPUTED_VALUE"""),"A79622-001")</f>
        <v>A79622-001</v>
      </c>
      <c r="E221" s="4">
        <f>IFERROR(__xludf.DUMMYFUNCTION("""COMPUTED_VALUE"""),1.0)</f>
        <v>1</v>
      </c>
      <c r="F221" s="4" t="str">
        <f>IFERROR(__xludf.DUMMYFUNCTION("""COMPUTED_VALUE"""),"Omnetics")</f>
        <v>Omnetics</v>
      </c>
      <c r="G221" s="4" t="str">
        <f>IFERROR(__xludf.DUMMYFUNCTION("""COMPUTED_VALUE"""),"A79622-001")</f>
        <v>A79622-001</v>
      </c>
      <c r="H221" s="4"/>
      <c r="I221" s="4"/>
      <c r="J221" s="4"/>
      <c r="K221" s="4"/>
      <c r="L221" s="4"/>
      <c r="M221" s="4"/>
      <c r="N221" s="9" t="str">
        <f>IFERROR(__xludf.DUMMYFUNCTION("""COMPUTED_VALUE"""),"OEPS M01 030")</f>
        <v>OEPS M01 030</v>
      </c>
      <c r="O221" s="4" t="str">
        <f>IFERROR(__xludf.DUMMYFUNCTION("""COMPUTED_VALUE"""),"RC0201FR-071ML")</f>
        <v>RC0201FR-071ML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>
      <c r="A222" s="4" t="str">
        <f>IFERROR(__xludf.DUMMYFUNCTION("""COMPUTED_VALUE"""),"CONNECTOR:   OMNETICS NANO PLUG/SOCKET VERTICAL 36POS   [A79027-001] [SMD]")</f>
        <v>CONNECTOR:   OMNETICS NANO PLUG/SOCKET VERTICAL 36POS   [A79027-001] [SMD]</v>
      </c>
      <c r="B222" s="4" t="str">
        <f>IFERROR(__xludf.DUMMYFUNCTION("""COMPUTED_VALUE"""),"OEPS070075")</f>
        <v>OEPS070075</v>
      </c>
      <c r="C222" s="4" t="str">
        <f>IFERROR(__xludf.DUMMYFUNCTION("""COMPUTED_VALUE"""),"SMD")</f>
        <v>SMD</v>
      </c>
      <c r="D222" s="4" t="str">
        <f>IFERROR(__xludf.DUMMYFUNCTION("""COMPUTED_VALUE"""),"A79027-001")</f>
        <v>A79027-001</v>
      </c>
      <c r="E222" s="4">
        <f>IFERROR(__xludf.DUMMYFUNCTION("""COMPUTED_VALUE"""),1.0)</f>
        <v>1</v>
      </c>
      <c r="F222" s="4" t="str">
        <f>IFERROR(__xludf.DUMMYFUNCTION("""COMPUTED_VALUE"""),"DigiKey")</f>
        <v>DigiKey</v>
      </c>
      <c r="G222" s="4" t="str">
        <f>IFERROR(__xludf.DUMMYFUNCTION("""COMPUTED_VALUE"""),"2262-A79027-001-ND")</f>
        <v>2262-A79027-001-ND</v>
      </c>
      <c r="H222" s="4"/>
      <c r="I222" s="4"/>
      <c r="J222" s="4"/>
      <c r="K222" s="4"/>
      <c r="L222" s="4"/>
      <c r="M222" s="4"/>
      <c r="N222" s="9" t="str">
        <f>IFERROR(__xludf.DUMMYFUNCTION("""COMPUTED_VALUE"""),"OEPS M01 033")</f>
        <v>OEPS M01 033</v>
      </c>
      <c r="O222" s="4" t="str">
        <f>IFERROR(__xludf.DUMMYFUNCTION("""COMPUTED_VALUE"""),"CBC3225T101MR")</f>
        <v>CBC3225T101MR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>
      <c r="A223" s="4" t="str">
        <f>IFERROR(__xludf.DUMMYFUNCTION("""COMPUTED_VALUE"""),"CONNECTOR:   OMNETICS NANO SOCKET 36POS VERTICAL (OEPS D00 001)   [A79026-001] [SMD]")</f>
        <v>CONNECTOR:   OMNETICS NANO SOCKET 36POS VERTICAL (OEPS D00 001)   [A79026-001] [SMD]</v>
      </c>
      <c r="B223" s="4" t="str">
        <f>IFERROR(__xludf.DUMMYFUNCTION("""COMPUTED_VALUE"""),"OEPS070069")</f>
        <v>OEPS070069</v>
      </c>
      <c r="C223" s="4" t="str">
        <f>IFERROR(__xludf.DUMMYFUNCTION("""COMPUTED_VALUE"""),"SMD")</f>
        <v>SMD</v>
      </c>
      <c r="D223" s="4" t="str">
        <f>IFERROR(__xludf.DUMMYFUNCTION("""COMPUTED_VALUE"""),"A79026-001")</f>
        <v>A79026-001</v>
      </c>
      <c r="E223" s="4">
        <f>IFERROR(__xludf.DUMMYFUNCTION("""COMPUTED_VALUE"""),1.0)</f>
        <v>1</v>
      </c>
      <c r="F223" s="4" t="str">
        <f>IFERROR(__xludf.DUMMYFUNCTION("""COMPUTED_VALUE"""),"Omnetics")</f>
        <v>Omnetics</v>
      </c>
      <c r="G223" s="4" t="str">
        <f>IFERROR(__xludf.DUMMYFUNCTION("""COMPUTED_VALUE"""),"A79026-001")</f>
        <v>A79026-001</v>
      </c>
      <c r="H223" s="4"/>
      <c r="I223" s="4"/>
      <c r="J223" s="4"/>
      <c r="K223" s="4"/>
      <c r="L223" s="4"/>
      <c r="M223" s="4"/>
      <c r="N223" s="9" t="str">
        <f>IFERROR(__xludf.DUMMYFUNCTION("""COMPUTED_VALUE"""),"OEPS M01 036")</f>
        <v>OEPS M01 036</v>
      </c>
      <c r="O223" s="4" t="str">
        <f>IFERROR(__xludf.DUMMYFUNCTION("""COMPUTED_VALUE"""),"VEMD1160X01")</f>
        <v>VEMD1160X01</v>
      </c>
      <c r="P223" s="4" t="str">
        <f>IFERROR(__xludf.DUMMYFUNCTION("""COMPUTED_VALUE"""),"2 78(Tp) 50(R) ")</f>
        <v>2 78(Tp) 50(R) </v>
      </c>
      <c r="Q223" s="4">
        <f>IFERROR(__xludf.DUMMYFUNCTION("""COMPUTED_VALUE"""),130.0)</f>
        <v>130</v>
      </c>
      <c r="R223" s="4">
        <f>IFERROR(__xludf.DUMMYFUNCTION("""COMPUTED_VALUE"""),2.0)</f>
        <v>2</v>
      </c>
      <c r="S223" s="4" t="str">
        <f>IFERROR(__xludf.DUMMYFUNCTION("""COMPUTED_VALUE"""),"Bag")</f>
        <v>Bag</v>
      </c>
      <c r="T223" s="4" t="str">
        <f>IFERROR(__xludf.DUMMYFUNCTION("""COMPUTED_VALUE"""),"1120")</f>
        <v>1120</v>
      </c>
      <c r="U223" s="4">
        <f>IFERROR(__xludf.DUMMYFUNCTION("""COMPUTED_VALUE"""),78.0)</f>
        <v>78</v>
      </c>
      <c r="V223" s="4" t="str">
        <f>IFERROR(__xludf.DUMMYFUNCTION("""COMPUTED_VALUE"""),"Tape")</f>
        <v>Tape</v>
      </c>
      <c r="W223" s="4" t="str">
        <f>IFERROR(__xludf.DUMMYFUNCTION("""COMPUTED_VALUE"""),"1220")</f>
        <v>1220</v>
      </c>
      <c r="X223" s="4">
        <f>IFERROR(__xludf.DUMMYFUNCTION("""COMPUTED_VALUE"""),50.0)</f>
        <v>50</v>
      </c>
      <c r="Y223" s="4" t="str">
        <f>IFERROR(__xludf.DUMMYFUNCTION("""COMPUTED_VALUE"""),"Reel")</f>
        <v>Reel</v>
      </c>
      <c r="Z223" s="4" t="str">
        <f>IFERROR(__xludf.DUMMYFUNCTION("""COMPUTED_VALUE"""),"1220")</f>
        <v>1220</v>
      </c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>
      <c r="A224" s="4" t="str">
        <f>IFERROR(__xludf.DUMMYFUNCTION("""COMPUTED_VALUE"""),"CONNECTOR:   PLUG 6POS GOLD   [5050700622] [SMD]")</f>
        <v>CONNECTOR:   PLUG 6POS GOLD   [5050700622] [SMD]</v>
      </c>
      <c r="B224" s="4" t="str">
        <f>IFERROR(__xludf.DUMMYFUNCTION("""COMPUTED_VALUE"""),"OEPS070049")</f>
        <v>OEPS070049</v>
      </c>
      <c r="C224" s="4" t="str">
        <f>IFERROR(__xludf.DUMMYFUNCTION("""COMPUTED_VALUE"""),"SMD")</f>
        <v>SMD</v>
      </c>
      <c r="D224" s="4" t="str">
        <f>IFERROR(__xludf.DUMMYFUNCTION("""COMPUTED_VALUE"""),"5050700622")</f>
        <v>5050700622</v>
      </c>
      <c r="E224" s="4">
        <f>IFERROR(__xludf.DUMMYFUNCTION("""COMPUTED_VALUE"""),1.0)</f>
        <v>1</v>
      </c>
      <c r="F224" s="4" t="str">
        <f>IFERROR(__xludf.DUMMYFUNCTION("""COMPUTED_VALUE"""),"DigiKey")</f>
        <v>DigiKey</v>
      </c>
      <c r="G224" s="4" t="str">
        <f>IFERROR(__xludf.DUMMYFUNCTION("""COMPUTED_VALUE"""),"900-5050700622CT-ND")</f>
        <v>900-5050700622CT-ND</v>
      </c>
      <c r="H224" s="4"/>
      <c r="I224" s="4"/>
      <c r="J224" s="4"/>
      <c r="K224" s="4"/>
      <c r="L224" s="4"/>
      <c r="M224" s="4"/>
      <c r="N224" s="9" t="str">
        <f>IFERROR(__xludf.DUMMYFUNCTION("""COMPUTED_VALUE"""),"OEPS M01 038")</f>
        <v>OEPS M01 038</v>
      </c>
      <c r="O224" s="4" t="str">
        <f>IFERROR(__xludf.DUMMYFUNCTION("""COMPUTED_VALUE"""),"XZVGR155W")</f>
        <v>XZVGR155W</v>
      </c>
      <c r="P224" s="4" t="str">
        <f>IFERROR(__xludf.DUMMYFUNCTION("""COMPUTED_VALUE"""),"2 26(R) 90(R) ")</f>
        <v>2 26(R) 90(R) </v>
      </c>
      <c r="Q224" s="4">
        <f>IFERROR(__xludf.DUMMYFUNCTION("""COMPUTED_VALUE"""),118.0)</f>
        <v>118</v>
      </c>
      <c r="R224" s="4">
        <f>IFERROR(__xludf.DUMMYFUNCTION("""COMPUTED_VALUE"""),2.0)</f>
        <v>2</v>
      </c>
      <c r="S224" s="4" t="str">
        <f>IFERROR(__xludf.DUMMYFUNCTION("""COMPUTED_VALUE"""),"Bag")</f>
        <v>Bag</v>
      </c>
      <c r="T224" s="4" t="str">
        <f>IFERROR(__xludf.DUMMYFUNCTION("""COMPUTED_VALUE"""),"1219")</f>
        <v>1219</v>
      </c>
      <c r="U224" s="4">
        <f>IFERROR(__xludf.DUMMYFUNCTION("""COMPUTED_VALUE"""),26.0)</f>
        <v>26</v>
      </c>
      <c r="V224" s="4" t="str">
        <f>IFERROR(__xludf.DUMMYFUNCTION("""COMPUTED_VALUE"""),"Reel")</f>
        <v>Reel</v>
      </c>
      <c r="W224" s="4" t="str">
        <f>IFERROR(__xludf.DUMMYFUNCTION("""COMPUTED_VALUE"""),"0919")</f>
        <v>0919</v>
      </c>
      <c r="X224" s="4">
        <f>IFERROR(__xludf.DUMMYFUNCTION("""COMPUTED_VALUE"""),90.0)</f>
        <v>90</v>
      </c>
      <c r="Y224" s="4" t="str">
        <f>IFERROR(__xludf.DUMMYFUNCTION("""COMPUTED_VALUE"""),"Reel")</f>
        <v>Reel</v>
      </c>
      <c r="Z224" s="4" t="str">
        <f>IFERROR(__xludf.DUMMYFUNCTION("""COMPUTED_VALUE"""),"0521")</f>
        <v>0521</v>
      </c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>
      <c r="A225" s="4" t="str">
        <f>IFERROR(__xludf.DUMMYFUNCTION("""COMPUTED_VALUE"""),"CONNECTOR:   POWER JACK DC 2.1MM 5.5MM 1.5A 18VDC   [163-179PH-EX] [TH]")</f>
        <v>CONNECTOR:   POWER JACK DC 2.1MM 5.5MM 1.5A 18VDC   [163-179PH-EX] [TH]</v>
      </c>
      <c r="B225" s="4" t="str">
        <f>IFERROR(__xludf.DUMMYFUNCTION("""COMPUTED_VALUE"""),"OEPS070026")</f>
        <v>OEPS070026</v>
      </c>
      <c r="C225" s="4" t="str">
        <f>IFERROR(__xludf.DUMMYFUNCTION("""COMPUTED_VALUE"""),"TH")</f>
        <v>TH</v>
      </c>
      <c r="D225" s="4" t="str">
        <f>IFERROR(__xludf.DUMMYFUNCTION("""COMPUTED_VALUE"""),"163-179PH-EX")</f>
        <v>163-179PH-EX</v>
      </c>
      <c r="E225" s="4">
        <f>IFERROR(__xludf.DUMMYFUNCTION("""COMPUTED_VALUE"""),1.0)</f>
        <v>1</v>
      </c>
      <c r="F225" s="4" t="str">
        <f>IFERROR(__xludf.DUMMYFUNCTION("""COMPUTED_VALUE"""),"Mouser")</f>
        <v>Mouser</v>
      </c>
      <c r="G225" s="4" t="str">
        <f>IFERROR(__xludf.DUMMYFUNCTION("""COMPUTED_VALUE"""),"163-179PH-EX")</f>
        <v>163-179PH-EX</v>
      </c>
      <c r="H225" s="4"/>
      <c r="I225" s="4"/>
      <c r="J225" s="4"/>
      <c r="K225" s="4"/>
      <c r="L225" s="4"/>
      <c r="M225" s="4"/>
      <c r="N225" s="9" t="str">
        <f>IFERROR(__xludf.DUMMYFUNCTION("""COMPUTED_VALUE"""),"OEPS M01 039")</f>
        <v>OEPS M01 039</v>
      </c>
      <c r="O225" s="4" t="str">
        <f>IFERROR(__xludf.DUMMYFUNCTION("""COMPUTED_VALUE"""),"ASCO-50.000MHZ-EK-T3")</f>
        <v>ASCO-50.000MHZ-EK-T3</v>
      </c>
      <c r="P225" s="4" t="str">
        <f>IFERROR(__xludf.DUMMYFUNCTION("""COMPUTED_VALUE"""),"9(R) 15(R) ")</f>
        <v>9(R) 15(R) </v>
      </c>
      <c r="Q225" s="4">
        <f>IFERROR(__xludf.DUMMYFUNCTION("""COMPUTED_VALUE"""),24.0)</f>
        <v>24</v>
      </c>
      <c r="R225" s="4">
        <f>IFERROR(__xludf.DUMMYFUNCTION("""COMPUTED_VALUE"""),9.0)</f>
        <v>9</v>
      </c>
      <c r="S225" s="4" t="str">
        <f>IFERROR(__xludf.DUMMYFUNCTION("""COMPUTED_VALUE"""),"Reel")</f>
        <v>Reel</v>
      </c>
      <c r="T225" s="4" t="str">
        <f>IFERROR(__xludf.DUMMYFUNCTION("""COMPUTED_VALUE"""),"1120")</f>
        <v>1120</v>
      </c>
      <c r="U225" s="4">
        <f>IFERROR(__xludf.DUMMYFUNCTION("""COMPUTED_VALUE"""),15.0)</f>
        <v>15</v>
      </c>
      <c r="V225" s="4" t="str">
        <f>IFERROR(__xludf.DUMMYFUNCTION("""COMPUTED_VALUE"""),"Reel")</f>
        <v>Reel</v>
      </c>
      <c r="W225" s="4" t="str">
        <f>IFERROR(__xludf.DUMMYFUNCTION("""COMPUTED_VALUE"""),"1121")</f>
        <v>1121</v>
      </c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>
      <c r="A226" s="4" t="str">
        <f>IFERROR(__xludf.DUMMYFUNCTION("""COMPUTED_VALUE"""),"CONNECTOR:   RJ45 JACK 8P8C R/A UNSHIELDED   [215877-1] [TH]")</f>
        <v>CONNECTOR:   RJ45 JACK 8P8C R/A UNSHIELDED   [215877-1] [TH]</v>
      </c>
      <c r="B226" s="4" t="str">
        <f>IFERROR(__xludf.DUMMYFUNCTION("""COMPUTED_VALUE"""),"OEPS070022")</f>
        <v>OEPS070022</v>
      </c>
      <c r="C226" s="4" t="str">
        <f>IFERROR(__xludf.DUMMYFUNCTION("""COMPUTED_VALUE"""),"TH")</f>
        <v>TH</v>
      </c>
      <c r="D226" s="4" t="str">
        <f>IFERROR(__xludf.DUMMYFUNCTION("""COMPUTED_VALUE"""),"215877-1")</f>
        <v>215877-1</v>
      </c>
      <c r="E226" s="4">
        <f>IFERROR(__xludf.DUMMYFUNCTION("""COMPUTED_VALUE"""),1.0)</f>
        <v>1</v>
      </c>
      <c r="F226" s="4" t="str">
        <f>IFERROR(__xludf.DUMMYFUNCTION("""COMPUTED_VALUE"""),"DigiKey")</f>
        <v>DigiKey</v>
      </c>
      <c r="G226" s="4" t="str">
        <f>IFERROR(__xludf.DUMMYFUNCTION("""COMPUTED_VALUE"""),"A105009CT-ND")</f>
        <v>A105009CT-ND</v>
      </c>
      <c r="H226" s="4"/>
      <c r="I226" s="4"/>
      <c r="J226" s="4"/>
      <c r="K226" s="4"/>
      <c r="L226" s="4"/>
      <c r="M226" s="4"/>
      <c r="N226" s="9" t="str">
        <f>IFERROR(__xludf.DUMMYFUNCTION("""COMPUTED_VALUE"""),"OEPS M01 040")</f>
        <v>OEPS M01 040</v>
      </c>
      <c r="O226" s="4" t="str">
        <f>IFERROR(__xludf.DUMMYFUNCTION("""COMPUTED_VALUE"""),"DG509BEN-T1-GE4")</f>
        <v>DG509BEN-T1-GE4</v>
      </c>
      <c r="P226" s="4" t="str">
        <f>IFERROR(__xludf.DUMMYFUNCTION("""COMPUTED_VALUE"""),"13(Tp) ")</f>
        <v>13(Tp) </v>
      </c>
      <c r="Q226" s="4">
        <f>IFERROR(__xludf.DUMMYFUNCTION("""COMPUTED_VALUE"""),13.0)</f>
        <v>13</v>
      </c>
      <c r="R226" s="4">
        <f>IFERROR(__xludf.DUMMYFUNCTION("""COMPUTED_VALUE"""),13.0)</f>
        <v>13</v>
      </c>
      <c r="S226" s="4" t="str">
        <f>IFERROR(__xludf.DUMMYFUNCTION("""COMPUTED_VALUE"""),"Tape")</f>
        <v>Tape</v>
      </c>
      <c r="T226" s="4" t="str">
        <f>IFERROR(__xludf.DUMMYFUNCTION("""COMPUTED_VALUE"""),"1120")</f>
        <v>1120</v>
      </c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>
      <c r="A227" s="4" t="str">
        <f>IFERROR(__xludf.DUMMYFUNCTION("""COMPUTED_VALUE"""),"CONNECTOR:   RJ45 JACK 8P8C Vertical UNSHIELDED   [5556416-1] [TH]")</f>
        <v>CONNECTOR:   RJ45 JACK 8P8C Vertical UNSHIELDED   [5556416-1] [TH]</v>
      </c>
      <c r="B227" s="4" t="str">
        <f>IFERROR(__xludf.DUMMYFUNCTION("""COMPUTED_VALUE"""),"OEPS070134")</f>
        <v>OEPS070134</v>
      </c>
      <c r="C227" s="4" t="str">
        <f>IFERROR(__xludf.DUMMYFUNCTION("""COMPUTED_VALUE"""),"TH")</f>
        <v>TH</v>
      </c>
      <c r="D227" s="4" t="str">
        <f>IFERROR(__xludf.DUMMYFUNCTION("""COMPUTED_VALUE"""),"5556416-1")</f>
        <v>5556416-1</v>
      </c>
      <c r="E227" s="4">
        <f>IFERROR(__xludf.DUMMYFUNCTION("""COMPUTED_VALUE"""),1.0)</f>
        <v>1</v>
      </c>
      <c r="F227" s="4" t="str">
        <f>IFERROR(__xludf.DUMMYFUNCTION("""COMPUTED_VALUE"""),"DigiKey")</f>
        <v>DigiKey</v>
      </c>
      <c r="G227" s="4" t="str">
        <f>IFERROR(__xludf.DUMMYFUNCTION("""COMPUTED_VALUE"""),"A31428-ND")</f>
        <v>A31428-ND</v>
      </c>
      <c r="H227" s="4"/>
      <c r="I227" s="4"/>
      <c r="J227" s="4"/>
      <c r="K227" s="4"/>
      <c r="L227" s="4"/>
      <c r="M227" s="4"/>
      <c r="N227" s="9" t="str">
        <f>IFERROR(__xludf.DUMMYFUNCTION("""COMPUTED_VALUE"""),"OEPS M01 041")</f>
        <v>OEPS M01 041</v>
      </c>
      <c r="O227" s="4" t="str">
        <f>IFERROR(__xludf.DUMMYFUNCTION("""COMPUTED_VALUE"""),"CAT4016HV6-GT2")</f>
        <v>CAT4016HV6-GT2</v>
      </c>
      <c r="P227" s="4" t="str">
        <f>IFERROR(__xludf.DUMMYFUNCTION("""COMPUTED_VALUE"""),"5(R) 8(Tb) ")</f>
        <v>5(R) 8(Tb) </v>
      </c>
      <c r="Q227" s="4">
        <f>IFERROR(__xludf.DUMMYFUNCTION("""COMPUTED_VALUE"""),13.0)</f>
        <v>13</v>
      </c>
      <c r="R227" s="4">
        <f>IFERROR(__xludf.DUMMYFUNCTION("""COMPUTED_VALUE"""),5.0)</f>
        <v>5</v>
      </c>
      <c r="S227" s="4" t="str">
        <f>IFERROR(__xludf.DUMMYFUNCTION("""COMPUTED_VALUE"""),"Reel")</f>
        <v>Reel</v>
      </c>
      <c r="T227" s="4" t="str">
        <f>IFERROR(__xludf.DUMMYFUNCTION("""COMPUTED_VALUE"""),"1120")</f>
        <v>1120</v>
      </c>
      <c r="U227" s="4">
        <f>IFERROR(__xludf.DUMMYFUNCTION("""COMPUTED_VALUE"""),8.0)</f>
        <v>8</v>
      </c>
      <c r="V227" s="4" t="str">
        <f>IFERROR(__xludf.DUMMYFUNCTION("""COMPUTED_VALUE"""),"Tube")</f>
        <v>Tube</v>
      </c>
      <c r="W227" s="4" t="str">
        <f>IFERROR(__xludf.DUMMYFUNCTION("""COMPUTED_VALUE"""),"XXXX")</f>
        <v>XXXX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>
      <c r="A228" s="4" t="str">
        <f>IFERROR(__xludf.DUMMYFUNCTION("""COMPUTED_VALUE"""),"CONNECTOR:   ROTARY ENCODER MECHANICAL 24PPR   [PEC12R-4222F-S0024] [TH]")</f>
        <v>CONNECTOR:   ROTARY ENCODER MECHANICAL 24PPR   [PEC12R-4222F-S0024] [TH]</v>
      </c>
      <c r="B228" s="4" t="str">
        <f>IFERROR(__xludf.DUMMYFUNCTION("""COMPUTED_VALUE"""),"OEPS070113")</f>
        <v>OEPS070113</v>
      </c>
      <c r="C228" s="4" t="str">
        <f>IFERROR(__xludf.DUMMYFUNCTION("""COMPUTED_VALUE"""),"TH")</f>
        <v>TH</v>
      </c>
      <c r="D228" s="4" t="str">
        <f>IFERROR(__xludf.DUMMYFUNCTION("""COMPUTED_VALUE"""),"PEC12R-4222F-S0024")</f>
        <v>PEC12R-4222F-S0024</v>
      </c>
      <c r="E228" s="4">
        <f>IFERROR(__xludf.DUMMYFUNCTION("""COMPUTED_VALUE"""),1.0)</f>
        <v>1</v>
      </c>
      <c r="F228" s="4" t="str">
        <f>IFERROR(__xludf.DUMMYFUNCTION("""COMPUTED_VALUE"""),"Digikey")</f>
        <v>Digikey</v>
      </c>
      <c r="G228" s="4" t="str">
        <f>IFERROR(__xludf.DUMMYFUNCTION("""COMPUTED_VALUE"""),"PEC12R-4222F-S0024-ND")</f>
        <v>PEC12R-4222F-S0024-ND</v>
      </c>
      <c r="H228" s="4"/>
      <c r="I228" s="4"/>
      <c r="J228" s="4"/>
      <c r="K228" s="4"/>
      <c r="L228" s="4"/>
      <c r="M228" s="4"/>
      <c r="N228" s="9" t="str">
        <f>IFERROR(__xludf.DUMMYFUNCTION("""COMPUTED_VALUE"""),"OEPS M01 042")</f>
        <v>OEPS M01 042</v>
      </c>
      <c r="O228" s="4" t="str">
        <f>IFERROR(__xludf.DUMMYFUNCTION("""COMPUTED_VALUE"""),"DS90UB913ATRTVTQ1")</f>
        <v>DS90UB913ATRTVTQ1</v>
      </c>
      <c r="P228" s="4" t="str">
        <f>IFERROR(__xludf.DUMMYFUNCTION("""COMPUTED_VALUE"""),"17(R) 8(R) ")</f>
        <v>17(R) 8(R) </v>
      </c>
      <c r="Q228" s="4">
        <f>IFERROR(__xludf.DUMMYFUNCTION("""COMPUTED_VALUE"""),25.0)</f>
        <v>25</v>
      </c>
      <c r="R228" s="4">
        <f>IFERROR(__xludf.DUMMYFUNCTION("""COMPUTED_VALUE"""),17.0)</f>
        <v>17</v>
      </c>
      <c r="S228" s="4" t="str">
        <f>IFERROR(__xludf.DUMMYFUNCTION("""COMPUTED_VALUE"""),"Reel")</f>
        <v>Reel</v>
      </c>
      <c r="T228" s="4" t="str">
        <f>IFERROR(__xludf.DUMMYFUNCTION("""COMPUTED_VALUE"""),"XXXX")</f>
        <v>XXXX</v>
      </c>
      <c r="U228" s="4">
        <f>IFERROR(__xludf.DUMMYFUNCTION("""COMPUTED_VALUE"""),8.0)</f>
        <v>8</v>
      </c>
      <c r="V228" s="4" t="str">
        <f>IFERROR(__xludf.DUMMYFUNCTION("""COMPUTED_VALUE"""),"Reel")</f>
        <v>Reel</v>
      </c>
      <c r="W228" s="4" t="str">
        <f>IFERROR(__xludf.DUMMYFUNCTION("""COMPUTED_VALUE"""),"1120")</f>
        <v>1120</v>
      </c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>
      <c r="A229" s="4" t="str">
        <f>IFERROR(__xludf.DUMMYFUNCTION("""COMPUTED_VALUE"""),"CONNECTOR:   SDR RCPT 90º 26POS   [12226-8250-00FR] [SMD]")</f>
        <v>CONNECTOR:   SDR RCPT 90º 26POS   [12226-8250-00FR] [SMD]</v>
      </c>
      <c r="B229" s="4" t="str">
        <f>IFERROR(__xludf.DUMMYFUNCTION("""COMPUTED_VALUE"""),"OEPS070009")</f>
        <v>OEPS070009</v>
      </c>
      <c r="C229" s="4" t="str">
        <f>IFERROR(__xludf.DUMMYFUNCTION("""COMPUTED_VALUE"""),"SMD")</f>
        <v>SMD</v>
      </c>
      <c r="D229" s="4" t="str">
        <f>IFERROR(__xludf.DUMMYFUNCTION("""COMPUTED_VALUE"""),"12226-8250-00FR")</f>
        <v>12226-8250-00FR</v>
      </c>
      <c r="E229" s="4">
        <f>IFERROR(__xludf.DUMMYFUNCTION("""COMPUTED_VALUE"""),1.0)</f>
        <v>1</v>
      </c>
      <c r="F229" s="4" t="str">
        <f>IFERROR(__xludf.DUMMYFUNCTION("""COMPUTED_VALUE"""),"DigiKey")</f>
        <v>DigiKey</v>
      </c>
      <c r="G229" s="4" t="str">
        <f>IFERROR(__xludf.DUMMYFUNCTION("""COMPUTED_VALUE"""),"MSDS26-ND")</f>
        <v>MSDS26-ND</v>
      </c>
      <c r="H229" s="4"/>
      <c r="I229" s="4"/>
      <c r="J229" s="4"/>
      <c r="K229" s="4"/>
      <c r="L229" s="4"/>
      <c r="M229" s="4"/>
      <c r="N229" s="9" t="str">
        <f>IFERROR(__xludf.DUMMYFUNCTION("""COMPUTED_VALUE"""),"OEPS M01 043")</f>
        <v>OEPS M01 043</v>
      </c>
      <c r="O229" s="4" t="str">
        <f>IFERROR(__xludf.DUMMYFUNCTION("""COMPUTED_VALUE"""),"LT3463AEDD#PBF")</f>
        <v>LT3463AEDD#PBF</v>
      </c>
      <c r="P229" s="4" t="str">
        <f>IFERROR(__xludf.DUMMYFUNCTION("""COMPUTED_VALUE"""),"8(Tb) 13(Tb) ")</f>
        <v>8(Tb) 13(Tb) </v>
      </c>
      <c r="Q229" s="4">
        <f>IFERROR(__xludf.DUMMYFUNCTION("""COMPUTED_VALUE"""),21.0)</f>
        <v>21</v>
      </c>
      <c r="R229" s="4">
        <f>IFERROR(__xludf.DUMMYFUNCTION("""COMPUTED_VALUE"""),8.0)</f>
        <v>8</v>
      </c>
      <c r="S229" s="4" t="str">
        <f>IFERROR(__xludf.DUMMYFUNCTION("""COMPUTED_VALUE"""),"Tube")</f>
        <v>Tube</v>
      </c>
      <c r="T229" s="4" t="str">
        <f>IFERROR(__xludf.DUMMYFUNCTION("""COMPUTED_VALUE"""),"1120")</f>
        <v>1120</v>
      </c>
      <c r="U229" s="4">
        <f>IFERROR(__xludf.DUMMYFUNCTION("""COMPUTED_VALUE"""),13.0)</f>
        <v>13</v>
      </c>
      <c r="V229" s="4" t="str">
        <f>IFERROR(__xludf.DUMMYFUNCTION("""COMPUTED_VALUE"""),"Tube")</f>
        <v>Tube</v>
      </c>
      <c r="W229" s="4" t="str">
        <f>IFERROR(__xludf.DUMMYFUNCTION("""COMPUTED_VALUE"""),"1121")</f>
        <v>1121</v>
      </c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>
      <c r="A230" s="4" t="str">
        <f>IFERROR(__xludf.DUMMYFUNCTION("""COMPUTED_VALUE"""),"CONNECTOR:   SMA JACK 50ohm R/A   [PCB.SMAFRA.HT] [TH]")</f>
        <v>CONNECTOR:   SMA JACK 50ohm R/A   [PCB.SMAFRA.HT] [TH]</v>
      </c>
      <c r="B230" s="4" t="str">
        <f>IFERROR(__xludf.DUMMYFUNCTION("""COMPUTED_VALUE"""),"OEPS070061")</f>
        <v>OEPS070061</v>
      </c>
      <c r="C230" s="4" t="str">
        <f>IFERROR(__xludf.DUMMYFUNCTION("""COMPUTED_VALUE"""),"TH")</f>
        <v>TH</v>
      </c>
      <c r="D230" s="29" t="str">
        <f>IFERROR(__xludf.DUMMYFUNCTION("""COMPUTED_VALUE"""),"PCB.SMAFRA.HT")</f>
        <v>PCB.SMAFRA.HT</v>
      </c>
      <c r="E230" s="4">
        <f>IFERROR(__xludf.DUMMYFUNCTION("""COMPUTED_VALUE"""),1.0)</f>
        <v>1</v>
      </c>
      <c r="F230" s="4" t="str">
        <f>IFERROR(__xludf.DUMMYFUNCTION("""COMPUTED_VALUE"""),"DigiKey")</f>
        <v>DigiKey</v>
      </c>
      <c r="G230" s="4" t="str">
        <f>IFERROR(__xludf.DUMMYFUNCTION("""COMPUTED_VALUE"""),"931-1361-ND")</f>
        <v>931-1361-ND</v>
      </c>
      <c r="H230" s="4"/>
      <c r="I230" s="4"/>
      <c r="J230" s="4"/>
      <c r="K230" s="4"/>
      <c r="L230" s="4"/>
      <c r="M230" s="4"/>
      <c r="N230" s="9" t="str">
        <f>IFERROR(__xludf.DUMMYFUNCTION("""COMPUTED_VALUE"""),"OEPS M01 046")</f>
        <v>OEPS M01 046</v>
      </c>
      <c r="O230" s="4" t="str">
        <f>IFERROR(__xludf.DUMMYFUNCTION("""COMPUTED_VALUE"""),"TLV70712PDQNR")</f>
        <v>TLV70712PDQNR</v>
      </c>
      <c r="P230" s="4" t="str">
        <f>IFERROR(__xludf.DUMMYFUNCTION("""COMPUTED_VALUE"""),"2 3(R) 60(R) ")</f>
        <v>2 3(R) 60(R) </v>
      </c>
      <c r="Q230" s="4">
        <f>IFERROR(__xludf.DUMMYFUNCTION("""COMPUTED_VALUE"""),65.0)</f>
        <v>65</v>
      </c>
      <c r="R230" s="4">
        <f>IFERROR(__xludf.DUMMYFUNCTION("""COMPUTED_VALUE"""),2.0)</f>
        <v>2</v>
      </c>
      <c r="S230" s="4" t="str">
        <f>IFERROR(__xludf.DUMMYFUNCTION("""COMPUTED_VALUE"""),"Bag")</f>
        <v>Bag</v>
      </c>
      <c r="T230" s="4" t="str">
        <f>IFERROR(__xludf.DUMMYFUNCTION("""COMPUTED_VALUE"""),"1119")</f>
        <v>1119</v>
      </c>
      <c r="U230" s="4">
        <f>IFERROR(__xludf.DUMMYFUNCTION("""COMPUTED_VALUE"""),3.0)</f>
        <v>3</v>
      </c>
      <c r="V230" s="4" t="str">
        <f>IFERROR(__xludf.DUMMYFUNCTION("""COMPUTED_VALUE"""),"Reel")</f>
        <v>Reel</v>
      </c>
      <c r="W230" s="4" t="str">
        <f>IFERROR(__xludf.DUMMYFUNCTION("""COMPUTED_VALUE"""),"XXXX")</f>
        <v>XXXX</v>
      </c>
      <c r="X230" s="4">
        <f>IFERROR(__xludf.DUMMYFUNCTION("""COMPUTED_VALUE"""),60.0)</f>
        <v>60</v>
      </c>
      <c r="Y230" s="4" t="str">
        <f>IFERROR(__xludf.DUMMYFUNCTION("""COMPUTED_VALUE"""),"Reel")</f>
        <v>Reel</v>
      </c>
      <c r="Z230" s="4" t="str">
        <f>IFERROR(__xludf.DUMMYFUNCTION("""COMPUTED_VALUE"""),"0719")</f>
        <v>0719</v>
      </c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>
      <c r="A231" s="4" t="str">
        <f>IFERROR(__xludf.DUMMYFUNCTION("""COMPUTED_VALUE"""),"CONNECTOR:   SMA JACK 50ohm straight 16 mm   [132291] [TH]")</f>
        <v>CONNECTOR:   SMA JACK 50ohm straight 16 mm   [132291] [TH]</v>
      </c>
      <c r="B231" s="4" t="str">
        <f>IFERROR(__xludf.DUMMYFUNCTION("""COMPUTED_VALUE"""),"OEPS070001")</f>
        <v>OEPS070001</v>
      </c>
      <c r="C231" s="4" t="str">
        <f>IFERROR(__xludf.DUMMYFUNCTION("""COMPUTED_VALUE"""),"TH")</f>
        <v>TH</v>
      </c>
      <c r="D231" s="4" t="str">
        <f>IFERROR(__xludf.DUMMYFUNCTION("""COMPUTED_VALUE"""),"132291")</f>
        <v>132291</v>
      </c>
      <c r="E231" s="4">
        <f>IFERROR(__xludf.DUMMYFUNCTION("""COMPUTED_VALUE"""),1.0)</f>
        <v>1</v>
      </c>
      <c r="F231" s="4" t="str">
        <f>IFERROR(__xludf.DUMMYFUNCTION("""COMPUTED_VALUE"""),"DigiKey")</f>
        <v>DigiKey</v>
      </c>
      <c r="G231" s="4" t="str">
        <f>IFERROR(__xludf.DUMMYFUNCTION("""COMPUTED_VALUE"""),"ACX1976-ND")</f>
        <v>ACX1976-ND</v>
      </c>
      <c r="H231" s="4"/>
      <c r="I231" s="4"/>
      <c r="J231" s="4"/>
      <c r="K231" s="4"/>
      <c r="L231" s="4"/>
      <c r="M231" s="4"/>
      <c r="N231" s="9" t="str">
        <f>IFERROR(__xludf.DUMMYFUNCTION("""COMPUTED_VALUE"""),"OEPS M01 048")</f>
        <v>OEPS M01 048</v>
      </c>
      <c r="O231" s="4" t="str">
        <f>IFERROR(__xludf.DUMMYFUNCTION("""COMPUTED_VALUE"""),"TLV70733DQNR")</f>
        <v>TLV70733DQNR</v>
      </c>
      <c r="P231" s="4" t="str">
        <f>IFERROR(__xludf.DUMMYFUNCTION("""COMPUTED_VALUE"""),"23(R) ")</f>
        <v>23(R) </v>
      </c>
      <c r="Q231" s="4">
        <f>IFERROR(__xludf.DUMMYFUNCTION("""COMPUTED_VALUE"""),23.0)</f>
        <v>23</v>
      </c>
      <c r="R231" s="4">
        <f>IFERROR(__xludf.DUMMYFUNCTION("""COMPUTED_VALUE"""),23.0)</f>
        <v>23</v>
      </c>
      <c r="S231" s="4" t="str">
        <f>IFERROR(__xludf.DUMMYFUNCTION("""COMPUTED_VALUE"""),"Reel")</f>
        <v>Reel</v>
      </c>
      <c r="T231" s="4" t="str">
        <f>IFERROR(__xludf.DUMMYFUNCTION("""COMPUTED_VALUE"""),"XXXX")</f>
        <v>XXXX</v>
      </c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>
      <c r="A232" s="4" t="str">
        <f>IFERROR(__xludf.DUMMYFUNCTION("""COMPUTED_VALUE"""),"CONNECTOR:   SMA RCPT 50ohm R/A   [2081679-1] [TH]")</f>
        <v>CONNECTOR:   SMA RCPT 50ohm R/A   [2081679-1] [TH]</v>
      </c>
      <c r="B232" s="4" t="str">
        <f>IFERROR(__xludf.DUMMYFUNCTION("""COMPUTED_VALUE"""),"OEPS070141")</f>
        <v>OEPS070141</v>
      </c>
      <c r="C232" s="4" t="str">
        <f>IFERROR(__xludf.DUMMYFUNCTION("""COMPUTED_VALUE"""),"TH")</f>
        <v>TH</v>
      </c>
      <c r="D232" s="4" t="str">
        <f>IFERROR(__xludf.DUMMYFUNCTION("""COMPUTED_VALUE"""),"2081679-1")</f>
        <v>2081679-1</v>
      </c>
      <c r="E232" s="4">
        <f>IFERROR(__xludf.DUMMYFUNCTION("""COMPUTED_VALUE"""),1.0)</f>
        <v>1</v>
      </c>
      <c r="F232" s="4" t="str">
        <f>IFERROR(__xludf.DUMMYFUNCTION("""COMPUTED_VALUE"""),"DigiKey")</f>
        <v>DigiKey</v>
      </c>
      <c r="G232" s="4" t="str">
        <f>IFERROR(__xludf.DUMMYFUNCTION("""COMPUTED_VALUE"""),"17-2081679-1-ND")</f>
        <v>17-2081679-1-ND</v>
      </c>
      <c r="H232" s="4"/>
      <c r="I232" s="4"/>
      <c r="J232" s="4"/>
      <c r="K232" s="4"/>
      <c r="L232" s="4"/>
      <c r="M232" s="4"/>
      <c r="N232" s="9" t="str">
        <f>IFERROR(__xludf.DUMMYFUNCTION("""COMPUTED_VALUE"""),"OEPS M01 049")</f>
        <v>OEPS M01 049</v>
      </c>
      <c r="O232" s="4" t="str">
        <f>IFERROR(__xludf.DUMMYFUNCTION("""COMPUTED_VALUE"""),"TPL001-100RSER")</f>
        <v>TPL001-100RSER</v>
      </c>
      <c r="P232" s="4" t="str">
        <f>IFERROR(__xludf.DUMMYFUNCTION("""COMPUTED_VALUE"""),"22(R) ")</f>
        <v>22(R) </v>
      </c>
      <c r="Q232" s="4">
        <f>IFERROR(__xludf.DUMMYFUNCTION("""COMPUTED_VALUE"""),22.0)</f>
        <v>22</v>
      </c>
      <c r="R232" s="4">
        <f>IFERROR(__xludf.DUMMYFUNCTION("""COMPUTED_VALUE"""),22.0)</f>
        <v>22</v>
      </c>
      <c r="S232" s="4" t="str">
        <f>IFERROR(__xludf.DUMMYFUNCTION("""COMPUTED_VALUE"""),"Reel")</f>
        <v>Reel</v>
      </c>
      <c r="T232" s="4" t="str">
        <f>IFERROR(__xludf.DUMMYFUNCTION("""COMPUTED_VALUE"""),"1121")</f>
        <v>1121</v>
      </c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>
      <c r="A233" s="4" t="str">
        <f>IFERROR(__xludf.DUMMYFUNCTION("""COMPUTED_VALUE"""),"CONNECTOR:   SMA RCPT 50ohm R/A (OEPS J30 050)   [CONSMA002] [TH]")</f>
        <v>CONNECTOR:   SMA RCPT 50ohm R/A (OEPS J30 050)   [CONSMA002] [TH]</v>
      </c>
      <c r="B233" s="4" t="str">
        <f>IFERROR(__xludf.DUMMYFUNCTION("""COMPUTED_VALUE"""),"OEPS070093")</f>
        <v>OEPS070093</v>
      </c>
      <c r="C233" s="4" t="str">
        <f>IFERROR(__xludf.DUMMYFUNCTION("""COMPUTED_VALUE"""),"TH")</f>
        <v>TH</v>
      </c>
      <c r="D233" s="4" t="str">
        <f>IFERROR(__xludf.DUMMYFUNCTION("""COMPUTED_VALUE"""),"CONSMA002")</f>
        <v>CONSMA002</v>
      </c>
      <c r="E233" s="4">
        <f>IFERROR(__xludf.DUMMYFUNCTION("""COMPUTED_VALUE"""),1.0)</f>
        <v>1</v>
      </c>
      <c r="F233" s="4" t="str">
        <f>IFERROR(__xludf.DUMMYFUNCTION("""COMPUTED_VALUE"""),"Digikey")</f>
        <v>Digikey</v>
      </c>
      <c r="G233" s="4" t="str">
        <f>IFERROR(__xludf.DUMMYFUNCTION("""COMPUTED_VALUE"""),"CONSMA002-ND")</f>
        <v>CONSMA002-ND</v>
      </c>
      <c r="H233" s="4"/>
      <c r="I233" s="4"/>
      <c r="J233" s="4"/>
      <c r="K233" s="4"/>
      <c r="L233" s="4"/>
      <c r="M233" s="4"/>
      <c r="N233" s="9" t="str">
        <f>IFERROR(__xludf.DUMMYFUNCTION("""COMPUTED_VALUE"""),"OEPS M01 050")</f>
        <v>OEPS M01 050</v>
      </c>
      <c r="O233" s="4" t="str">
        <f>IFERROR(__xludf.DUMMYFUNCTION("""COMPUTED_VALUE"""),"TS4231")</f>
        <v>TS4231</v>
      </c>
      <c r="P233" s="4" t="str">
        <f>IFERROR(__xludf.DUMMYFUNCTION("""COMPUTED_VALUE"""),"16(R) ")</f>
        <v>16(R) </v>
      </c>
      <c r="Q233" s="4">
        <f>IFERROR(__xludf.DUMMYFUNCTION("""COMPUTED_VALUE"""),16.0)</f>
        <v>16</v>
      </c>
      <c r="R233" s="4">
        <f>IFERROR(__xludf.DUMMYFUNCTION("""COMPUTED_VALUE"""),16.0)</f>
        <v>16</v>
      </c>
      <c r="S233" s="4" t="str">
        <f>IFERROR(__xludf.DUMMYFUNCTION("""COMPUTED_VALUE"""),"Reel")</f>
        <v>Reel</v>
      </c>
      <c r="T233" s="4" t="str">
        <f>IFERROR(__xludf.DUMMYFUNCTION("""COMPUTED_VALUE"""),"1121")</f>
        <v>1121</v>
      </c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>
      <c r="A234" s="4" t="str">
        <f>IFERROR(__xludf.DUMMYFUNCTION("""COMPUTED_VALUE"""),"CONNECTOR:   SWITCH ROCKER SPDT 3A 120V   [400MSP1R6BLKM6QE] [TH]")</f>
        <v>CONNECTOR:   SWITCH ROCKER SPDT 3A 120V   [400MSP1R6BLKM6QE] [TH]</v>
      </c>
      <c r="B234" s="4" t="str">
        <f>IFERROR(__xludf.DUMMYFUNCTION("""COMPUTED_VALUE"""),"OEPS070112")</f>
        <v>OEPS070112</v>
      </c>
      <c r="C234" s="4" t="str">
        <f>IFERROR(__xludf.DUMMYFUNCTION("""COMPUTED_VALUE"""),"TH")</f>
        <v>TH</v>
      </c>
      <c r="D234" s="4" t="str">
        <f>IFERROR(__xludf.DUMMYFUNCTION("""COMPUTED_VALUE"""),"400MSP1R6BLKM6QE")</f>
        <v>400MSP1R6BLKM6QE</v>
      </c>
      <c r="E234" s="4">
        <f>IFERROR(__xludf.DUMMYFUNCTION("""COMPUTED_VALUE"""),0.0)</f>
        <v>0</v>
      </c>
      <c r="F234" s="4" t="str">
        <f>IFERROR(__xludf.DUMMYFUNCTION("""COMPUTED_VALUE"""),"Digikey")</f>
        <v>Digikey</v>
      </c>
      <c r="G234" s="4" t="str">
        <f>IFERROR(__xludf.DUMMYFUNCTION("""COMPUTED_VALUE"""),"EG4326-ND")</f>
        <v>EG4326-ND</v>
      </c>
      <c r="H234" s="4"/>
      <c r="I234" s="4"/>
      <c r="J234" s="4"/>
      <c r="K234" s="4"/>
      <c r="L234" s="4"/>
      <c r="M234" s="4"/>
      <c r="N234" s="9" t="str">
        <f>IFERROR(__xludf.DUMMYFUNCTION("""COMPUTED_VALUE"""),"OEPS M01 051")</f>
        <v>OEPS M01 051</v>
      </c>
      <c r="O234" s="4" t="str">
        <f>IFERROR(__xludf.DUMMYFUNCTION("""COMPUTED_VALUE"""),"10M08DCV81I7G")</f>
        <v>10M08DCV81I7G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>
      <c r="A235" s="4" t="str">
        <f>IFERROR(__xludf.DUMMYFUNCTION("""COMPUTED_VALUE"""),"CONNECTOR:   SWITCH TACTILE SPST-NO 0.05A 12V   [PTS645VH58-2 LFS] [TH]")</f>
        <v>CONNECTOR:   SWITCH TACTILE SPST-NO 0.05A 12V   [PTS645VH58-2 LFS] [TH]</v>
      </c>
      <c r="B235" s="4" t="str">
        <f>IFERROR(__xludf.DUMMYFUNCTION("""COMPUTED_VALUE"""),"OEPS070114")</f>
        <v>OEPS070114</v>
      </c>
      <c r="C235" s="4" t="str">
        <f>IFERROR(__xludf.DUMMYFUNCTION("""COMPUTED_VALUE"""),"TH")</f>
        <v>TH</v>
      </c>
      <c r="D235" s="4" t="str">
        <f>IFERROR(__xludf.DUMMYFUNCTION("""COMPUTED_VALUE"""),"PTS645VH58-2 LFS")</f>
        <v>PTS645VH58-2 LFS</v>
      </c>
      <c r="E235" s="4">
        <f>IFERROR(__xludf.DUMMYFUNCTION("""COMPUTED_VALUE"""),0.0)</f>
        <v>0</v>
      </c>
      <c r="F235" s="4" t="str">
        <f>IFERROR(__xludf.DUMMYFUNCTION("""COMPUTED_VALUE"""),"Digikey")</f>
        <v>Digikey</v>
      </c>
      <c r="G235" s="4" t="str">
        <f>IFERROR(__xludf.DUMMYFUNCTION("""COMPUTED_VALUE"""),"CKN9120-ND")</f>
        <v>CKN9120-ND</v>
      </c>
      <c r="H235" s="4"/>
      <c r="I235" s="4"/>
      <c r="J235" s="4"/>
      <c r="K235" s="4"/>
      <c r="L235" s="4"/>
      <c r="M235" s="4"/>
      <c r="N235" s="9" t="str">
        <f>IFERROR(__xludf.DUMMYFUNCTION("""COMPUTED_VALUE"""),"OEPS M01 052")</f>
        <v>OEPS M01 052</v>
      </c>
      <c r="O235" s="4" t="str">
        <f>IFERROR(__xludf.DUMMYFUNCTION("""COMPUTED_VALUE"""),"TPS62621YFFT")</f>
        <v>TPS62621YFFT</v>
      </c>
      <c r="P235" s="4" t="str">
        <f>IFERROR(__xludf.DUMMYFUNCTION("""COMPUTED_VALUE"""),"21(R) ")</f>
        <v>21(R) </v>
      </c>
      <c r="Q235" s="4">
        <f>IFERROR(__xludf.DUMMYFUNCTION("""COMPUTED_VALUE"""),21.0)</f>
        <v>21</v>
      </c>
      <c r="R235" s="4">
        <f>IFERROR(__xludf.DUMMYFUNCTION("""COMPUTED_VALUE"""),21.0)</f>
        <v>21</v>
      </c>
      <c r="S235" s="4" t="str">
        <f>IFERROR(__xludf.DUMMYFUNCTION("""COMPUTED_VALUE"""),"Reel")</f>
        <v>Reel</v>
      </c>
      <c r="T235" s="4" t="str">
        <f>IFERROR(__xludf.DUMMYFUNCTION("""COMPUTED_VALUE"""),"1121")</f>
        <v>1121</v>
      </c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>
      <c r="A236" s="4" t="str">
        <f>IFERROR(__xludf.DUMMYFUNCTION("""COMPUTED_VALUE"""),"CONNECTOR:   SWITCH TACTILE SPST-NO TOP ACTUATED   [TS04-66-50-BK-160-SMT] [SMD]")</f>
        <v>CONNECTOR:   SWITCH TACTILE SPST-NO TOP ACTUATED   [TS04-66-50-BK-160-SMT] [SMD]</v>
      </c>
      <c r="B236" s="4" t="str">
        <f>IFERROR(__xludf.DUMMYFUNCTION("""COMPUTED_VALUE"""),"OEPS070115")</f>
        <v>OEPS070115</v>
      </c>
      <c r="C236" s="4" t="str">
        <f>IFERROR(__xludf.DUMMYFUNCTION("""COMPUTED_VALUE"""),"SMD")</f>
        <v>SMD</v>
      </c>
      <c r="D236" s="4" t="str">
        <f>IFERROR(__xludf.DUMMYFUNCTION("""COMPUTED_VALUE"""),"TS04-66-50-BK-160-SMT")</f>
        <v>TS04-66-50-BK-160-SMT</v>
      </c>
      <c r="E236" s="4">
        <f>IFERROR(__xludf.DUMMYFUNCTION("""COMPUTED_VALUE"""),5.0)</f>
        <v>5</v>
      </c>
      <c r="F236" s="4" t="str">
        <f>IFERROR(__xludf.DUMMYFUNCTION("""COMPUTED_VALUE"""),"Digikey")</f>
        <v>Digikey</v>
      </c>
      <c r="G236" s="4" t="str">
        <f>IFERROR(__xludf.DUMMYFUNCTION("""COMPUTED_VALUE"""),"2223-TS04-66-50-BK-160-SMT-ND")</f>
        <v>2223-TS04-66-50-BK-160-SMT-ND</v>
      </c>
      <c r="H236" s="4"/>
      <c r="I236" s="4"/>
      <c r="J236" s="4"/>
      <c r="K236" s="4"/>
      <c r="L236" s="4"/>
      <c r="M236" s="4"/>
      <c r="N236" s="9" t="str">
        <f>IFERROR(__xludf.DUMMYFUNCTION("""COMPUTED_VALUE"""),"OEPS M01 053")</f>
        <v>OEPS M01 053</v>
      </c>
      <c r="O236" s="4" t="str">
        <f>IFERROR(__xludf.DUMMYFUNCTION("""COMPUTED_VALUE"""),"AD5683RBCPZ-1RL7")</f>
        <v>AD5683RBCPZ-1RL7</v>
      </c>
      <c r="P236" s="4" t="str">
        <f>IFERROR(__xludf.DUMMYFUNCTION("""COMPUTED_VALUE"""),"8(R) 5 ")</f>
        <v>8(R) 5 </v>
      </c>
      <c r="Q236" s="4">
        <f>IFERROR(__xludf.DUMMYFUNCTION("""COMPUTED_VALUE"""),13.0)</f>
        <v>13</v>
      </c>
      <c r="R236" s="4">
        <f>IFERROR(__xludf.DUMMYFUNCTION("""COMPUTED_VALUE"""),8.0)</f>
        <v>8</v>
      </c>
      <c r="S236" s="4" t="str">
        <f>IFERROR(__xludf.DUMMYFUNCTION("""COMPUTED_VALUE"""),"Reel")</f>
        <v>Reel</v>
      </c>
      <c r="T236" s="4" t="str">
        <f>IFERROR(__xludf.DUMMYFUNCTION("""COMPUTED_VALUE"""),"1120")</f>
        <v>1120</v>
      </c>
      <c r="U236" s="4">
        <f>IFERROR(__xludf.DUMMYFUNCTION("""COMPUTED_VALUE"""),5.0)</f>
        <v>5</v>
      </c>
      <c r="V236" s="4" t="str">
        <f>IFERROR(__xludf.DUMMYFUNCTION("""COMPUTED_VALUE"""),"Bag")</f>
        <v>Bag</v>
      </c>
      <c r="W236" s="4" t="str">
        <f>IFERROR(__xludf.DUMMYFUNCTION("""COMPUTED_VALUE"""),"XXXX")</f>
        <v>XXXX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</row>
    <row r="237">
      <c r="A237" s="4" t="str">
        <f>IFERROR(__xludf.DUMMYFUNCTION("""COMPUTED_VALUE"""),"CONNECTOR:   TERMINAL BLOCK 1 PIN BINDING POST M2.5 R/A   [8734] [TH]")</f>
        <v>CONNECTOR:   TERMINAL BLOCK 1 PIN BINDING POST M2.5 R/A   [8734] [TH]</v>
      </c>
      <c r="B237" s="4" t="str">
        <f>IFERROR(__xludf.DUMMYFUNCTION("""COMPUTED_VALUE"""),"OEPS070127")</f>
        <v>OEPS070127</v>
      </c>
      <c r="C237" s="4" t="str">
        <f>IFERROR(__xludf.DUMMYFUNCTION("""COMPUTED_VALUE"""),"TH")</f>
        <v>TH</v>
      </c>
      <c r="D237" s="4" t="str">
        <f>IFERROR(__xludf.DUMMYFUNCTION("""COMPUTED_VALUE"""),"8734")</f>
        <v>8734</v>
      </c>
      <c r="E237" s="4">
        <f>IFERROR(__xludf.DUMMYFUNCTION("""COMPUTED_VALUE"""),2.0)</f>
        <v>2</v>
      </c>
      <c r="F237" s="4" t="str">
        <f>IFERROR(__xludf.DUMMYFUNCTION("""COMPUTED_VALUE"""),"DigiKey")</f>
        <v>DigiKey</v>
      </c>
      <c r="G237" s="4" t="str">
        <f>IFERROR(__xludf.DUMMYFUNCTION("""COMPUTED_VALUE"""),"36-8734-ND")</f>
        <v>36-8734-ND</v>
      </c>
      <c r="H237" s="4"/>
      <c r="I237" s="4"/>
      <c r="J237" s="4"/>
      <c r="K237" s="4"/>
      <c r="L237" s="4"/>
      <c r="M237" s="4"/>
      <c r="N237" s="9" t="str">
        <f>IFERROR(__xludf.DUMMYFUNCTION("""COMPUTED_VALUE"""),"OEPS M01 054")</f>
        <v>OEPS M01 054</v>
      </c>
      <c r="O237" s="4" t="str">
        <f>IFERROR(__xludf.DUMMYFUNCTION("""COMPUTED_VALUE"""),"ADA4062-4ACPZ-R7")</f>
        <v>ADA4062-4ACPZ-R7</v>
      </c>
      <c r="P237" s="4" t="str">
        <f>IFERROR(__xludf.DUMMYFUNCTION("""COMPUTED_VALUE"""),"10 16(R) ")</f>
        <v>10 16(R) </v>
      </c>
      <c r="Q237" s="4">
        <f>IFERROR(__xludf.DUMMYFUNCTION("""COMPUTED_VALUE"""),26.0)</f>
        <v>26</v>
      </c>
      <c r="R237" s="4">
        <f>IFERROR(__xludf.DUMMYFUNCTION("""COMPUTED_VALUE"""),10.0)</f>
        <v>10</v>
      </c>
      <c r="S237" s="4" t="str">
        <f>IFERROR(__xludf.DUMMYFUNCTION("""COMPUTED_VALUE"""),"Bag")</f>
        <v>Bag</v>
      </c>
      <c r="T237" s="4" t="str">
        <f>IFERROR(__xludf.DUMMYFUNCTION("""COMPUTED_VALUE"""),"XXXX")</f>
        <v>XXXX</v>
      </c>
      <c r="U237" s="4">
        <f>IFERROR(__xludf.DUMMYFUNCTION("""COMPUTED_VALUE"""),16.0)</f>
        <v>16</v>
      </c>
      <c r="V237" s="4" t="str">
        <f>IFERROR(__xludf.DUMMYFUNCTION("""COMPUTED_VALUE"""),"Reel")</f>
        <v>Reel</v>
      </c>
      <c r="W237" s="4" t="str">
        <f>IFERROR(__xludf.DUMMYFUNCTION("""COMPUTED_VALUE"""),"XXXX")</f>
        <v>XXXX</v>
      </c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</row>
    <row r="238">
      <c r="A238" s="4" t="str">
        <f>IFERROR(__xludf.DUMMYFUNCTION("""COMPUTED_VALUE"""),"CONNECTOR:   TERMINAL BLOCK 2.54MM 16POS top entry   [1789074] [TH]")</f>
        <v>CONNECTOR:   TERMINAL BLOCK 2.54MM 16POS top entry   [1789074] [TH]</v>
      </c>
      <c r="B238" s="4" t="str">
        <f>IFERROR(__xludf.DUMMYFUNCTION("""COMPUTED_VALUE"""),"OEPS070013")</f>
        <v>OEPS070013</v>
      </c>
      <c r="C238" s="4" t="str">
        <f>IFERROR(__xludf.DUMMYFUNCTION("""COMPUTED_VALUE"""),"TH")</f>
        <v>TH</v>
      </c>
      <c r="D238" s="4" t="str">
        <f>IFERROR(__xludf.DUMMYFUNCTION("""COMPUTED_VALUE"""),"1789074")</f>
        <v>1789074</v>
      </c>
      <c r="E238" s="4">
        <f>IFERROR(__xludf.DUMMYFUNCTION("""COMPUTED_VALUE"""),1.0)</f>
        <v>1</v>
      </c>
      <c r="F238" s="4" t="str">
        <f>IFERROR(__xludf.DUMMYFUNCTION("""COMPUTED_VALUE"""),"DigiKey")</f>
        <v>DigiKey</v>
      </c>
      <c r="G238" s="4" t="str">
        <f>IFERROR(__xludf.DUMMYFUNCTION("""COMPUTED_VALUE"""),"277-14038-ND")</f>
        <v>277-14038-ND</v>
      </c>
      <c r="H238" s="4"/>
      <c r="I238" s="4"/>
      <c r="J238" s="4"/>
      <c r="K238" s="4"/>
      <c r="L238" s="4"/>
      <c r="M238" s="4"/>
      <c r="N238" s="9" t="str">
        <f>IFERROR(__xludf.DUMMYFUNCTION("""COMPUTED_VALUE"""),"OEPS M01 055")</f>
        <v>OEPS M01 055</v>
      </c>
      <c r="O238" s="4" t="str">
        <f>IFERROR(__xludf.DUMMYFUNCTION("""COMPUTED_VALUE"""),"DF40C-70DP-0.4V(51)")</f>
        <v>DF40C-70DP-0.4V(51)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</row>
    <row r="239">
      <c r="A239" s="4" t="str">
        <f>IFERROR(__xludf.DUMMYFUNCTION("""COMPUTED_VALUE"""),"CONNECTOR:   TERMINAL BLOCK 2.54MM 2POS side entry   [282834-2] [TH]")</f>
        <v>CONNECTOR:   TERMINAL BLOCK 2.54MM 2POS side entry   [282834-2] [TH]</v>
      </c>
      <c r="B239" s="4" t="str">
        <f>IFERROR(__xludf.DUMMYFUNCTION("""COMPUTED_VALUE"""),"OEPS070020")</f>
        <v>OEPS070020</v>
      </c>
      <c r="C239" s="4" t="str">
        <f>IFERROR(__xludf.DUMMYFUNCTION("""COMPUTED_VALUE"""),"TH")</f>
        <v>TH</v>
      </c>
      <c r="D239" s="4" t="str">
        <f>IFERROR(__xludf.DUMMYFUNCTION("""COMPUTED_VALUE"""),"282834-2")</f>
        <v>282834-2</v>
      </c>
      <c r="E239" s="4">
        <f>IFERROR(__xludf.DUMMYFUNCTION("""COMPUTED_VALUE"""),1.0)</f>
        <v>1</v>
      </c>
      <c r="F239" s="4" t="str">
        <f>IFERROR(__xludf.DUMMYFUNCTION("""COMPUTED_VALUE"""),"DigiKey")</f>
        <v>DigiKey</v>
      </c>
      <c r="G239" s="4" t="str">
        <f>IFERROR(__xludf.DUMMYFUNCTION("""COMPUTED_VALUE"""),"A98333-ND")</f>
        <v>A98333-ND</v>
      </c>
      <c r="H239" s="4"/>
      <c r="I239" s="4"/>
      <c r="J239" s="4"/>
      <c r="K239" s="4"/>
      <c r="L239" s="4"/>
      <c r="M239" s="4"/>
      <c r="N239" s="9" t="str">
        <f>IFERROR(__xludf.DUMMYFUNCTION("""COMPUTED_VALUE"""),"OEPS M01 056")</f>
        <v>OEPS M01 056</v>
      </c>
      <c r="O239" s="4" t="str">
        <f>IFERROR(__xludf.DUMMYFUNCTION("""COMPUTED_VALUE"""),"DF40C-10DP-0.4V(51)")</f>
        <v>DF40C-10DP-0.4V(51)</v>
      </c>
      <c r="P239" s="4" t="str">
        <f>IFERROR(__xludf.DUMMYFUNCTION("""COMPUTED_VALUE"""),"62(R) ")</f>
        <v>62(R) </v>
      </c>
      <c r="Q239" s="4">
        <f>IFERROR(__xludf.DUMMYFUNCTION("""COMPUTED_VALUE"""),62.0)</f>
        <v>62</v>
      </c>
      <c r="R239" s="4">
        <f>IFERROR(__xludf.DUMMYFUNCTION("""COMPUTED_VALUE"""),62.0)</f>
        <v>62</v>
      </c>
      <c r="S239" s="4" t="str">
        <f>IFERROR(__xludf.DUMMYFUNCTION("""COMPUTED_VALUE"""),"Reel")</f>
        <v>Reel</v>
      </c>
      <c r="T239" s="4" t="str">
        <f>IFERROR(__xludf.DUMMYFUNCTION("""COMPUTED_VALUE"""),"0919")</f>
        <v>0919</v>
      </c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>
      <c r="A240" s="4" t="str">
        <f>IFERROR(__xludf.DUMMYFUNCTION("""COMPUTED_VALUE"""),"CONNECTOR:   TERMINAL BLOCK 2.54MM 2POS side entry   [OSTVN02A150] [TH]")</f>
        <v>CONNECTOR:   TERMINAL BLOCK 2.54MM 2POS side entry   [OSTVN02A150] [TH]</v>
      </c>
      <c r="B240" s="4" t="str">
        <f>IFERROR(__xludf.DUMMYFUNCTION("""COMPUTED_VALUE"""),"OEPS070133")</f>
        <v>OEPS070133</v>
      </c>
      <c r="C240" s="4" t="str">
        <f>IFERROR(__xludf.DUMMYFUNCTION("""COMPUTED_VALUE"""),"TH")</f>
        <v>TH</v>
      </c>
      <c r="D240" s="4" t="str">
        <f>IFERROR(__xludf.DUMMYFUNCTION("""COMPUTED_VALUE"""),"OSTVN02A150")</f>
        <v>OSTVN02A150</v>
      </c>
      <c r="E240" s="4">
        <f>IFERROR(__xludf.DUMMYFUNCTION("""COMPUTED_VALUE"""),1.0)</f>
        <v>1</v>
      </c>
      <c r="F240" s="4" t="str">
        <f>IFERROR(__xludf.DUMMYFUNCTION("""COMPUTED_VALUE"""),"DigiKey")</f>
        <v>DigiKey</v>
      </c>
      <c r="G240" s="4" t="str">
        <f>IFERROR(__xludf.DUMMYFUNCTION("""COMPUTED_VALUE"""),"ED10561-ND")</f>
        <v>ED10561-ND</v>
      </c>
      <c r="H240" s="4"/>
      <c r="I240" s="4"/>
      <c r="J240" s="4"/>
      <c r="K240" s="4"/>
      <c r="L240" s="4"/>
      <c r="M240" s="4"/>
      <c r="N240" s="9" t="str">
        <f>IFERROR(__xludf.DUMMYFUNCTION("""COMPUTED_VALUE"""),"OEPS M05 001")</f>
        <v>OEPS M05 001</v>
      </c>
      <c r="O240" s="4" t="str">
        <f>IFERROR(__xludf.DUMMYFUNCTION("""COMPUTED_VALUE"""),"6-1634010-0")</f>
        <v>6-1634010-0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</row>
    <row r="241">
      <c r="A241" s="4" t="str">
        <f>IFERROR(__xludf.DUMMYFUNCTION("""COMPUTED_VALUE"""),"CONNECTOR:   TERMINAL BLOCK 2.54MM 3POS side entry   [282834-3] [TH]")</f>
        <v>CONNECTOR:   TERMINAL BLOCK 2.54MM 3POS side entry   [282834-3] [TH]</v>
      </c>
      <c r="B241" s="4" t="str">
        <f>IFERROR(__xludf.DUMMYFUNCTION("""COMPUTED_VALUE"""),"OEPS070035")</f>
        <v>OEPS070035</v>
      </c>
      <c r="C241" s="4" t="str">
        <f>IFERROR(__xludf.DUMMYFUNCTION("""COMPUTED_VALUE"""),"TH")</f>
        <v>TH</v>
      </c>
      <c r="D241" s="4" t="str">
        <f>IFERROR(__xludf.DUMMYFUNCTION("""COMPUTED_VALUE"""),"282834-3")</f>
        <v>282834-3</v>
      </c>
      <c r="E241" s="4">
        <f>IFERROR(__xludf.DUMMYFUNCTION("""COMPUTED_VALUE"""),1.0)</f>
        <v>1</v>
      </c>
      <c r="F241" s="4" t="str">
        <f>IFERROR(__xludf.DUMMYFUNCTION("""COMPUTED_VALUE"""),"DigiKey")</f>
        <v>DigiKey</v>
      </c>
      <c r="G241" s="4" t="str">
        <f>IFERROR(__xludf.DUMMYFUNCTION("""COMPUTED_VALUE"""),"A98334-ND")</f>
        <v>A98334-ND</v>
      </c>
      <c r="H241" s="4"/>
      <c r="I241" s="4"/>
      <c r="J241" s="4"/>
      <c r="K241" s="4"/>
      <c r="L241" s="4"/>
      <c r="M241" s="4"/>
      <c r="N241" s="9" t="str">
        <f>IFERROR(__xludf.DUMMYFUNCTION("""COMPUTED_VALUE"""),"OEPS M05 001A")</f>
        <v>OEPS M05 001A</v>
      </c>
      <c r="O241" s="4" t="str">
        <f>IFERROR(__xludf.DUMMYFUNCTION("""COMPUTED_VALUE"""),"1-1634010-0")</f>
        <v>1-1634010-0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</row>
    <row r="242">
      <c r="A242" s="4" t="str">
        <f>IFERROR(__xludf.DUMMYFUNCTION("""COMPUTED_VALUE"""),"CONNECTOR:   TERMINAL BLOCK 2.54MM 4POS side entry   [282834-4] [TH]")</f>
        <v>CONNECTOR:   TERMINAL BLOCK 2.54MM 4POS side entry   [282834-4] [TH]</v>
      </c>
      <c r="B242" s="4" t="str">
        <f>IFERROR(__xludf.DUMMYFUNCTION("""COMPUTED_VALUE"""),"OEPS070036")</f>
        <v>OEPS070036</v>
      </c>
      <c r="C242" s="4" t="str">
        <f>IFERROR(__xludf.DUMMYFUNCTION("""COMPUTED_VALUE"""),"TH")</f>
        <v>TH</v>
      </c>
      <c r="D242" s="4" t="str">
        <f>IFERROR(__xludf.DUMMYFUNCTION("""COMPUTED_VALUE"""),"282834-4")</f>
        <v>282834-4</v>
      </c>
      <c r="E242" s="4">
        <f>IFERROR(__xludf.DUMMYFUNCTION("""COMPUTED_VALUE"""),1.0)</f>
        <v>1</v>
      </c>
      <c r="F242" s="4" t="str">
        <f>IFERROR(__xludf.DUMMYFUNCTION("""COMPUTED_VALUE"""),"DigiKey")</f>
        <v>DigiKey</v>
      </c>
      <c r="G242" s="4" t="str">
        <f>IFERROR(__xludf.DUMMYFUNCTION("""COMPUTED_VALUE"""),"A98335-ND")</f>
        <v>A98335-ND</v>
      </c>
      <c r="H242" s="4"/>
      <c r="I242" s="4"/>
      <c r="J242" s="4"/>
      <c r="K242" s="4"/>
      <c r="L242" s="4"/>
      <c r="M242" s="4"/>
      <c r="N242" s="9" t="str">
        <f>IFERROR(__xludf.DUMMYFUNCTION("""COMPUTED_VALUE"""),"OEPS M05 002")</f>
        <v>OEPS M05 002</v>
      </c>
      <c r="O242" s="4" t="str">
        <f>IFERROR(__xludf.DUMMYFUNCTION("""COMPUTED_VALUE"""),"ESHF10501LDSMKTR")</f>
        <v>ESHF10501LDSMKTR</v>
      </c>
      <c r="P242" s="4" t="str">
        <f>IFERROR(__xludf.DUMMYFUNCTION("""COMPUTED_VALUE"""),"39(Tp) 2(Tp) ")</f>
        <v>39(Tp) 2(Tp) </v>
      </c>
      <c r="Q242" s="4">
        <f>IFERROR(__xludf.DUMMYFUNCTION("""COMPUTED_VALUE"""),41.0)</f>
        <v>41</v>
      </c>
      <c r="R242" s="4">
        <f>IFERROR(__xludf.DUMMYFUNCTION("""COMPUTED_VALUE"""),39.0)</f>
        <v>39</v>
      </c>
      <c r="S242" s="4" t="str">
        <f>IFERROR(__xludf.DUMMYFUNCTION("""COMPUTED_VALUE"""),"Tape")</f>
        <v>Tape</v>
      </c>
      <c r="T242" s="4" t="str">
        <f>IFERROR(__xludf.DUMMYFUNCTION("""COMPUTED_VALUE"""),"0122")</f>
        <v>0122</v>
      </c>
      <c r="U242" s="4">
        <f>IFERROR(__xludf.DUMMYFUNCTION("""COMPUTED_VALUE"""),2.0)</f>
        <v>2</v>
      </c>
      <c r="V242" s="4" t="str">
        <f>IFERROR(__xludf.DUMMYFUNCTION("""COMPUTED_VALUE"""),"Tape")</f>
        <v>Tape</v>
      </c>
      <c r="W242" s="4" t="str">
        <f>IFERROR(__xludf.DUMMYFUNCTION("""COMPUTED_VALUE"""),"XXXX")</f>
        <v>XXXX</v>
      </c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</row>
    <row r="243">
      <c r="A243" s="4" t="str">
        <f>IFERROR(__xludf.DUMMYFUNCTION("""COMPUTED_VALUE"""),"CONNECTOR:   TERMINAL BLOCK 2.54MM 5POS side entry   [282834-5] [TH]")</f>
        <v>CONNECTOR:   TERMINAL BLOCK 2.54MM 5POS side entry   [282834-5] [TH]</v>
      </c>
      <c r="B243" s="4" t="str">
        <f>IFERROR(__xludf.DUMMYFUNCTION("""COMPUTED_VALUE"""),"OEPS070041")</f>
        <v>OEPS070041</v>
      </c>
      <c r="C243" s="4" t="str">
        <f>IFERROR(__xludf.DUMMYFUNCTION("""COMPUTED_VALUE"""),"TH")</f>
        <v>TH</v>
      </c>
      <c r="D243" s="4" t="str">
        <f>IFERROR(__xludf.DUMMYFUNCTION("""COMPUTED_VALUE"""),"282834-5")</f>
        <v>282834-5</v>
      </c>
      <c r="E243" s="4">
        <f>IFERROR(__xludf.DUMMYFUNCTION("""COMPUTED_VALUE"""),1.0)</f>
        <v>1</v>
      </c>
      <c r="F243" s="4" t="str">
        <f>IFERROR(__xludf.DUMMYFUNCTION("""COMPUTED_VALUE"""),"DigiKey")</f>
        <v>DigiKey</v>
      </c>
      <c r="G243" s="4" t="str">
        <f>IFERROR(__xludf.DUMMYFUNCTION("""COMPUTED_VALUE"""),"A98336-ND")</f>
        <v>A98336-ND</v>
      </c>
      <c r="H243" s="4"/>
      <c r="I243" s="4"/>
      <c r="J243" s="4"/>
      <c r="K243" s="4"/>
      <c r="L243" s="4"/>
      <c r="M243" s="4"/>
      <c r="N243" s="9" t="str">
        <f>IFERROR(__xludf.DUMMYFUNCTION("""COMPUTED_VALUE"""),"OEPS M05 003")</f>
        <v>OEPS M05 003</v>
      </c>
      <c r="O243" s="4" t="str">
        <f>IFERROR(__xludf.DUMMYFUNCTION("""COMPUTED_VALUE"""),"12226-8250-00FR")</f>
        <v>12226-8250-00FR</v>
      </c>
      <c r="P243" s="4" t="str">
        <f>IFERROR(__xludf.DUMMYFUNCTION("""COMPUTED_VALUE"""),"42 ")</f>
        <v>42 </v>
      </c>
      <c r="Q243" s="4">
        <f>IFERROR(__xludf.DUMMYFUNCTION("""COMPUTED_VALUE"""),42.0)</f>
        <v>42</v>
      </c>
      <c r="R243" s="4">
        <f>IFERROR(__xludf.DUMMYFUNCTION("""COMPUTED_VALUE"""),42.0)</f>
        <v>42</v>
      </c>
      <c r="S243" s="4" t="str">
        <f>IFERROR(__xludf.DUMMYFUNCTION("""COMPUTED_VALUE"""),"Box")</f>
        <v>Box</v>
      </c>
      <c r="T243" s="4" t="str">
        <f>IFERROR(__xludf.DUMMYFUNCTION("""COMPUTED_VALUE"""),"1122")</f>
        <v>1122</v>
      </c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</row>
    <row r="244">
      <c r="A244" s="4" t="str">
        <f>IFERROR(__xludf.DUMMYFUNCTION("""COMPUTED_VALUE"""),"CONNECTOR:   TERMINAL BLOCK 2.54MM 6POS side entry   [282834-6] [TH]")</f>
        <v>CONNECTOR:   TERMINAL BLOCK 2.54MM 6POS side entry   [282834-6] [TH]</v>
      </c>
      <c r="B244" s="4" t="str">
        <f>IFERROR(__xludf.DUMMYFUNCTION("""COMPUTED_VALUE"""),"OEPS070091")</f>
        <v>OEPS070091</v>
      </c>
      <c r="C244" s="4" t="str">
        <f>IFERROR(__xludf.DUMMYFUNCTION("""COMPUTED_VALUE"""),"TH")</f>
        <v>TH</v>
      </c>
      <c r="D244" s="4" t="str">
        <f>IFERROR(__xludf.DUMMYFUNCTION("""COMPUTED_VALUE"""),"282834-6")</f>
        <v>282834-6</v>
      </c>
      <c r="E244" s="4">
        <f>IFERROR(__xludf.DUMMYFUNCTION("""COMPUTED_VALUE"""),1.0)</f>
        <v>1</v>
      </c>
      <c r="F244" s="4" t="str">
        <f>IFERROR(__xludf.DUMMYFUNCTION("""COMPUTED_VALUE"""),"DigiKey")</f>
        <v>DigiKey</v>
      </c>
      <c r="G244" s="4" t="str">
        <f>IFERROR(__xludf.DUMMYFUNCTION("""COMPUTED_VALUE"""),"A98337-ND")</f>
        <v>A98337-ND</v>
      </c>
      <c r="H244" s="4"/>
      <c r="I244" s="4"/>
      <c r="J244" s="4"/>
      <c r="K244" s="4"/>
      <c r="L244" s="4"/>
      <c r="M244" s="4"/>
      <c r="N244" s="9" t="str">
        <f>IFERROR(__xludf.DUMMYFUNCTION("""COMPUTED_VALUE"""),"OEPS M05 004")</f>
        <v>OEPS M05 004</v>
      </c>
      <c r="O244" s="4" t="str">
        <f>IFERROR(__xludf.DUMMYFUNCTION("""COMPUTED_VALUE"""),"95278-101A16LF")</f>
        <v>95278-101A16LF</v>
      </c>
      <c r="P244" s="4" t="str">
        <f>IFERROR(__xludf.DUMMYFUNCTION("""COMPUTED_VALUE"""),"21 ")</f>
        <v>21 </v>
      </c>
      <c r="Q244" s="4">
        <f>IFERROR(__xludf.DUMMYFUNCTION("""COMPUTED_VALUE"""),21.0)</f>
        <v>21</v>
      </c>
      <c r="R244" s="4">
        <f>IFERROR(__xludf.DUMMYFUNCTION("""COMPUTED_VALUE"""),21.0)</f>
        <v>21</v>
      </c>
      <c r="S244" s="4" t="str">
        <f>IFERROR(__xludf.DUMMYFUNCTION("""COMPUTED_VALUE"""),"Bag")</f>
        <v>Bag</v>
      </c>
      <c r="T244" s="4" t="str">
        <f>IFERROR(__xludf.DUMMYFUNCTION("""COMPUTED_VALUE"""),"N/A")</f>
        <v>N/A</v>
      </c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</row>
    <row r="245">
      <c r="A245" s="4" t="str">
        <f>IFERROR(__xludf.DUMMYFUNCTION("""COMPUTED_VALUE"""),"CONNECTOR:   TERMINAL BLOCK 2.54MM 7POS side entry   [282834-7] [TH]")</f>
        <v>CONNECTOR:   TERMINAL BLOCK 2.54MM 7POS side entry   [282834-7] [TH]</v>
      </c>
      <c r="B245" s="4" t="str">
        <f>IFERROR(__xludf.DUMMYFUNCTION("""COMPUTED_VALUE"""),"OEPS070023")</f>
        <v>OEPS070023</v>
      </c>
      <c r="C245" s="4" t="str">
        <f>IFERROR(__xludf.DUMMYFUNCTION("""COMPUTED_VALUE"""),"TH")</f>
        <v>TH</v>
      </c>
      <c r="D245" s="4" t="str">
        <f>IFERROR(__xludf.DUMMYFUNCTION("""COMPUTED_VALUE"""),"282834-7")</f>
        <v>282834-7</v>
      </c>
      <c r="E245" s="4">
        <f>IFERROR(__xludf.DUMMYFUNCTION("""COMPUTED_VALUE"""),1.0)</f>
        <v>1</v>
      </c>
      <c r="F245" s="4" t="str">
        <f>IFERROR(__xludf.DUMMYFUNCTION("""COMPUTED_VALUE"""),"DigiKey")</f>
        <v>DigiKey</v>
      </c>
      <c r="G245" s="4" t="str">
        <f>IFERROR(__xludf.DUMMYFUNCTION("""COMPUTED_VALUE"""),"A135912-ND")</f>
        <v>A135912-ND</v>
      </c>
      <c r="H245" s="4"/>
      <c r="I245" s="4"/>
      <c r="J245" s="4"/>
      <c r="K245" s="4"/>
      <c r="L245" s="4"/>
      <c r="M245" s="4"/>
      <c r="N245" s="9" t="str">
        <f>IFERROR(__xludf.DUMMYFUNCTION("""COMPUTED_VALUE"""),"OEPS M05 005")</f>
        <v>OEPS M05 005</v>
      </c>
      <c r="O245" s="4" t="str">
        <f>IFERROR(__xludf.DUMMYFUNCTION("""COMPUTED_VALUE"""),"200-ASP-134488-01")</f>
        <v>200-ASP-134488-01</v>
      </c>
      <c r="P245" s="4" t="str">
        <f>IFERROR(__xludf.DUMMYFUNCTION("""COMPUTED_VALUE"""),"41(Tp) ")</f>
        <v>41(Tp) </v>
      </c>
      <c r="Q245" s="4">
        <f>IFERROR(__xludf.DUMMYFUNCTION("""COMPUTED_VALUE"""),41.0)</f>
        <v>41</v>
      </c>
      <c r="R245" s="4">
        <f>IFERROR(__xludf.DUMMYFUNCTION("""COMPUTED_VALUE"""),41.0)</f>
        <v>41</v>
      </c>
      <c r="S245" s="4" t="str">
        <f>IFERROR(__xludf.DUMMYFUNCTION("""COMPUTED_VALUE"""),"Tape")</f>
        <v>Tape</v>
      </c>
      <c r="T245" s="4" t="str">
        <f>IFERROR(__xludf.DUMMYFUNCTION("""COMPUTED_VALUE"""),"0122")</f>
        <v>0122</v>
      </c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</row>
    <row r="246">
      <c r="A246" s="4" t="str">
        <f>IFERROR(__xludf.DUMMYFUNCTION("""COMPUTED_VALUE"""),"CONNECTOR:   TERMINAL BLOCK 2.54MM 8POS top entry   [1789472] [TH]")</f>
        <v>CONNECTOR:   TERMINAL BLOCK 2.54MM 8POS top entry   [1789472] [TH]</v>
      </c>
      <c r="B246" s="4" t="str">
        <f>IFERROR(__xludf.DUMMYFUNCTION("""COMPUTED_VALUE"""),"OEPS070011")</f>
        <v>OEPS070011</v>
      </c>
      <c r="C246" s="4" t="str">
        <f>IFERROR(__xludf.DUMMYFUNCTION("""COMPUTED_VALUE"""),"TH")</f>
        <v>TH</v>
      </c>
      <c r="D246" s="4" t="str">
        <f>IFERROR(__xludf.DUMMYFUNCTION("""COMPUTED_VALUE"""),"1789472")</f>
        <v>1789472</v>
      </c>
      <c r="E246" s="4">
        <f>IFERROR(__xludf.DUMMYFUNCTION("""COMPUTED_VALUE"""),1.0)</f>
        <v>1</v>
      </c>
      <c r="F246" s="4" t="str">
        <f>IFERROR(__xludf.DUMMYFUNCTION("""COMPUTED_VALUE"""),"DigiKey")</f>
        <v>DigiKey</v>
      </c>
      <c r="G246" s="4" t="str">
        <f>IFERROR(__xludf.DUMMYFUNCTION("""COMPUTED_VALUE"""),"277-14044-ND")</f>
        <v>277-14044-ND</v>
      </c>
      <c r="H246" s="4"/>
      <c r="I246" s="4"/>
      <c r="J246" s="4"/>
      <c r="K246" s="4"/>
      <c r="L246" s="4"/>
      <c r="M246" s="4"/>
      <c r="N246" s="9" t="str">
        <f>IFERROR(__xludf.DUMMYFUNCTION("""COMPUTED_VALUE"""),"OEPS M05 006")</f>
        <v>OEPS M05 006</v>
      </c>
      <c r="O246" s="4" t="str">
        <f>IFERROR(__xludf.DUMMYFUNCTION("""COMPUTED_VALUE"""),"CHS-01TA")</f>
        <v>CHS-01TA</v>
      </c>
      <c r="P246" s="4" t="str">
        <f>IFERROR(__xludf.DUMMYFUNCTION("""COMPUTED_VALUE"""),"76(R) 19 6 ")</f>
        <v>76(R) 19 6 </v>
      </c>
      <c r="Q246" s="4">
        <f>IFERROR(__xludf.DUMMYFUNCTION("""COMPUTED_VALUE"""),101.0)</f>
        <v>101</v>
      </c>
      <c r="R246" s="4">
        <f>IFERROR(__xludf.DUMMYFUNCTION("""COMPUTED_VALUE"""),76.0)</f>
        <v>76</v>
      </c>
      <c r="S246" s="4" t="str">
        <f>IFERROR(__xludf.DUMMYFUNCTION("""COMPUTED_VALUE"""),"Reel")</f>
        <v>Reel</v>
      </c>
      <c r="T246" s="4" t="str">
        <f>IFERROR(__xludf.DUMMYFUNCTION("""COMPUTED_VALUE"""),"1120")</f>
        <v>1120</v>
      </c>
      <c r="U246" s="4">
        <f>IFERROR(__xludf.DUMMYFUNCTION("""COMPUTED_VALUE"""),19.0)</f>
        <v>19</v>
      </c>
      <c r="V246" s="4" t="str">
        <f>IFERROR(__xludf.DUMMYFUNCTION("""COMPUTED_VALUE"""),"Bag")</f>
        <v>Bag</v>
      </c>
      <c r="W246" s="4" t="str">
        <f>IFERROR(__xludf.DUMMYFUNCTION("""COMPUTED_VALUE"""),"N/A")</f>
        <v>N/A</v>
      </c>
      <c r="X246" s="4">
        <f>IFERROR(__xludf.DUMMYFUNCTION("""COMPUTED_VALUE"""),6.0)</f>
        <v>6</v>
      </c>
      <c r="Y246" s="4" t="str">
        <f>IFERROR(__xludf.DUMMYFUNCTION("""COMPUTED_VALUE"""),"Bag")</f>
        <v>Bag</v>
      </c>
      <c r="Z246" s="4" t="str">
        <f>IFERROR(__xludf.DUMMYFUNCTION("""COMPUTED_VALUE"""),"N/A")</f>
        <v>N/A</v>
      </c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</row>
    <row r="247">
      <c r="A247" s="4" t="str">
        <f>IFERROR(__xludf.DUMMYFUNCTION("""COMPUTED_VALUE"""),"CONNECTOR:   TERMINAL BLOCK 2.54MM 9POS top entry   [1888276] [TH]")</f>
        <v>CONNECTOR:   TERMINAL BLOCK 2.54MM 9POS top entry   [1888276] [TH]</v>
      </c>
      <c r="B247" s="4" t="str">
        <f>IFERROR(__xludf.DUMMYFUNCTION("""COMPUTED_VALUE"""),"OEPS070010")</f>
        <v>OEPS070010</v>
      </c>
      <c r="C247" s="4" t="str">
        <f>IFERROR(__xludf.DUMMYFUNCTION("""COMPUTED_VALUE"""),"TH")</f>
        <v>TH</v>
      </c>
      <c r="D247" s="4" t="str">
        <f>IFERROR(__xludf.DUMMYFUNCTION("""COMPUTED_VALUE"""),"1888276")</f>
        <v>1888276</v>
      </c>
      <c r="E247" s="4">
        <f>IFERROR(__xludf.DUMMYFUNCTION("""COMPUTED_VALUE"""),1.0)</f>
        <v>1</v>
      </c>
      <c r="F247" s="4" t="str">
        <f>IFERROR(__xludf.DUMMYFUNCTION("""COMPUTED_VALUE"""),"DigiKey")</f>
        <v>DigiKey</v>
      </c>
      <c r="G247" s="4" t="str">
        <f>IFERROR(__xludf.DUMMYFUNCTION("""COMPUTED_VALUE"""),"277-14292-ND")</f>
        <v>277-14292-ND</v>
      </c>
      <c r="H247" s="4"/>
      <c r="I247" s="4"/>
      <c r="J247" s="4"/>
      <c r="K247" s="4"/>
      <c r="L247" s="4"/>
      <c r="M247" s="4"/>
      <c r="N247" s="9" t="str">
        <f>IFERROR(__xludf.DUMMYFUNCTION("""COMPUTED_VALUE"""),"OEPS M05 008")</f>
        <v>OEPS M05 008</v>
      </c>
      <c r="O247" s="4" t="str">
        <f>IFERROR(__xludf.DUMMYFUNCTION("""COMPUTED_VALUE"""),"MINISMDC014F-2")</f>
        <v>MINISMDC014F-2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</row>
    <row r="248">
      <c r="A248" s="4" t="str">
        <f>IFERROR(__xludf.DUMMYFUNCTION("""COMPUTED_VALUE"""),"CONNECTOR:   TERMINAL BLOCK 8POS R/A 2.54MM   [1725711] [TH]")</f>
        <v>CONNECTOR:   TERMINAL BLOCK 8POS R/A 2.54MM   [1725711] [TH]</v>
      </c>
      <c r="B248" s="4" t="str">
        <f>IFERROR(__xludf.DUMMYFUNCTION("""COMPUTED_VALUE"""),"OEPS070140")</f>
        <v>OEPS070140</v>
      </c>
      <c r="C248" s="4" t="str">
        <f>IFERROR(__xludf.DUMMYFUNCTION("""COMPUTED_VALUE"""),"TH")</f>
        <v>TH</v>
      </c>
      <c r="D248" s="4" t="str">
        <f>IFERROR(__xludf.DUMMYFUNCTION("""COMPUTED_VALUE"""),"1725711")</f>
        <v>1725711</v>
      </c>
      <c r="E248" s="4">
        <f>IFERROR(__xludf.DUMMYFUNCTION("""COMPUTED_VALUE"""),1.0)</f>
        <v>1</v>
      </c>
      <c r="F248" s="4" t="str">
        <f>IFERROR(__xludf.DUMMYFUNCTION("""COMPUTED_VALUE"""),"DigiKey")</f>
        <v>DigiKey</v>
      </c>
      <c r="G248" s="4" t="str">
        <f>IFERROR(__xludf.DUMMYFUNCTION("""COMPUTED_VALUE"""),"277-1279-ND")</f>
        <v>277-1279-ND</v>
      </c>
      <c r="H248" s="4"/>
      <c r="I248" s="4"/>
      <c r="J248" s="4"/>
      <c r="K248" s="4"/>
      <c r="L248" s="4"/>
      <c r="M248" s="4"/>
      <c r="N248" s="9" t="str">
        <f>IFERROR(__xludf.DUMMYFUNCTION("""COMPUTED_VALUE"""),"OEPS M05 010")</f>
        <v>OEPS M05 010</v>
      </c>
      <c r="O248" s="4" t="str">
        <f>IFERROR(__xludf.DUMMYFUNCTION("""COMPUTED_VALUE"""),"RR0510R-49R9D")</f>
        <v>RR0510R-49R9D</v>
      </c>
      <c r="P248" s="4" t="str">
        <f>IFERROR(__xludf.DUMMYFUNCTION("""COMPUTED_VALUE"""),"212(R) ")</f>
        <v>212(R) </v>
      </c>
      <c r="Q248" s="4">
        <f>IFERROR(__xludf.DUMMYFUNCTION("""COMPUTED_VALUE"""),212.0)</f>
        <v>212</v>
      </c>
      <c r="R248" s="4">
        <f>IFERROR(__xludf.DUMMYFUNCTION("""COMPUTED_VALUE"""),212.0)</f>
        <v>212</v>
      </c>
      <c r="S248" s="4" t="str">
        <f>IFERROR(__xludf.DUMMYFUNCTION("""COMPUTED_VALUE"""),"Reel")</f>
        <v>Reel</v>
      </c>
      <c r="T248" s="4" t="str">
        <f>IFERROR(__xludf.DUMMYFUNCTION("""COMPUTED_VALUE"""),"XX21")</f>
        <v>XX21</v>
      </c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</row>
    <row r="249">
      <c r="A249" s="4" t="str">
        <f>IFERROR(__xludf.DUMMYFUNCTION("""COMPUTED_VALUE"""),"CONNECTOR:   TERMINAL BLOCK PLUG 2POS 3.5MM   [20.1550M/2-E] [TH]")</f>
        <v>CONNECTOR:   TERMINAL BLOCK PLUG 2POS 3.5MM   [20.1550M/2-E] [TH]</v>
      </c>
      <c r="B249" s="4" t="str">
        <f>IFERROR(__xludf.DUMMYFUNCTION("""COMPUTED_VALUE"""),"OEPS070059")</f>
        <v>OEPS070059</v>
      </c>
      <c r="C249" s="4" t="str">
        <f>IFERROR(__xludf.DUMMYFUNCTION("""COMPUTED_VALUE"""),"TH")</f>
        <v>TH</v>
      </c>
      <c r="D249" s="4" t="str">
        <f>IFERROR(__xludf.DUMMYFUNCTION("""COMPUTED_VALUE"""),"20.1550M/2-E")</f>
        <v>20.1550M/2-E</v>
      </c>
      <c r="E249" s="4">
        <f>IFERROR(__xludf.DUMMYFUNCTION("""COMPUTED_VALUE"""),1.0)</f>
        <v>1</v>
      </c>
      <c r="F249" s="4" t="str">
        <f>IFERROR(__xludf.DUMMYFUNCTION("""COMPUTED_VALUE"""),"Farnell")</f>
        <v>Farnell</v>
      </c>
      <c r="G249" s="4" t="str">
        <f>IFERROR(__xludf.DUMMYFUNCTION("""COMPUTED_VALUE"""),"2575215")</f>
        <v>2575215</v>
      </c>
      <c r="H249" s="4"/>
      <c r="I249" s="4"/>
      <c r="J249" s="4"/>
      <c r="K249" s="4"/>
      <c r="L249" s="4"/>
      <c r="M249" s="4"/>
      <c r="N249" s="9" t="str">
        <f>IFERROR(__xludf.DUMMYFUNCTION("""COMPUTED_VALUE"""),"OEPS M05 011")</f>
        <v>OEPS M05 011</v>
      </c>
      <c r="O249" s="4" t="str">
        <f>IFERROR(__xludf.DUMMYFUNCTION("""COMPUTED_VALUE"""),"RC0402FR-0760R4L")</f>
        <v>RC0402FR-0760R4L</v>
      </c>
      <c r="P249" s="4" t="str">
        <f>IFERROR(__xludf.DUMMYFUNCTION("""COMPUTED_VALUE"""),"45(R) 67(R) ")</f>
        <v>45(R) 67(R) </v>
      </c>
      <c r="Q249" s="4">
        <f>IFERROR(__xludf.DUMMYFUNCTION("""COMPUTED_VALUE"""),112.0)</f>
        <v>112</v>
      </c>
      <c r="R249" s="4">
        <f>IFERROR(__xludf.DUMMYFUNCTION("""COMPUTED_VALUE"""),45.0)</f>
        <v>45</v>
      </c>
      <c r="S249" s="4" t="str">
        <f>IFERROR(__xludf.DUMMYFUNCTION("""COMPUTED_VALUE"""),"Reel")</f>
        <v>Reel</v>
      </c>
      <c r="T249" s="4" t="str">
        <f>IFERROR(__xludf.DUMMYFUNCTION("""COMPUTED_VALUE"""),"0420")</f>
        <v>0420</v>
      </c>
      <c r="U249" s="4">
        <f>IFERROR(__xludf.DUMMYFUNCTION("""COMPUTED_VALUE"""),67.0)</f>
        <v>67</v>
      </c>
      <c r="V249" s="4" t="str">
        <f>IFERROR(__xludf.DUMMYFUNCTION("""COMPUTED_VALUE"""),"Reel")</f>
        <v>Reel</v>
      </c>
      <c r="W249" s="4" t="str">
        <f>IFERROR(__xludf.DUMMYFUNCTION("""COMPUTED_VALUE"""),"XX21")</f>
        <v>XX21</v>
      </c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</row>
    <row r="250">
      <c r="A250" s="4" t="str">
        <f>IFERROR(__xludf.DUMMYFUNCTION("""COMPUTED_VALUE"""),"CONNECTOR:   TERMINAL BLOCK PLUG 2POS 3.5MM   [691361100002] [TH]")</f>
        <v>CONNECTOR:   TERMINAL BLOCK PLUG 2POS 3.5MM   [691361100002] [TH]</v>
      </c>
      <c r="B250" s="4" t="str">
        <f>IFERROR(__xludf.DUMMYFUNCTION("""COMPUTED_VALUE"""),"OEPS070034")</f>
        <v>OEPS070034</v>
      </c>
      <c r="C250" s="4" t="str">
        <f>IFERROR(__xludf.DUMMYFUNCTION("""COMPUTED_VALUE"""),"TH")</f>
        <v>TH</v>
      </c>
      <c r="D250" s="4" t="str">
        <f>IFERROR(__xludf.DUMMYFUNCTION("""COMPUTED_VALUE"""),"691361100002")</f>
        <v>691361100002</v>
      </c>
      <c r="E250" s="4">
        <f>IFERROR(__xludf.DUMMYFUNCTION("""COMPUTED_VALUE"""),1.0)</f>
        <v>1</v>
      </c>
      <c r="F250" s="4" t="str">
        <f>IFERROR(__xludf.DUMMYFUNCTION("""COMPUTED_VALUE"""),"DigiKey")</f>
        <v>DigiKey</v>
      </c>
      <c r="G250" s="4" t="str">
        <f>IFERROR(__xludf.DUMMYFUNCTION("""COMPUTED_VALUE"""),"732-2751-ND")</f>
        <v>732-2751-ND</v>
      </c>
      <c r="H250" s="4"/>
      <c r="I250" s="4"/>
      <c r="J250" s="4"/>
      <c r="K250" s="4"/>
      <c r="L250" s="4"/>
      <c r="M250" s="4"/>
      <c r="N250" s="9" t="str">
        <f>IFERROR(__xludf.DUMMYFUNCTION("""COMPUTED_VALUE"""),"OEPS M05 012")</f>
        <v>OEPS M05 012</v>
      </c>
      <c r="O250" s="4" t="str">
        <f>IFERROR(__xludf.DUMMYFUNCTION("""COMPUTED_VALUE"""),"ERJ-2RKF1000X")</f>
        <v>ERJ-2RKF1000X</v>
      </c>
      <c r="P250" s="4" t="str">
        <f>IFERROR(__xludf.DUMMYFUNCTION("""COMPUTED_VALUE"""),"61(R) 85(R) ")</f>
        <v>61(R) 85(R) </v>
      </c>
      <c r="Q250" s="4">
        <f>IFERROR(__xludf.DUMMYFUNCTION("""COMPUTED_VALUE"""),146.0)</f>
        <v>146</v>
      </c>
      <c r="R250" s="4">
        <f>IFERROR(__xludf.DUMMYFUNCTION("""COMPUTED_VALUE"""),61.0)</f>
        <v>61</v>
      </c>
      <c r="S250" s="4" t="str">
        <f>IFERROR(__xludf.DUMMYFUNCTION("""COMPUTED_VALUE"""),"Reel")</f>
        <v>Reel</v>
      </c>
      <c r="T250" s="4" t="str">
        <f>IFERROR(__xludf.DUMMYFUNCTION("""COMPUTED_VALUE"""),"0420")</f>
        <v>0420</v>
      </c>
      <c r="U250" s="4">
        <f>IFERROR(__xludf.DUMMYFUNCTION("""COMPUTED_VALUE"""),85.0)</f>
        <v>85</v>
      </c>
      <c r="V250" s="4" t="str">
        <f>IFERROR(__xludf.DUMMYFUNCTION("""COMPUTED_VALUE"""),"Reel")</f>
        <v>Reel</v>
      </c>
      <c r="W250" s="4" t="str">
        <f>IFERROR(__xludf.DUMMYFUNCTION("""COMPUTED_VALUE"""),"XX21")</f>
        <v>XX21</v>
      </c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</row>
    <row r="251">
      <c r="A251" s="4" t="str">
        <f>IFERROR(__xludf.DUMMYFUNCTION("""COMPUTED_VALUE"""),"CONNECTOR:   TERMINAL BLOCK PLUG 3POS 3.5MM   [691361100003] [TH]")</f>
        <v>CONNECTOR:   TERMINAL BLOCK PLUG 3POS 3.5MM   [691361100003] [TH]</v>
      </c>
      <c r="B251" s="4" t="str">
        <f>IFERROR(__xludf.DUMMYFUNCTION("""COMPUTED_VALUE"""),"OEPS070047")</f>
        <v>OEPS070047</v>
      </c>
      <c r="C251" s="4" t="str">
        <f>IFERROR(__xludf.DUMMYFUNCTION("""COMPUTED_VALUE"""),"TH")</f>
        <v>TH</v>
      </c>
      <c r="D251" s="4" t="str">
        <f>IFERROR(__xludf.DUMMYFUNCTION("""COMPUTED_VALUE"""),"691361100003")</f>
        <v>691361100003</v>
      </c>
      <c r="E251" s="4">
        <f>IFERROR(__xludf.DUMMYFUNCTION("""COMPUTED_VALUE"""),1.0)</f>
        <v>1</v>
      </c>
      <c r="F251" s="4" t="str">
        <f>IFERROR(__xludf.DUMMYFUNCTION("""COMPUTED_VALUE"""),"DigiKey")</f>
        <v>DigiKey</v>
      </c>
      <c r="G251" s="4" t="str">
        <f>IFERROR(__xludf.DUMMYFUNCTION("""COMPUTED_VALUE"""),"732-2752-ND")</f>
        <v>732-2752-ND</v>
      </c>
      <c r="H251" s="4"/>
      <c r="I251" s="4"/>
      <c r="J251" s="4"/>
      <c r="K251" s="4"/>
      <c r="L251" s="4"/>
      <c r="M251" s="4"/>
      <c r="N251" s="9" t="str">
        <f>IFERROR(__xludf.DUMMYFUNCTION("""COMPUTED_VALUE"""),"OEPS M05 013")</f>
        <v>OEPS M05 013</v>
      </c>
      <c r="O251" s="4" t="str">
        <f>IFERROR(__xludf.DUMMYFUNCTION("""COMPUTED_VALUE"""),"CRGP0603F150R")</f>
        <v>CRGP0603F150R</v>
      </c>
      <c r="P251" s="4" t="str">
        <f>IFERROR(__xludf.DUMMYFUNCTION("""COMPUTED_VALUE"""),"285(R) ")</f>
        <v>285(R) </v>
      </c>
      <c r="Q251" s="4">
        <f>IFERROR(__xludf.DUMMYFUNCTION("""COMPUTED_VALUE"""),285.0)</f>
        <v>285</v>
      </c>
      <c r="R251" s="4">
        <f>IFERROR(__xludf.DUMMYFUNCTION("""COMPUTED_VALUE"""),285.0)</f>
        <v>285</v>
      </c>
      <c r="S251" s="4" t="str">
        <f>IFERROR(__xludf.DUMMYFUNCTION("""COMPUTED_VALUE"""),"Reel")</f>
        <v>Reel</v>
      </c>
      <c r="T251" s="4" t="str">
        <f>IFERROR(__xludf.DUMMYFUNCTION("""COMPUTED_VALUE"""),"XX21")</f>
        <v>XX21</v>
      </c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</row>
    <row r="252">
      <c r="A252" s="4" t="str">
        <f>IFERROR(__xludf.DUMMYFUNCTION("""COMPUTED_VALUE"""),"CONNECTOR:   TERMINAL BLOCK PLUG 4POS 3.5MM   [20.1550M/4-E] [TH]")</f>
        <v>CONNECTOR:   TERMINAL BLOCK PLUG 4POS 3.5MM   [20.1550M/4-E] [TH]</v>
      </c>
      <c r="B252" s="4" t="str">
        <f>IFERROR(__xludf.DUMMYFUNCTION("""COMPUTED_VALUE"""),"OEPS070060")</f>
        <v>OEPS070060</v>
      </c>
      <c r="C252" s="4" t="str">
        <f>IFERROR(__xludf.DUMMYFUNCTION("""COMPUTED_VALUE"""),"TH")</f>
        <v>TH</v>
      </c>
      <c r="D252" s="4" t="str">
        <f>IFERROR(__xludf.DUMMYFUNCTION("""COMPUTED_VALUE"""),"20.1550M/4-E")</f>
        <v>20.1550M/4-E</v>
      </c>
      <c r="E252" s="4">
        <f>IFERROR(__xludf.DUMMYFUNCTION("""COMPUTED_VALUE"""),1.0)</f>
        <v>1</v>
      </c>
      <c r="F252" s="4" t="str">
        <f>IFERROR(__xludf.DUMMYFUNCTION("""COMPUTED_VALUE"""),"Farnell")</f>
        <v>Farnell</v>
      </c>
      <c r="G252" s="4" t="str">
        <f>IFERROR(__xludf.DUMMYFUNCTION("""COMPUTED_VALUE"""),"2575217")</f>
        <v>2575217</v>
      </c>
      <c r="H252" s="4"/>
      <c r="I252" s="4"/>
      <c r="J252" s="4"/>
      <c r="K252" s="4"/>
      <c r="L252" s="4"/>
      <c r="M252" s="4"/>
      <c r="N252" s="9" t="str">
        <f>IFERROR(__xludf.DUMMYFUNCTION("""COMPUTED_VALUE"""),"OEPS M05 014")</f>
        <v>OEPS M05 014</v>
      </c>
      <c r="O252" s="4" t="str">
        <f>IFERROR(__xludf.DUMMYFUNCTION("""COMPUTED_VALUE"""),"ERJ-2RKF1001X")</f>
        <v>ERJ-2RKF1001X</v>
      </c>
      <c r="P252" s="4" t="str">
        <f>IFERROR(__xludf.DUMMYFUNCTION("""COMPUTED_VALUE"""),"252(R) 108(R) ")</f>
        <v>252(R) 108(R) </v>
      </c>
      <c r="Q252" s="4">
        <f>IFERROR(__xludf.DUMMYFUNCTION("""COMPUTED_VALUE"""),360.0)</f>
        <v>360</v>
      </c>
      <c r="R252" s="4">
        <f>IFERROR(__xludf.DUMMYFUNCTION("""COMPUTED_VALUE"""),252.0)</f>
        <v>252</v>
      </c>
      <c r="S252" s="4" t="str">
        <f>IFERROR(__xludf.DUMMYFUNCTION("""COMPUTED_VALUE"""),"Reel")</f>
        <v>Reel</v>
      </c>
      <c r="T252" s="4" t="str">
        <f>IFERROR(__xludf.DUMMYFUNCTION("""COMPUTED_VALUE"""),"XX21")</f>
        <v>XX21</v>
      </c>
      <c r="U252" s="4">
        <f>IFERROR(__xludf.DUMMYFUNCTION("""COMPUTED_VALUE"""),108.0)</f>
        <v>108</v>
      </c>
      <c r="V252" s="4" t="str">
        <f>IFERROR(__xludf.DUMMYFUNCTION("""COMPUTED_VALUE"""),"Reel")</f>
        <v>Reel</v>
      </c>
      <c r="W252" s="4" t="str">
        <f>IFERROR(__xludf.DUMMYFUNCTION("""COMPUTED_VALUE"""),"0420")</f>
        <v>0420</v>
      </c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</row>
    <row r="253">
      <c r="A253" s="4" t="str">
        <f>IFERROR(__xludf.DUMMYFUNCTION("""COMPUTED_VALUE"""),"CONNECTOR:   TERMINAL BLOCK PLUG 4POS 3.5MM   [691361100004] [TH]")</f>
        <v>CONNECTOR:   TERMINAL BLOCK PLUG 4POS 3.5MM   [691361100004] [TH]</v>
      </c>
      <c r="B253" s="4" t="str">
        <f>IFERROR(__xludf.DUMMYFUNCTION("""COMPUTED_VALUE"""),"OEPS070082")</f>
        <v>OEPS070082</v>
      </c>
      <c r="C253" s="4" t="str">
        <f>IFERROR(__xludf.DUMMYFUNCTION("""COMPUTED_VALUE"""),"TH")</f>
        <v>TH</v>
      </c>
      <c r="D253" s="4" t="str">
        <f>IFERROR(__xludf.DUMMYFUNCTION("""COMPUTED_VALUE"""),"691361100004")</f>
        <v>691361100004</v>
      </c>
      <c r="E253" s="4">
        <f>IFERROR(__xludf.DUMMYFUNCTION("""COMPUTED_VALUE"""),1.0)</f>
        <v>1</v>
      </c>
      <c r="F253" s="4" t="str">
        <f>IFERROR(__xludf.DUMMYFUNCTION("""COMPUTED_VALUE"""),"DigiKey")</f>
        <v>DigiKey</v>
      </c>
      <c r="G253" s="4" t="str">
        <f>IFERROR(__xludf.DUMMYFUNCTION("""COMPUTED_VALUE"""),"732-2753-ND")</f>
        <v>732-2753-ND</v>
      </c>
      <c r="H253" s="4"/>
      <c r="I253" s="4"/>
      <c r="J253" s="4"/>
      <c r="K253" s="4"/>
      <c r="L253" s="4"/>
      <c r="M253" s="4"/>
      <c r="N253" s="9" t="str">
        <f>IFERROR(__xludf.DUMMYFUNCTION("""COMPUTED_VALUE"""),"OEPS M05 015")</f>
        <v>OEPS M05 015</v>
      </c>
      <c r="O253" s="4" t="str">
        <f>IFERROR(__xludf.DUMMYFUNCTION("""COMPUTED_VALUE"""),"ERJ-2RKF2001X")</f>
        <v>ERJ-2RKF2001X</v>
      </c>
      <c r="P253" s="4" t="str">
        <f>IFERROR(__xludf.DUMMYFUNCTION("""COMPUTED_VALUE"""),"183(R) 211(R) ")</f>
        <v>183(R) 211(R) </v>
      </c>
      <c r="Q253" s="4">
        <f>IFERROR(__xludf.DUMMYFUNCTION("""COMPUTED_VALUE"""),394.0)</f>
        <v>394</v>
      </c>
      <c r="R253" s="4">
        <f>IFERROR(__xludf.DUMMYFUNCTION("""COMPUTED_VALUE"""),183.0)</f>
        <v>183</v>
      </c>
      <c r="S253" s="4" t="str">
        <f>IFERROR(__xludf.DUMMYFUNCTION("""COMPUTED_VALUE"""),"Reel")</f>
        <v>Reel</v>
      </c>
      <c r="T253" s="4" t="str">
        <f>IFERROR(__xludf.DUMMYFUNCTION("""COMPUTED_VALUE"""),"0420")</f>
        <v>0420</v>
      </c>
      <c r="U253" s="4">
        <f>IFERROR(__xludf.DUMMYFUNCTION("""COMPUTED_VALUE"""),211.0)</f>
        <v>211</v>
      </c>
      <c r="V253" s="4" t="str">
        <f>IFERROR(__xludf.DUMMYFUNCTION("""COMPUTED_VALUE"""),"Reel")</f>
        <v>Reel</v>
      </c>
      <c r="W253" s="4" t="str">
        <f>IFERROR(__xludf.DUMMYFUNCTION("""COMPUTED_VALUE"""),"XXXX")</f>
        <v>XXXX</v>
      </c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</row>
    <row r="254">
      <c r="A254" s="4" t="str">
        <f>IFERROR(__xludf.DUMMYFUNCTION("""COMPUTED_VALUE"""),"CONNECTOR:   TERMINAL BLOCK PLUG 4POS 5.08MM   [1729144] [TH]")</f>
        <v>CONNECTOR:   TERMINAL BLOCK PLUG 4POS 5.08MM   [1729144] [TH]</v>
      </c>
      <c r="B254" s="4" t="str">
        <f>IFERROR(__xludf.DUMMYFUNCTION("""COMPUTED_VALUE"""),"OEPS070123")</f>
        <v>OEPS070123</v>
      </c>
      <c r="C254" s="4" t="str">
        <f>IFERROR(__xludf.DUMMYFUNCTION("""COMPUTED_VALUE"""),"TH")</f>
        <v>TH</v>
      </c>
      <c r="D254" s="4" t="str">
        <f>IFERROR(__xludf.DUMMYFUNCTION("""COMPUTED_VALUE"""),"1729144")</f>
        <v>1729144</v>
      </c>
      <c r="E254" s="4">
        <f>IFERROR(__xludf.DUMMYFUNCTION("""COMPUTED_VALUE"""),1.0)</f>
        <v>1</v>
      </c>
      <c r="F254" s="4" t="str">
        <f>IFERROR(__xludf.DUMMYFUNCTION("""COMPUTED_VALUE"""),"Farnell")</f>
        <v>Farnell</v>
      </c>
      <c r="G254" s="4" t="str">
        <f>IFERROR(__xludf.DUMMYFUNCTION("""COMPUTED_VALUE"""),"3041475")</f>
        <v>3041475</v>
      </c>
      <c r="H254" s="4"/>
      <c r="I254" s="4"/>
      <c r="J254" s="4"/>
      <c r="K254" s="4"/>
      <c r="L254" s="4"/>
      <c r="M254" s="4"/>
      <c r="N254" s="9" t="str">
        <f>IFERROR(__xludf.DUMMYFUNCTION("""COMPUTED_VALUE"""),"OEPS M05 016")</f>
        <v>OEPS M05 016</v>
      </c>
      <c r="O254" s="4" t="str">
        <f>IFERROR(__xludf.DUMMYFUNCTION("""COMPUTED_VALUE"""),"EXB-2HV222JV")</f>
        <v>EXB-2HV222JV</v>
      </c>
      <c r="P254" s="4" t="str">
        <f>IFERROR(__xludf.DUMMYFUNCTION("""COMPUTED_VALUE"""),"162(R) ")</f>
        <v>162(R) </v>
      </c>
      <c r="Q254" s="4">
        <f>IFERROR(__xludf.DUMMYFUNCTION("""COMPUTED_VALUE"""),162.0)</f>
        <v>162</v>
      </c>
      <c r="R254" s="4">
        <f>IFERROR(__xludf.DUMMYFUNCTION("""COMPUTED_VALUE"""),162.0)</f>
        <v>162</v>
      </c>
      <c r="S254" s="4" t="str">
        <f>IFERROR(__xludf.DUMMYFUNCTION("""COMPUTED_VALUE"""),"Reel")</f>
        <v>Reel</v>
      </c>
      <c r="T254" s="4" t="str">
        <f>IFERROR(__xludf.DUMMYFUNCTION("""COMPUTED_VALUE"""),"XX21")</f>
        <v>XX21</v>
      </c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</row>
    <row r="255">
      <c r="A255" s="4" t="str">
        <f>IFERROR(__xludf.DUMMYFUNCTION("""COMPUTED_VALUE"""),"CONNECTOR:   TERMINAL BLOCK PLUG 5POS 3.5MM   [20.1550M/5-E] [Other]")</f>
        <v>CONNECTOR:   TERMINAL BLOCK PLUG 5POS 3.5MM   [20.1550M/5-E] [Other]</v>
      </c>
      <c r="B255" s="4" t="str">
        <f>IFERROR(__xludf.DUMMYFUNCTION("""COMPUTED_VALUE"""),"OEPS070038")</f>
        <v>OEPS070038</v>
      </c>
      <c r="C255" s="4" t="str">
        <f>IFERROR(__xludf.DUMMYFUNCTION("""COMPUTED_VALUE"""),"Other")</f>
        <v>Other</v>
      </c>
      <c r="D255" s="4" t="str">
        <f>IFERROR(__xludf.DUMMYFUNCTION("""COMPUTED_VALUE"""),"20.1550M/5-E")</f>
        <v>20.1550M/5-E</v>
      </c>
      <c r="E255" s="4">
        <f>IFERROR(__xludf.DUMMYFUNCTION("""COMPUTED_VALUE"""),1.0)</f>
        <v>1</v>
      </c>
      <c r="F255" s="4" t="str">
        <f>IFERROR(__xludf.DUMMYFUNCTION("""COMPUTED_VALUE"""),"Farnell")</f>
        <v>Farnell</v>
      </c>
      <c r="G255" s="4" t="str">
        <f>IFERROR(__xludf.DUMMYFUNCTION("""COMPUTED_VALUE"""),"2575218")</f>
        <v>2575218</v>
      </c>
      <c r="H255" s="4"/>
      <c r="I255" s="4"/>
      <c r="J255" s="4"/>
      <c r="K255" s="4"/>
      <c r="L255" s="4"/>
      <c r="M255" s="4"/>
      <c r="N255" s="9" t="str">
        <f>IFERROR(__xludf.DUMMYFUNCTION("""COMPUTED_VALUE"""),"OEPS M05 017")</f>
        <v>OEPS M05 017</v>
      </c>
      <c r="O255" s="4" t="str">
        <f>IFERROR(__xludf.DUMMYFUNCTION("""COMPUTED_VALUE"""),"ERJ-2RKF3001X")</f>
        <v>ERJ-2RKF3001X</v>
      </c>
      <c r="P255" s="4" t="str">
        <f>IFERROR(__xludf.DUMMYFUNCTION("""COMPUTED_VALUE"""),"126(R) 94(R) ")</f>
        <v>126(R) 94(R) </v>
      </c>
      <c r="Q255" s="4">
        <f>IFERROR(__xludf.DUMMYFUNCTION("""COMPUTED_VALUE"""),220.0)</f>
        <v>220</v>
      </c>
      <c r="R255" s="4">
        <f>IFERROR(__xludf.DUMMYFUNCTION("""COMPUTED_VALUE"""),126.0)</f>
        <v>126</v>
      </c>
      <c r="S255" s="4" t="str">
        <f>IFERROR(__xludf.DUMMYFUNCTION("""COMPUTED_VALUE"""),"Reel")</f>
        <v>Reel</v>
      </c>
      <c r="T255" s="4" t="str">
        <f>IFERROR(__xludf.DUMMYFUNCTION("""COMPUTED_VALUE"""),"0420")</f>
        <v>0420</v>
      </c>
      <c r="U255" s="4">
        <f>IFERROR(__xludf.DUMMYFUNCTION("""COMPUTED_VALUE"""),94.0)</f>
        <v>94</v>
      </c>
      <c r="V255" s="4" t="str">
        <f>IFERROR(__xludf.DUMMYFUNCTION("""COMPUTED_VALUE"""),"Reel")</f>
        <v>Reel</v>
      </c>
      <c r="W255" s="4" t="str">
        <f>IFERROR(__xludf.DUMMYFUNCTION("""COMPUTED_VALUE"""),"XX21")</f>
        <v>XX21</v>
      </c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</row>
    <row r="256">
      <c r="A256" s="4" t="str">
        <f>IFERROR(__xludf.DUMMYFUNCTION("""COMPUTED_VALUE"""),"CONNECTOR:   TERMINAL BLOCK PLUG 6POS 3.5MM   [20.1550M/6-E] [TH]")</f>
        <v>CONNECTOR:   TERMINAL BLOCK PLUG 6POS 3.5MM   [20.1550M/6-E] [TH]</v>
      </c>
      <c r="B256" s="4" t="str">
        <f>IFERROR(__xludf.DUMMYFUNCTION("""COMPUTED_VALUE"""),"OEPS070043")</f>
        <v>OEPS070043</v>
      </c>
      <c r="C256" s="4" t="str">
        <f>IFERROR(__xludf.DUMMYFUNCTION("""COMPUTED_VALUE"""),"TH")</f>
        <v>TH</v>
      </c>
      <c r="D256" s="4" t="str">
        <f>IFERROR(__xludf.DUMMYFUNCTION("""COMPUTED_VALUE"""),"20.1550M/6-E")</f>
        <v>20.1550M/6-E</v>
      </c>
      <c r="E256" s="4">
        <f>IFERROR(__xludf.DUMMYFUNCTION("""COMPUTED_VALUE"""),1.0)</f>
        <v>1</v>
      </c>
      <c r="F256" s="4" t="str">
        <f>IFERROR(__xludf.DUMMYFUNCTION("""COMPUTED_VALUE"""),"Farnell")</f>
        <v>Farnell</v>
      </c>
      <c r="G256" s="4" t="str">
        <f>IFERROR(__xludf.DUMMYFUNCTION("""COMPUTED_VALUE"""),"2575219")</f>
        <v>2575219</v>
      </c>
      <c r="H256" s="4"/>
      <c r="I256" s="4"/>
      <c r="J256" s="4"/>
      <c r="K256" s="4"/>
      <c r="L256" s="4"/>
      <c r="M256" s="4"/>
      <c r="N256" s="9" t="str">
        <f>IFERROR(__xludf.DUMMYFUNCTION("""COMPUTED_VALUE"""),"OEPS M05 018")</f>
        <v>OEPS M05 018</v>
      </c>
      <c r="O256" s="4" t="str">
        <f>IFERROR(__xludf.DUMMYFUNCTION("""COMPUTED_VALUE"""),"ERJ-2RKF3481X")</f>
        <v>ERJ-2RKF3481X</v>
      </c>
      <c r="P256" s="4" t="str">
        <f>IFERROR(__xludf.DUMMYFUNCTION("""COMPUTED_VALUE"""),"120(R) ")</f>
        <v>120(R) </v>
      </c>
      <c r="Q256" s="4">
        <f>IFERROR(__xludf.DUMMYFUNCTION("""COMPUTED_VALUE"""),120.0)</f>
        <v>120</v>
      </c>
      <c r="R256" s="4">
        <f>IFERROR(__xludf.DUMMYFUNCTION("""COMPUTED_VALUE"""),120.0)</f>
        <v>120</v>
      </c>
      <c r="S256" s="4" t="str">
        <f>IFERROR(__xludf.DUMMYFUNCTION("""COMPUTED_VALUE"""),"Reel")</f>
        <v>Reel</v>
      </c>
      <c r="T256" s="4" t="str">
        <f>IFERROR(__xludf.DUMMYFUNCTION("""COMPUTED_VALUE"""),"XX1")</f>
        <v>XX1</v>
      </c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</row>
    <row r="257">
      <c r="A257" s="4" t="str">
        <f>IFERROR(__xludf.DUMMYFUNCTION("""COMPUTED_VALUE"""),"CONNECTOR:   TERMINAL BLOCK PLUG 8POS 3.5MM   [691361100008] [TH]")</f>
        <v>CONNECTOR:   TERMINAL BLOCK PLUG 8POS 3.5MM   [691361100008] [TH]</v>
      </c>
      <c r="B257" s="4" t="str">
        <f>IFERROR(__xludf.DUMMYFUNCTION("""COMPUTED_VALUE"""),"OEPS070033")</f>
        <v>OEPS070033</v>
      </c>
      <c r="C257" s="4" t="str">
        <f>IFERROR(__xludf.DUMMYFUNCTION("""COMPUTED_VALUE"""),"TH")</f>
        <v>TH</v>
      </c>
      <c r="D257" s="4" t="str">
        <f>IFERROR(__xludf.DUMMYFUNCTION("""COMPUTED_VALUE"""),"691361100008")</f>
        <v>691361100008</v>
      </c>
      <c r="E257" s="4">
        <f>IFERROR(__xludf.DUMMYFUNCTION("""COMPUTED_VALUE"""),1.0)</f>
        <v>1</v>
      </c>
      <c r="F257" s="4" t="str">
        <f>IFERROR(__xludf.DUMMYFUNCTION("""COMPUTED_VALUE"""),"DigiKey")</f>
        <v>DigiKey</v>
      </c>
      <c r="G257" s="4" t="str">
        <f>IFERROR(__xludf.DUMMYFUNCTION("""COMPUTED_VALUE"""),"732-2756-ND")</f>
        <v>732-2756-ND</v>
      </c>
      <c r="H257" s="4"/>
      <c r="I257" s="4"/>
      <c r="J257" s="4"/>
      <c r="K257" s="4"/>
      <c r="L257" s="4"/>
      <c r="M257" s="4"/>
      <c r="N257" s="9" t="str">
        <f>IFERROR(__xludf.DUMMYFUNCTION("""COMPUTED_VALUE"""),"OEPS M05 019")</f>
        <v>OEPS M05 019</v>
      </c>
      <c r="O257" s="4" t="str">
        <f>IFERROR(__xludf.DUMMYFUNCTION("""COMPUTED_VALUE"""),"ERJ-2RKF4701X")</f>
        <v>ERJ-2RKF4701X</v>
      </c>
      <c r="P257" s="4" t="str">
        <f>IFERROR(__xludf.DUMMYFUNCTION("""COMPUTED_VALUE"""),"251(R) 226(R) ")</f>
        <v>251(R) 226(R) </v>
      </c>
      <c r="Q257" s="4">
        <f>IFERROR(__xludf.DUMMYFUNCTION("""COMPUTED_VALUE"""),477.0)</f>
        <v>477</v>
      </c>
      <c r="R257" s="4">
        <f>IFERROR(__xludf.DUMMYFUNCTION("""COMPUTED_VALUE"""),251.0)</f>
        <v>251</v>
      </c>
      <c r="S257" s="4" t="str">
        <f>IFERROR(__xludf.DUMMYFUNCTION("""COMPUTED_VALUE"""),"Reel")</f>
        <v>Reel</v>
      </c>
      <c r="T257" s="4" t="str">
        <f>IFERROR(__xludf.DUMMYFUNCTION("""COMPUTED_VALUE"""),"XX21")</f>
        <v>XX21</v>
      </c>
      <c r="U257" s="4">
        <f>IFERROR(__xludf.DUMMYFUNCTION("""COMPUTED_VALUE"""),226.0)</f>
        <v>226</v>
      </c>
      <c r="V257" s="4" t="str">
        <f>IFERROR(__xludf.DUMMYFUNCTION("""COMPUTED_VALUE"""),"Reel")</f>
        <v>Reel</v>
      </c>
      <c r="W257" s="4" t="str">
        <f>IFERROR(__xludf.DUMMYFUNCTION("""COMPUTED_VALUE"""),"0420")</f>
        <v>0420</v>
      </c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</row>
    <row r="258">
      <c r="A258" s="4" t="str">
        <f>IFERROR(__xludf.DUMMYFUNCTION("""COMPUTED_VALUE"""),"CONNECTOR:   TERMINAL BLOCK SOCKET 2POS 3.5MM   [ED555/2DS] [TH]")</f>
        <v>CONNECTOR:   TERMINAL BLOCK SOCKET 2POS 3.5MM   [ED555/2DS] [TH]</v>
      </c>
      <c r="B258" s="4" t="str">
        <f>IFERROR(__xludf.DUMMYFUNCTION("""COMPUTED_VALUE"""),"OEPS070087")</f>
        <v>OEPS070087</v>
      </c>
      <c r="C258" s="4" t="str">
        <f>IFERROR(__xludf.DUMMYFUNCTION("""COMPUTED_VALUE"""),"TH")</f>
        <v>TH</v>
      </c>
      <c r="D258" s="4" t="str">
        <f>IFERROR(__xludf.DUMMYFUNCTION("""COMPUTED_VALUE"""),"ED555/2DS")</f>
        <v>ED555/2DS</v>
      </c>
      <c r="E258" s="4">
        <f>IFERROR(__xludf.DUMMYFUNCTION("""COMPUTED_VALUE"""),1.0)</f>
        <v>1</v>
      </c>
      <c r="F258" s="4" t="str">
        <f>IFERROR(__xludf.DUMMYFUNCTION("""COMPUTED_VALUE"""),"DigiKey")</f>
        <v>DigiKey</v>
      </c>
      <c r="G258" s="4" t="str">
        <f>IFERROR(__xludf.DUMMYFUNCTION("""COMPUTED_VALUE"""),"ED1514-ND")</f>
        <v>ED1514-ND</v>
      </c>
      <c r="H258" s="4"/>
      <c r="I258" s="4"/>
      <c r="J258" s="4"/>
      <c r="K258" s="4"/>
      <c r="L258" s="4"/>
      <c r="M258" s="4"/>
      <c r="N258" s="9" t="str">
        <f>IFERROR(__xludf.DUMMYFUNCTION("""COMPUTED_VALUE"""),"OEPS M05 020")</f>
        <v>OEPS M05 020</v>
      </c>
      <c r="O258" s="4" t="str">
        <f>IFERROR(__xludf.DUMMYFUNCTION("""COMPUTED_VALUE"""),"ERJ-2RKF5601X")</f>
        <v>ERJ-2RKF5601X</v>
      </c>
      <c r="P258" s="4" t="str">
        <f>IFERROR(__xludf.DUMMYFUNCTION("""COMPUTED_VALUE"""),"100(R) 24(R) ")</f>
        <v>100(R) 24(R) </v>
      </c>
      <c r="Q258" s="4">
        <f>IFERROR(__xludf.DUMMYFUNCTION("""COMPUTED_VALUE"""),124.0)</f>
        <v>124</v>
      </c>
      <c r="R258" s="4">
        <f>IFERROR(__xludf.DUMMYFUNCTION("""COMPUTED_VALUE"""),100.0)</f>
        <v>100</v>
      </c>
      <c r="S258" s="4" t="str">
        <f>IFERROR(__xludf.DUMMYFUNCTION("""COMPUTED_VALUE"""),"Reel")</f>
        <v>Reel</v>
      </c>
      <c r="T258" s="4" t="str">
        <f>IFERROR(__xludf.DUMMYFUNCTION("""COMPUTED_VALUE"""),"XX21")</f>
        <v>XX21</v>
      </c>
      <c r="U258" s="4">
        <f>IFERROR(__xludf.DUMMYFUNCTION("""COMPUTED_VALUE"""),24.0)</f>
        <v>24</v>
      </c>
      <c r="V258" s="4" t="str">
        <f>IFERROR(__xludf.DUMMYFUNCTION("""COMPUTED_VALUE"""),"Reel")</f>
        <v>Reel</v>
      </c>
      <c r="W258" s="4" t="str">
        <f>IFERROR(__xludf.DUMMYFUNCTION("""COMPUTED_VALUE"""),"0420")</f>
        <v>0420</v>
      </c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</row>
    <row r="259">
      <c r="A259" s="4" t="str">
        <f>IFERROR(__xludf.DUMMYFUNCTION("""COMPUTED_VALUE"""),"CONNECTOR:   TERMINAL BLOCK SOCKET 2POS R/A 3.5MM   [20.155MH/2-E] [TH]")</f>
        <v>CONNECTOR:   TERMINAL BLOCK SOCKET 2POS R/A 3.5MM   [20.155MH/2-E] [TH]</v>
      </c>
      <c r="B259" s="4" t="str">
        <f>IFERROR(__xludf.DUMMYFUNCTION("""COMPUTED_VALUE"""),"OEPS070057")</f>
        <v>OEPS070057</v>
      </c>
      <c r="C259" s="4" t="str">
        <f>IFERROR(__xludf.DUMMYFUNCTION("""COMPUTED_VALUE"""),"TH")</f>
        <v>TH</v>
      </c>
      <c r="D259" s="4" t="str">
        <f>IFERROR(__xludf.DUMMYFUNCTION("""COMPUTED_VALUE"""),"20.155MH/2-E")</f>
        <v>20.155MH/2-E</v>
      </c>
      <c r="E259" s="4">
        <f>IFERROR(__xludf.DUMMYFUNCTION("""COMPUTED_VALUE"""),1.0)</f>
        <v>1</v>
      </c>
      <c r="F259" s="4" t="str">
        <f>IFERROR(__xludf.DUMMYFUNCTION("""COMPUTED_VALUE"""),"Farnell")</f>
        <v>Farnell</v>
      </c>
      <c r="G259" s="4" t="str">
        <f>IFERROR(__xludf.DUMMYFUNCTION("""COMPUTED_VALUE"""),"2517858")</f>
        <v>2517858</v>
      </c>
      <c r="H259" s="4"/>
      <c r="I259" s="4"/>
      <c r="J259" s="4"/>
      <c r="K259" s="4"/>
      <c r="L259" s="4"/>
      <c r="M259" s="4"/>
      <c r="N259" s="9" t="str">
        <f>IFERROR(__xludf.DUMMYFUNCTION("""COMPUTED_VALUE"""),"OEPS M05 021")</f>
        <v>OEPS M05 021</v>
      </c>
      <c r="O259" s="4" t="str">
        <f>IFERROR(__xludf.DUMMYFUNCTION("""COMPUTED_VALUE"""),"ERJ-2RKF1002X")</f>
        <v>ERJ-2RKF1002X</v>
      </c>
      <c r="P259" s="4" t="str">
        <f>IFERROR(__xludf.DUMMYFUNCTION("""COMPUTED_VALUE"""),"254(R) 350(R) ")</f>
        <v>254(R) 350(R) </v>
      </c>
      <c r="Q259" s="4">
        <f>IFERROR(__xludf.DUMMYFUNCTION("""COMPUTED_VALUE"""),604.0)</f>
        <v>604</v>
      </c>
      <c r="R259" s="4"/>
      <c r="S259" s="4"/>
      <c r="T259" s="4"/>
      <c r="U259" s="4">
        <f>IFERROR(__xludf.DUMMYFUNCTION("""COMPUTED_VALUE"""),254.0)</f>
        <v>254</v>
      </c>
      <c r="V259" s="4" t="str">
        <f>IFERROR(__xludf.DUMMYFUNCTION("""COMPUTED_VALUE"""),"Reel")</f>
        <v>Reel</v>
      </c>
      <c r="W259" s="4" t="str">
        <f>IFERROR(__xludf.DUMMYFUNCTION("""COMPUTED_VALUE"""),"XX21")</f>
        <v>XX21</v>
      </c>
      <c r="X259" s="4">
        <f>IFERROR(__xludf.DUMMYFUNCTION("""COMPUTED_VALUE"""),350.0)</f>
        <v>350</v>
      </c>
      <c r="Y259" s="4" t="str">
        <f>IFERROR(__xludf.DUMMYFUNCTION("""COMPUTED_VALUE"""),"Reel")</f>
        <v>Reel</v>
      </c>
      <c r="Z259" s="4" t="str">
        <f>IFERROR(__xludf.DUMMYFUNCTION("""COMPUTED_VALUE"""),"0122")</f>
        <v>0122</v>
      </c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</row>
    <row r="260">
      <c r="A260" s="4" t="str">
        <f>IFERROR(__xludf.DUMMYFUNCTION("""COMPUTED_VALUE"""),"CONNECTOR:   TERMINAL BLOCK SOCKET 2POS R/A 3.5MM   [691322110002] [TH]")</f>
        <v>CONNECTOR:   TERMINAL BLOCK SOCKET 2POS R/A 3.5MM   [691322110002] [TH]</v>
      </c>
      <c r="B260" s="4" t="str">
        <f>IFERROR(__xludf.DUMMYFUNCTION("""COMPUTED_VALUE"""),"OEPS070032")</f>
        <v>OEPS070032</v>
      </c>
      <c r="C260" s="4" t="str">
        <f>IFERROR(__xludf.DUMMYFUNCTION("""COMPUTED_VALUE"""),"TH")</f>
        <v>TH</v>
      </c>
      <c r="D260" s="4" t="str">
        <f>IFERROR(__xludf.DUMMYFUNCTION("""COMPUTED_VALUE"""),"691322110002")</f>
        <v>691322110002</v>
      </c>
      <c r="E260" s="4">
        <f>IFERROR(__xludf.DUMMYFUNCTION("""COMPUTED_VALUE"""),1.0)</f>
        <v>1</v>
      </c>
      <c r="F260" s="4" t="str">
        <f>IFERROR(__xludf.DUMMYFUNCTION("""COMPUTED_VALUE"""),"DigiKey")</f>
        <v>DigiKey</v>
      </c>
      <c r="G260" s="4" t="str">
        <f>IFERROR(__xludf.DUMMYFUNCTION("""COMPUTED_VALUE"""),"732-2769-ND")</f>
        <v>732-2769-ND</v>
      </c>
      <c r="H260" s="4"/>
      <c r="I260" s="4"/>
      <c r="J260" s="4"/>
      <c r="K260" s="4"/>
      <c r="L260" s="4"/>
      <c r="M260" s="4"/>
      <c r="N260" s="9" t="str">
        <f>IFERROR(__xludf.DUMMYFUNCTION("""COMPUTED_VALUE"""),"OEPS M05 022")</f>
        <v>OEPS M05 022</v>
      </c>
      <c r="O260" s="4" t="str">
        <f>IFERROR(__xludf.DUMMYFUNCTION("""COMPUTED_VALUE"""),"ERJ-2RKF1502X")</f>
        <v>ERJ-2RKF1502X</v>
      </c>
      <c r="P260" s="4" t="str">
        <f>IFERROR(__xludf.DUMMYFUNCTION("""COMPUTED_VALUE"""),"80(R) ")</f>
        <v>80(R) </v>
      </c>
      <c r="Q260" s="4">
        <f>IFERROR(__xludf.DUMMYFUNCTION("""COMPUTED_VALUE"""),80.0)</f>
        <v>80</v>
      </c>
      <c r="R260" s="4">
        <f>IFERROR(__xludf.DUMMYFUNCTION("""COMPUTED_VALUE"""),80.0)</f>
        <v>80</v>
      </c>
      <c r="S260" s="4" t="str">
        <f>IFERROR(__xludf.DUMMYFUNCTION("""COMPUTED_VALUE"""),"Reel")</f>
        <v>Reel</v>
      </c>
      <c r="T260" s="4" t="str">
        <f>IFERROR(__xludf.DUMMYFUNCTION("""COMPUTED_VALUE"""),"1120")</f>
        <v>1120</v>
      </c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</row>
    <row r="261">
      <c r="A261" s="4" t="str">
        <f>IFERROR(__xludf.DUMMYFUNCTION("""COMPUTED_VALUE"""),"CONNECTOR:   TERMINAL BLOCK SOCKET 3POS 55DEG 3.5MM   [1751109] [TH]")</f>
        <v>CONNECTOR:   TERMINAL BLOCK SOCKET 3POS 55DEG 3.5MM   [1751109] [TH]</v>
      </c>
      <c r="B261" s="4" t="str">
        <f>IFERROR(__xludf.DUMMYFUNCTION("""COMPUTED_VALUE"""),"OEPS070074")</f>
        <v>OEPS070074</v>
      </c>
      <c r="C261" s="4" t="str">
        <f>IFERROR(__xludf.DUMMYFUNCTION("""COMPUTED_VALUE"""),"TH")</f>
        <v>TH</v>
      </c>
      <c r="D261" s="4" t="str">
        <f>IFERROR(__xludf.DUMMYFUNCTION("""COMPUTED_VALUE"""),"1751109")</f>
        <v>1751109</v>
      </c>
      <c r="E261" s="4">
        <f>IFERROR(__xludf.DUMMYFUNCTION("""COMPUTED_VALUE"""),1.0)</f>
        <v>1</v>
      </c>
      <c r="F261" s="4" t="str">
        <f>IFERROR(__xludf.DUMMYFUNCTION("""COMPUTED_VALUE"""),"DigiKey")</f>
        <v>DigiKey</v>
      </c>
      <c r="G261" s="4" t="str">
        <f>IFERROR(__xludf.DUMMYFUNCTION("""COMPUTED_VALUE"""),"277-5930-ND")</f>
        <v>277-5930-ND</v>
      </c>
      <c r="H261" s="4"/>
      <c r="I261" s="4"/>
      <c r="J261" s="4"/>
      <c r="K261" s="4"/>
      <c r="L261" s="4"/>
      <c r="M261" s="4"/>
      <c r="N261" s="9" t="str">
        <f>IFERROR(__xludf.DUMMYFUNCTION("""COMPUTED_VALUE"""),"OEPS M05 023")</f>
        <v>OEPS M05 023</v>
      </c>
      <c r="O261" s="4" t="str">
        <f>IFERROR(__xludf.DUMMYFUNCTION("""COMPUTED_VALUE"""),"ERJ-2RKF2102X")</f>
        <v>ERJ-2RKF2102X</v>
      </c>
      <c r="P261" s="4" t="str">
        <f>IFERROR(__xludf.DUMMYFUNCTION("""COMPUTED_VALUE"""),"107(R) ")</f>
        <v>107(R) </v>
      </c>
      <c r="Q261" s="4">
        <f>IFERROR(__xludf.DUMMYFUNCTION("""COMPUTED_VALUE"""),107.0)</f>
        <v>107</v>
      </c>
      <c r="R261" s="4">
        <f>IFERROR(__xludf.DUMMYFUNCTION("""COMPUTED_VALUE"""),107.0)</f>
        <v>107</v>
      </c>
      <c r="S261" s="4" t="str">
        <f>IFERROR(__xludf.DUMMYFUNCTION("""COMPUTED_VALUE"""),"Reel")</f>
        <v>Reel</v>
      </c>
      <c r="T261" s="4" t="str">
        <f>IFERROR(__xludf.DUMMYFUNCTION("""COMPUTED_VALUE"""),"XX21")</f>
        <v>XX21</v>
      </c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</row>
    <row r="262">
      <c r="A262" s="4" t="str">
        <f>IFERROR(__xludf.DUMMYFUNCTION("""COMPUTED_VALUE"""),"CONNECTOR:   TERMINAL BLOCK SOCKET 3POS R/A 3.5MM   [691322110003] [TH]")</f>
        <v>CONNECTOR:   TERMINAL BLOCK SOCKET 3POS R/A 3.5MM   [691322110003] [TH]</v>
      </c>
      <c r="B262" s="4" t="str">
        <f>IFERROR(__xludf.DUMMYFUNCTION("""COMPUTED_VALUE"""),"OEPS070071")</f>
        <v>OEPS070071</v>
      </c>
      <c r="C262" s="4" t="str">
        <f>IFERROR(__xludf.DUMMYFUNCTION("""COMPUTED_VALUE"""),"TH")</f>
        <v>TH</v>
      </c>
      <c r="D262" s="4" t="str">
        <f>IFERROR(__xludf.DUMMYFUNCTION("""COMPUTED_VALUE"""),"691322110003")</f>
        <v>691322110003</v>
      </c>
      <c r="E262" s="4">
        <f>IFERROR(__xludf.DUMMYFUNCTION("""COMPUTED_VALUE"""),1.0)</f>
        <v>1</v>
      </c>
      <c r="F262" s="4" t="str">
        <f>IFERROR(__xludf.DUMMYFUNCTION("""COMPUTED_VALUE"""),"DigiKey")</f>
        <v>DigiKey</v>
      </c>
      <c r="G262" s="4" t="str">
        <f>IFERROR(__xludf.DUMMYFUNCTION("""COMPUTED_VALUE"""),"732-2770-ND")</f>
        <v>732-2770-ND</v>
      </c>
      <c r="H262" s="4"/>
      <c r="I262" s="4"/>
      <c r="J262" s="4"/>
      <c r="K262" s="4"/>
      <c r="L262" s="4"/>
      <c r="M262" s="4"/>
      <c r="N262" s="9" t="str">
        <f>IFERROR(__xludf.DUMMYFUNCTION("""COMPUTED_VALUE"""),"OEPS M05 024")</f>
        <v>OEPS M05 024</v>
      </c>
      <c r="O262" s="4" t="str">
        <f>IFERROR(__xludf.DUMMYFUNCTION("""COMPUTED_VALUE"""),"ERJ-2RKF4302X")</f>
        <v>ERJ-2RKF4302X</v>
      </c>
      <c r="P262" s="4" t="str">
        <f>IFERROR(__xludf.DUMMYFUNCTION("""COMPUTED_VALUE"""),"45(R) ")</f>
        <v>45(R) </v>
      </c>
      <c r="Q262" s="4">
        <f>IFERROR(__xludf.DUMMYFUNCTION("""COMPUTED_VALUE"""),45.0)</f>
        <v>45</v>
      </c>
      <c r="R262" s="4">
        <f>IFERROR(__xludf.DUMMYFUNCTION("""COMPUTED_VALUE"""),45.0)</f>
        <v>45</v>
      </c>
      <c r="S262" s="4" t="str">
        <f>IFERROR(__xludf.DUMMYFUNCTION("""COMPUTED_VALUE"""),"Reel")</f>
        <v>Reel</v>
      </c>
      <c r="T262" s="4" t="str">
        <f>IFERROR(__xludf.DUMMYFUNCTION("""COMPUTED_VALUE"""),"0420")</f>
        <v>0420</v>
      </c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</row>
    <row r="263">
      <c r="A263" s="4" t="str">
        <f>IFERROR(__xludf.DUMMYFUNCTION("""COMPUTED_VALUE"""),"CONNECTOR:   TERMINAL BLOCK SOCKET 4POS R/A 3.5MM   [20.155MH/4-E] [TH]")</f>
        <v>CONNECTOR:   TERMINAL BLOCK SOCKET 4POS R/A 3.5MM   [20.155MH/4-E] [TH]</v>
      </c>
      <c r="B263" s="4" t="str">
        <f>IFERROR(__xludf.DUMMYFUNCTION("""COMPUTED_VALUE"""),"OEPS070058")</f>
        <v>OEPS070058</v>
      </c>
      <c r="C263" s="4" t="str">
        <f>IFERROR(__xludf.DUMMYFUNCTION("""COMPUTED_VALUE"""),"TH")</f>
        <v>TH</v>
      </c>
      <c r="D263" s="4" t="str">
        <f>IFERROR(__xludf.DUMMYFUNCTION("""COMPUTED_VALUE"""),"20.155MH/4-E")</f>
        <v>20.155MH/4-E</v>
      </c>
      <c r="E263" s="4">
        <f>IFERROR(__xludf.DUMMYFUNCTION("""COMPUTED_VALUE"""),1.0)</f>
        <v>1</v>
      </c>
      <c r="F263" s="4" t="str">
        <f>IFERROR(__xludf.DUMMYFUNCTION("""COMPUTED_VALUE"""),"Farnell")</f>
        <v>Farnell</v>
      </c>
      <c r="G263" s="4" t="str">
        <f>IFERROR(__xludf.DUMMYFUNCTION("""COMPUTED_VALUE"""),"2517860")</f>
        <v>2517860</v>
      </c>
      <c r="H263" s="4"/>
      <c r="I263" s="4"/>
      <c r="J263" s="4"/>
      <c r="K263" s="4"/>
      <c r="L263" s="4"/>
      <c r="M263" s="4"/>
      <c r="N263" s="9" t="str">
        <f>IFERROR(__xludf.DUMMYFUNCTION("""COMPUTED_VALUE"""),"OEPS M05 025")</f>
        <v>OEPS M05 025</v>
      </c>
      <c r="O263" s="4" t="str">
        <f>IFERROR(__xludf.DUMMYFUNCTION("""COMPUTED_VALUE"""),"ERJ-2RKF7322X")</f>
        <v>ERJ-2RKF7322X</v>
      </c>
      <c r="P263" s="4" t="str">
        <f>IFERROR(__xludf.DUMMYFUNCTION("""COMPUTED_VALUE"""),"47(R) 74(R) ")</f>
        <v>47(R) 74(R) </v>
      </c>
      <c r="Q263" s="4">
        <f>IFERROR(__xludf.DUMMYFUNCTION("""COMPUTED_VALUE"""),121.0)</f>
        <v>121</v>
      </c>
      <c r="R263" s="4">
        <f>IFERROR(__xludf.DUMMYFUNCTION("""COMPUTED_VALUE"""),47.0)</f>
        <v>47</v>
      </c>
      <c r="S263" s="4" t="str">
        <f>IFERROR(__xludf.DUMMYFUNCTION("""COMPUTED_VALUE"""),"Reel")</f>
        <v>Reel</v>
      </c>
      <c r="T263" s="4" t="str">
        <f>IFERROR(__xludf.DUMMYFUNCTION("""COMPUTED_VALUE"""),"0420")</f>
        <v>0420</v>
      </c>
      <c r="U263" s="4">
        <f>IFERROR(__xludf.DUMMYFUNCTION("""COMPUTED_VALUE"""),74.0)</f>
        <v>74</v>
      </c>
      <c r="V263" s="4" t="str">
        <f>IFERROR(__xludf.DUMMYFUNCTION("""COMPUTED_VALUE"""),"Reel")</f>
        <v>Reel</v>
      </c>
      <c r="W263" s="4" t="str">
        <f>IFERROR(__xludf.DUMMYFUNCTION("""COMPUTED_VALUE"""),"XX21")</f>
        <v>XX21</v>
      </c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</row>
    <row r="264">
      <c r="A264" s="4" t="str">
        <f>IFERROR(__xludf.DUMMYFUNCTION("""COMPUTED_VALUE"""),"CONNECTOR:   TERMINAL BLOCK SOCKET 4POS R/A 3.5MM   [691322110004] [TH]")</f>
        <v>CONNECTOR:   TERMINAL BLOCK SOCKET 4POS R/A 3.5MM   [691322110004] [TH]</v>
      </c>
      <c r="B264" s="4" t="str">
        <f>IFERROR(__xludf.DUMMYFUNCTION("""COMPUTED_VALUE"""),"OEPS070083")</f>
        <v>OEPS070083</v>
      </c>
      <c r="C264" s="4" t="str">
        <f>IFERROR(__xludf.DUMMYFUNCTION("""COMPUTED_VALUE"""),"TH")</f>
        <v>TH</v>
      </c>
      <c r="D264" s="4" t="str">
        <f>IFERROR(__xludf.DUMMYFUNCTION("""COMPUTED_VALUE"""),"691322110004")</f>
        <v>691322110004</v>
      </c>
      <c r="E264" s="4">
        <f>IFERROR(__xludf.DUMMYFUNCTION("""COMPUTED_VALUE"""),1.0)</f>
        <v>1</v>
      </c>
      <c r="F264" s="4" t="str">
        <f>IFERROR(__xludf.DUMMYFUNCTION("""COMPUTED_VALUE"""),"DigiKey")</f>
        <v>DigiKey</v>
      </c>
      <c r="G264" s="4" t="str">
        <f>IFERROR(__xludf.DUMMYFUNCTION("""COMPUTED_VALUE"""),"732-2771-ND")</f>
        <v>732-2771-ND</v>
      </c>
      <c r="H264" s="4"/>
      <c r="I264" s="4"/>
      <c r="J264" s="4"/>
      <c r="K264" s="4"/>
      <c r="L264" s="4"/>
      <c r="M264" s="4"/>
      <c r="N264" s="9" t="str">
        <f>IFERROR(__xludf.DUMMYFUNCTION("""COMPUTED_VALUE"""),"OEPS M05 026")</f>
        <v>OEPS M05 026</v>
      </c>
      <c r="O264" s="4" t="str">
        <f>IFERROR(__xludf.DUMMYFUNCTION("""COMPUTED_VALUE"""),"ERJ-2RKF1653X")</f>
        <v>ERJ-2RKF1653X</v>
      </c>
      <c r="P264" s="4" t="str">
        <f>IFERROR(__xludf.DUMMYFUNCTION("""COMPUTED_VALUE"""),"149(R) 176(R) ")</f>
        <v>149(R) 176(R) </v>
      </c>
      <c r="Q264" s="4">
        <f>IFERROR(__xludf.DUMMYFUNCTION("""COMPUTED_VALUE"""),325.0)</f>
        <v>325</v>
      </c>
      <c r="R264" s="4">
        <f>IFERROR(__xludf.DUMMYFUNCTION("""COMPUTED_VALUE"""),149.0)</f>
        <v>149</v>
      </c>
      <c r="S264" s="4" t="str">
        <f>IFERROR(__xludf.DUMMYFUNCTION("""COMPUTED_VALUE"""),"Reel")</f>
        <v>Reel</v>
      </c>
      <c r="T264" s="4" t="str">
        <f>IFERROR(__xludf.DUMMYFUNCTION("""COMPUTED_VALUE"""),"0420")</f>
        <v>0420</v>
      </c>
      <c r="U264" s="4">
        <f>IFERROR(__xludf.DUMMYFUNCTION("""COMPUTED_VALUE"""),176.0)</f>
        <v>176</v>
      </c>
      <c r="V264" s="4" t="str">
        <f>IFERROR(__xludf.DUMMYFUNCTION("""COMPUTED_VALUE"""),"Reel")</f>
        <v>Reel</v>
      </c>
      <c r="W264" s="4" t="str">
        <f>IFERROR(__xludf.DUMMYFUNCTION("""COMPUTED_VALUE"""),"XX21")</f>
        <v>XX21</v>
      </c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</row>
    <row r="265">
      <c r="A265" s="4" t="str">
        <f>IFERROR(__xludf.DUMMYFUNCTION("""COMPUTED_VALUE"""),"CONNECTOR:   TERMINAL BLOCK SOCKET 5POS R/A 3.5MM   [20.155MH/5-E] [TH]")</f>
        <v>CONNECTOR:   TERMINAL BLOCK SOCKET 5POS R/A 3.5MM   [20.155MH/5-E] [TH]</v>
      </c>
      <c r="B265" s="4" t="str">
        <f>IFERROR(__xludf.DUMMYFUNCTION("""COMPUTED_VALUE"""),"OEPS070037")</f>
        <v>OEPS070037</v>
      </c>
      <c r="C265" s="4" t="str">
        <f>IFERROR(__xludf.DUMMYFUNCTION("""COMPUTED_VALUE"""),"TH")</f>
        <v>TH</v>
      </c>
      <c r="D265" s="4" t="str">
        <f>IFERROR(__xludf.DUMMYFUNCTION("""COMPUTED_VALUE"""),"20.155MH/5-E")</f>
        <v>20.155MH/5-E</v>
      </c>
      <c r="E265" s="4">
        <f>IFERROR(__xludf.DUMMYFUNCTION("""COMPUTED_VALUE"""),1.0)</f>
        <v>1</v>
      </c>
      <c r="F265" s="4" t="str">
        <f>IFERROR(__xludf.DUMMYFUNCTION("""COMPUTED_VALUE"""),"Farnell")</f>
        <v>Farnell</v>
      </c>
      <c r="G265" s="4" t="str">
        <f>IFERROR(__xludf.DUMMYFUNCTION("""COMPUTED_VALUE"""),"2517861")</f>
        <v>2517861</v>
      </c>
      <c r="H265" s="4"/>
      <c r="I265" s="4"/>
      <c r="J265" s="4"/>
      <c r="K265" s="4"/>
      <c r="L265" s="4"/>
      <c r="M265" s="4"/>
      <c r="N265" s="9" t="str">
        <f>IFERROR(__xludf.DUMMYFUNCTION("""COMPUTED_VALUE"""),"OEPS M05 027")</f>
        <v>OEPS M05 027</v>
      </c>
      <c r="O265" s="4" t="str">
        <f>IFERROR(__xludf.DUMMYFUNCTION("""COMPUTED_VALUE"""),"ERJ-2RKF1783X")</f>
        <v>ERJ-2RKF1783X</v>
      </c>
      <c r="P265" s="4" t="str">
        <f>IFERROR(__xludf.DUMMYFUNCTION("""COMPUTED_VALUE"""),"85(R) ")</f>
        <v>85(R) </v>
      </c>
      <c r="Q265" s="4">
        <f>IFERROR(__xludf.DUMMYFUNCTION("""COMPUTED_VALUE"""),85.0)</f>
        <v>85</v>
      </c>
      <c r="R265" s="4">
        <f>IFERROR(__xludf.DUMMYFUNCTION("""COMPUTED_VALUE"""),85.0)</f>
        <v>85</v>
      </c>
      <c r="S265" s="4" t="str">
        <f>IFERROR(__xludf.DUMMYFUNCTION("""COMPUTED_VALUE"""),"Reel")</f>
        <v>Reel</v>
      </c>
      <c r="T265" s="4" t="str">
        <f>IFERROR(__xludf.DUMMYFUNCTION("""COMPUTED_VALUE"""),"XX21")</f>
        <v>XX21</v>
      </c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</row>
    <row r="266">
      <c r="A266" s="4" t="str">
        <f>IFERROR(__xludf.DUMMYFUNCTION("""COMPUTED_VALUE"""),"CONNECTOR:   TERMINAL BLOCK SOCKET 6POS R/A 3.5MM   [20.155MH/6-E] [TH]")</f>
        <v>CONNECTOR:   TERMINAL BLOCK SOCKET 6POS R/A 3.5MM   [20.155MH/6-E] [TH]</v>
      </c>
      <c r="B266" s="4" t="str">
        <f>IFERROR(__xludf.DUMMYFUNCTION("""COMPUTED_VALUE"""),"OEPS070042")</f>
        <v>OEPS070042</v>
      </c>
      <c r="C266" s="4" t="str">
        <f>IFERROR(__xludf.DUMMYFUNCTION("""COMPUTED_VALUE"""),"TH")</f>
        <v>TH</v>
      </c>
      <c r="D266" s="4" t="str">
        <f>IFERROR(__xludf.DUMMYFUNCTION("""COMPUTED_VALUE"""),"20.155MH/6-E")</f>
        <v>20.155MH/6-E</v>
      </c>
      <c r="E266" s="4">
        <f>IFERROR(__xludf.DUMMYFUNCTION("""COMPUTED_VALUE"""),1.0)</f>
        <v>1</v>
      </c>
      <c r="F266" s="4" t="str">
        <f>IFERROR(__xludf.DUMMYFUNCTION("""COMPUTED_VALUE"""),"Farnell")</f>
        <v>Farnell</v>
      </c>
      <c r="G266" s="4" t="str">
        <f>IFERROR(__xludf.DUMMYFUNCTION("""COMPUTED_VALUE"""),"2517862")</f>
        <v>2517862</v>
      </c>
      <c r="H266" s="4"/>
      <c r="I266" s="4"/>
      <c r="J266" s="4"/>
      <c r="K266" s="4"/>
      <c r="L266" s="4"/>
      <c r="M266" s="4"/>
      <c r="N266" s="9" t="str">
        <f>IFERROR(__xludf.DUMMYFUNCTION("""COMPUTED_VALUE"""),"OEPS M05 028")</f>
        <v>OEPS M05 028</v>
      </c>
      <c r="O266" s="4" t="str">
        <f>IFERROR(__xludf.DUMMYFUNCTION("""COMPUTED_VALUE"""),"ERJ-2RKF6493X")</f>
        <v>ERJ-2RKF6493X</v>
      </c>
      <c r="P266" s="4" t="str">
        <f>IFERROR(__xludf.DUMMYFUNCTION("""COMPUTED_VALUE"""),"85(R) ")</f>
        <v>85(R) </v>
      </c>
      <c r="Q266" s="4">
        <f>IFERROR(__xludf.DUMMYFUNCTION("""COMPUTED_VALUE"""),85.0)</f>
        <v>85</v>
      </c>
      <c r="R266" s="4">
        <f>IFERROR(__xludf.DUMMYFUNCTION("""COMPUTED_VALUE"""),85.0)</f>
        <v>85</v>
      </c>
      <c r="S266" s="4" t="str">
        <f>IFERROR(__xludf.DUMMYFUNCTION("""COMPUTED_VALUE"""),"Reel")</f>
        <v>Reel</v>
      </c>
      <c r="T266" s="4" t="str">
        <f>IFERROR(__xludf.DUMMYFUNCTION("""COMPUTED_VALUE"""),"XX21")</f>
        <v>XX21</v>
      </c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</row>
    <row r="267">
      <c r="A267" s="4" t="str">
        <f>IFERROR(__xludf.DUMMYFUNCTION("""COMPUTED_VALUE"""),"CONNECTOR:   TERMINAL BLOCK SOCKET 6POS R/A 3.5MM   [691322110006] [TH]")</f>
        <v>CONNECTOR:   TERMINAL BLOCK SOCKET 6POS R/A 3.5MM   [691322110006] [TH]</v>
      </c>
      <c r="B267" s="4" t="str">
        <f>IFERROR(__xludf.DUMMYFUNCTION("""COMPUTED_VALUE"""),"OEPS070045")</f>
        <v>OEPS070045</v>
      </c>
      <c r="C267" s="4" t="str">
        <f>IFERROR(__xludf.DUMMYFUNCTION("""COMPUTED_VALUE"""),"TH")</f>
        <v>TH</v>
      </c>
      <c r="D267" s="4" t="str">
        <f>IFERROR(__xludf.DUMMYFUNCTION("""COMPUTED_VALUE"""),"691322110006")</f>
        <v>691322110006</v>
      </c>
      <c r="E267" s="4">
        <f>IFERROR(__xludf.DUMMYFUNCTION("""COMPUTED_VALUE"""),1.0)</f>
        <v>1</v>
      </c>
      <c r="F267" s="4" t="str">
        <f>IFERROR(__xludf.DUMMYFUNCTION("""COMPUTED_VALUE"""),"DigiKey")</f>
        <v>DigiKey</v>
      </c>
      <c r="G267" s="4" t="str">
        <f>IFERROR(__xludf.DUMMYFUNCTION("""COMPUTED_VALUE"""),"732-2773-ND")</f>
        <v>732-2773-ND</v>
      </c>
      <c r="H267" s="4"/>
      <c r="I267" s="4"/>
      <c r="J267" s="4"/>
      <c r="K267" s="4"/>
      <c r="L267" s="4"/>
      <c r="M267" s="4"/>
      <c r="N267" s="9" t="str">
        <f>IFERROR(__xludf.DUMMYFUNCTION("""COMPUTED_VALUE"""),"OEPS M05 029")</f>
        <v>OEPS M05 029</v>
      </c>
      <c r="O267" s="4" t="str">
        <f>IFERROR(__xludf.DUMMYFUNCTION("""COMPUTED_VALUE"""),"CC0402KRX7R8BB472")</f>
        <v>CC0402KRX7R8BB472</v>
      </c>
      <c r="P267" s="4" t="str">
        <f>IFERROR(__xludf.DUMMYFUNCTION("""COMPUTED_VALUE"""),"55(R) 173(R) ")</f>
        <v>55(R) 173(R) </v>
      </c>
      <c r="Q267" s="4">
        <f>IFERROR(__xludf.DUMMYFUNCTION("""COMPUTED_VALUE"""),228.0)</f>
        <v>228</v>
      </c>
      <c r="R267" s="4">
        <f>IFERROR(__xludf.DUMMYFUNCTION("""COMPUTED_VALUE"""),55.0)</f>
        <v>55</v>
      </c>
      <c r="S267" s="4" t="str">
        <f>IFERROR(__xludf.DUMMYFUNCTION("""COMPUTED_VALUE"""),"Reel")</f>
        <v>Reel</v>
      </c>
      <c r="T267" s="4" t="str">
        <f>IFERROR(__xludf.DUMMYFUNCTION("""COMPUTED_VALUE"""),"0420")</f>
        <v>0420</v>
      </c>
      <c r="U267" s="4">
        <f>IFERROR(__xludf.DUMMYFUNCTION("""COMPUTED_VALUE"""),173.0)</f>
        <v>173</v>
      </c>
      <c r="V267" s="4" t="str">
        <f>IFERROR(__xludf.DUMMYFUNCTION("""COMPUTED_VALUE"""),"Reel")</f>
        <v>Reel</v>
      </c>
      <c r="W267" s="4" t="str">
        <f>IFERROR(__xludf.DUMMYFUNCTION("""COMPUTED_VALUE"""),"XX21")</f>
        <v>XX21</v>
      </c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</row>
    <row r="268">
      <c r="A268" s="4" t="str">
        <f>IFERROR(__xludf.DUMMYFUNCTION("""COMPUTED_VALUE"""),"CONNECTOR:   TERMINAL BLOCK SOCKET 8POS R/A 3.5MM   [691322110008] [TH]")</f>
        <v>CONNECTOR:   TERMINAL BLOCK SOCKET 8POS R/A 3.5MM   [691322110008] [TH]</v>
      </c>
      <c r="B268" s="4" t="str">
        <f>IFERROR(__xludf.DUMMYFUNCTION("""COMPUTED_VALUE"""),"OEPS070031")</f>
        <v>OEPS070031</v>
      </c>
      <c r="C268" s="4" t="str">
        <f>IFERROR(__xludf.DUMMYFUNCTION("""COMPUTED_VALUE"""),"TH")</f>
        <v>TH</v>
      </c>
      <c r="D268" s="4" t="str">
        <f>IFERROR(__xludf.DUMMYFUNCTION("""COMPUTED_VALUE"""),"691322110008")</f>
        <v>691322110008</v>
      </c>
      <c r="E268" s="4">
        <f>IFERROR(__xludf.DUMMYFUNCTION("""COMPUTED_VALUE"""),1.0)</f>
        <v>1</v>
      </c>
      <c r="F268" s="4" t="str">
        <f>IFERROR(__xludf.DUMMYFUNCTION("""COMPUTED_VALUE"""),"DigiKey")</f>
        <v>DigiKey</v>
      </c>
      <c r="G268" s="4" t="str">
        <f>IFERROR(__xludf.DUMMYFUNCTION("""COMPUTED_VALUE"""),"732-2774-ND")</f>
        <v>732-2774-ND</v>
      </c>
      <c r="H268" s="4"/>
      <c r="I268" s="4"/>
      <c r="J268" s="4"/>
      <c r="K268" s="4"/>
      <c r="L268" s="4"/>
      <c r="M268" s="4"/>
      <c r="N268" s="9" t="str">
        <f>IFERROR(__xludf.DUMMYFUNCTION("""COMPUTED_VALUE"""),"OEPS M05 030")</f>
        <v>OEPS M05 030</v>
      </c>
      <c r="O268" s="4" t="str">
        <f>IFERROR(__xludf.DUMMYFUNCTION("""COMPUTED_VALUE"""),"GCM155R71E103KA37D")</f>
        <v>GCM155R71E103KA37D</v>
      </c>
      <c r="P268" s="4" t="str">
        <f>IFERROR(__xludf.DUMMYFUNCTION("""COMPUTED_VALUE"""),"263(R) 621(R) ")</f>
        <v>263(R) 621(R) </v>
      </c>
      <c r="Q268" s="4">
        <f>IFERROR(__xludf.DUMMYFUNCTION("""COMPUTED_VALUE"""),884.0)</f>
        <v>884</v>
      </c>
      <c r="R268" s="4">
        <f>IFERROR(__xludf.DUMMYFUNCTION("""COMPUTED_VALUE"""),263.0)</f>
        <v>263</v>
      </c>
      <c r="S268" s="4" t="str">
        <f>IFERROR(__xludf.DUMMYFUNCTION("""COMPUTED_VALUE"""),"Reel")</f>
        <v>Reel</v>
      </c>
      <c r="T268" s="4" t="str">
        <f>IFERROR(__xludf.DUMMYFUNCTION("""COMPUTED_VALUE"""),"0420")</f>
        <v>0420</v>
      </c>
      <c r="U268" s="4">
        <f>IFERROR(__xludf.DUMMYFUNCTION("""COMPUTED_VALUE"""),621.0)</f>
        <v>621</v>
      </c>
      <c r="V268" s="4" t="str">
        <f>IFERROR(__xludf.DUMMYFUNCTION("""COMPUTED_VALUE"""),"Reel")</f>
        <v>Reel</v>
      </c>
      <c r="W268" s="4" t="str">
        <f>IFERROR(__xludf.DUMMYFUNCTION("""COMPUTED_VALUE"""),"XX21")</f>
        <v>XX21</v>
      </c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</row>
    <row r="269">
      <c r="A269" s="4" t="str">
        <f>IFERROR(__xludf.DUMMYFUNCTION("""COMPUTED_VALUE"""),"CONNECTOR:   U.FL RCPT Straight 50 OHM (OEPS J05 014)   [U.FL-R-SMT-1(10)] [SMD]")</f>
        <v>CONNECTOR:   U.FL RCPT Straight 50 OHM (OEPS J05 014)   [U.FL-R-SMT-1(10)] [SMD]</v>
      </c>
      <c r="B269" s="4" t="str">
        <f>IFERROR(__xludf.DUMMYFUNCTION("""COMPUTED_VALUE"""),"OEPS070063")</f>
        <v>OEPS070063</v>
      </c>
      <c r="C269" s="4" t="str">
        <f>IFERROR(__xludf.DUMMYFUNCTION("""COMPUTED_VALUE"""),"SMD")</f>
        <v>SMD</v>
      </c>
      <c r="D269" s="4" t="str">
        <f>IFERROR(__xludf.DUMMYFUNCTION("""COMPUTED_VALUE"""),"U.FL-R-SMT-1(10)")</f>
        <v>U.FL-R-SMT-1(10)</v>
      </c>
      <c r="E269" s="4">
        <f>IFERROR(__xludf.DUMMYFUNCTION("""COMPUTED_VALUE"""),3.0)</f>
        <v>3</v>
      </c>
      <c r="F269" s="4" t="str">
        <f>IFERROR(__xludf.DUMMYFUNCTION("""COMPUTED_VALUE"""),"DigiKey")</f>
        <v>DigiKey</v>
      </c>
      <c r="G269" s="4" t="str">
        <f>IFERROR(__xludf.DUMMYFUNCTION("""COMPUTED_VALUE"""),"H11891DKR-ND")</f>
        <v>H11891DKR-ND</v>
      </c>
      <c r="H269" s="4"/>
      <c r="I269" s="4"/>
      <c r="J269" s="4"/>
      <c r="K269" s="4"/>
      <c r="L269" s="4"/>
      <c r="M269" s="4"/>
      <c r="N269" s="9" t="str">
        <f>IFERROR(__xludf.DUMMYFUNCTION("""COMPUTED_VALUE"""),"OEPS M05 031")</f>
        <v>OEPS M05 031</v>
      </c>
      <c r="O269" s="4" t="str">
        <f>IFERROR(__xludf.DUMMYFUNCTION("""COMPUTED_VALUE"""),"GRM155R71E473KA88D")</f>
        <v>GRM155R71E473KA88D</v>
      </c>
      <c r="P269" s="4" t="str">
        <f>IFERROR(__xludf.DUMMYFUNCTION("""COMPUTED_VALUE"""),"160(R) ")</f>
        <v>160(R) </v>
      </c>
      <c r="Q269" s="4">
        <f>IFERROR(__xludf.DUMMYFUNCTION("""COMPUTED_VALUE"""),160.0)</f>
        <v>160</v>
      </c>
      <c r="R269" s="4">
        <f>IFERROR(__xludf.DUMMYFUNCTION("""COMPUTED_VALUE"""),160.0)</f>
        <v>160</v>
      </c>
      <c r="S269" s="4" t="str">
        <f>IFERROR(__xludf.DUMMYFUNCTION("""COMPUTED_VALUE"""),"Reel")</f>
        <v>Reel</v>
      </c>
      <c r="T269" s="4" t="str">
        <f>IFERROR(__xludf.DUMMYFUNCTION("""COMPUTED_VALUE"""),"XX21")</f>
        <v>XX21</v>
      </c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</row>
    <row r="270">
      <c r="A270" s="4" t="str">
        <f>IFERROR(__xludf.DUMMYFUNCTION("""COMPUTED_VALUE"""),"CONNECTOR:   USB 2.0 MICRO B R/A   [10118192-0001LF] [SMD]")</f>
        <v>CONNECTOR:   USB 2.0 MICRO B R/A   [10118192-0001LF] [SMD]</v>
      </c>
      <c r="B270" s="4" t="str">
        <f>IFERROR(__xludf.DUMMYFUNCTION("""COMPUTED_VALUE"""),"OEPS070050")</f>
        <v>OEPS070050</v>
      </c>
      <c r="C270" s="4" t="str">
        <f>IFERROR(__xludf.DUMMYFUNCTION("""COMPUTED_VALUE"""),"SMD")</f>
        <v>SMD</v>
      </c>
      <c r="D270" s="4" t="str">
        <f>IFERROR(__xludf.DUMMYFUNCTION("""COMPUTED_VALUE"""),"10118192-0001LF")</f>
        <v>10118192-0001LF</v>
      </c>
      <c r="E270" s="4">
        <f>IFERROR(__xludf.DUMMYFUNCTION("""COMPUTED_VALUE"""),1.0)</f>
        <v>1</v>
      </c>
      <c r="F270" s="4" t="str">
        <f>IFERROR(__xludf.DUMMYFUNCTION("""COMPUTED_VALUE"""),"DigiKey")</f>
        <v>DigiKey</v>
      </c>
      <c r="G270" s="4" t="str">
        <f>IFERROR(__xludf.DUMMYFUNCTION("""COMPUTED_VALUE"""),"609-4613-6-ND")</f>
        <v>609-4613-6-ND</v>
      </c>
      <c r="H270" s="4"/>
      <c r="I270" s="4"/>
      <c r="J270" s="4"/>
      <c r="K270" s="4"/>
      <c r="L270" s="4"/>
      <c r="M270" s="4"/>
      <c r="N270" s="9" t="str">
        <f>IFERROR(__xludf.DUMMYFUNCTION("""COMPUTED_VALUE"""),"OEPS M05 032")</f>
        <v>OEPS M05 032</v>
      </c>
      <c r="O270" s="4" t="str">
        <f>IFERROR(__xludf.DUMMYFUNCTION("""COMPUTED_VALUE"""),"GRM155R71E104KE4D")</f>
        <v>GRM155R71E104KE4D</v>
      </c>
      <c r="P270" s="4" t="str">
        <f>IFERROR(__xludf.DUMMYFUNCTION("""COMPUTED_VALUE"""),"1278(R) 2748(R) ")</f>
        <v>1278(R) 2748(R) </v>
      </c>
      <c r="Q270" s="4">
        <f>IFERROR(__xludf.DUMMYFUNCTION("""COMPUTED_VALUE"""),4026.0)</f>
        <v>4026</v>
      </c>
      <c r="R270" s="4">
        <f>IFERROR(__xludf.DUMMYFUNCTION("""COMPUTED_VALUE"""),1278.0)</f>
        <v>1278</v>
      </c>
      <c r="S270" s="4" t="str">
        <f>IFERROR(__xludf.DUMMYFUNCTION("""COMPUTED_VALUE"""),"Reel")</f>
        <v>Reel</v>
      </c>
      <c r="T270" s="4" t="str">
        <f>IFERROR(__xludf.DUMMYFUNCTION("""COMPUTED_VALUE"""),"0320")</f>
        <v>0320</v>
      </c>
      <c r="U270" s="4">
        <f>IFERROR(__xludf.DUMMYFUNCTION("""COMPUTED_VALUE"""),2748.0)</f>
        <v>2748</v>
      </c>
      <c r="V270" s="4" t="str">
        <f>IFERROR(__xludf.DUMMYFUNCTION("""COMPUTED_VALUE"""),"Reel")</f>
        <v>Reel</v>
      </c>
      <c r="W270" s="4" t="str">
        <f>IFERROR(__xludf.DUMMYFUNCTION("""COMPUTED_VALUE"""),"XX21")</f>
        <v>XX21</v>
      </c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</row>
    <row r="271">
      <c r="A271" s="4" t="str">
        <f>IFERROR(__xludf.DUMMYFUNCTION("""COMPUTED_VALUE"""),"CONNECTOR:   USB 2.0 MICRO B R/A   [ZX62D-B-5P8(30)] [SMD/TH]")</f>
        <v>CONNECTOR:   USB 2.0 MICRO B R/A   [ZX62D-B-5P8(30)] [SMD/TH]</v>
      </c>
      <c r="B271" s="4" t="str">
        <f>IFERROR(__xludf.DUMMYFUNCTION("""COMPUTED_VALUE"""),"OEPS070062")</f>
        <v>OEPS070062</v>
      </c>
      <c r="C271" s="4" t="str">
        <f>IFERROR(__xludf.DUMMYFUNCTION("""COMPUTED_VALUE"""),"SMD/TH")</f>
        <v>SMD/TH</v>
      </c>
      <c r="D271" s="4" t="str">
        <f>IFERROR(__xludf.DUMMYFUNCTION("""COMPUTED_VALUE"""),"ZX62D-B-5P8(30)")</f>
        <v>ZX62D-B-5P8(30)</v>
      </c>
      <c r="E271" s="4">
        <f>IFERROR(__xludf.DUMMYFUNCTION("""COMPUTED_VALUE"""),1.0)</f>
        <v>1</v>
      </c>
      <c r="F271" s="4" t="str">
        <f>IFERROR(__xludf.DUMMYFUNCTION("""COMPUTED_VALUE"""),"DigiKey")</f>
        <v>DigiKey</v>
      </c>
      <c r="G271" s="4" t="str">
        <f>IFERROR(__xludf.DUMMYFUNCTION("""COMPUTED_VALUE"""),"H125272DKR-ND")</f>
        <v>H125272DKR-ND</v>
      </c>
      <c r="H271" s="4"/>
      <c r="I271" s="4"/>
      <c r="J271" s="4"/>
      <c r="K271" s="4"/>
      <c r="L271" s="4"/>
      <c r="M271" s="4"/>
      <c r="N271" s="9" t="str">
        <f>IFERROR(__xludf.DUMMYFUNCTION("""COMPUTED_VALUE"""),"OEPS M05 033")</f>
        <v>OEPS M05 033</v>
      </c>
      <c r="O271" s="4" t="str">
        <f>IFERROR(__xludf.DUMMYFUNCTION("""COMPUTED_VALUE"""),"GCM21BR71E105KA6L")</f>
        <v>GCM21BR71E105KA6L</v>
      </c>
      <c r="P271" s="4" t="str">
        <f>IFERROR(__xludf.DUMMYFUNCTION("""COMPUTED_VALUE"""),"178(R) 169(R) ")</f>
        <v>178(R) 169(R) </v>
      </c>
      <c r="Q271" s="4">
        <f>IFERROR(__xludf.DUMMYFUNCTION("""COMPUTED_VALUE"""),347.0)</f>
        <v>347</v>
      </c>
      <c r="R271" s="4">
        <f>IFERROR(__xludf.DUMMYFUNCTION("""COMPUTED_VALUE"""),178.0)</f>
        <v>178</v>
      </c>
      <c r="S271" s="4" t="str">
        <f>IFERROR(__xludf.DUMMYFUNCTION("""COMPUTED_VALUE"""),"Reel")</f>
        <v>Reel</v>
      </c>
      <c r="T271" s="4" t="str">
        <f>IFERROR(__xludf.DUMMYFUNCTION("""COMPUTED_VALUE"""),"XX21")</f>
        <v>XX21</v>
      </c>
      <c r="U271" s="4">
        <f>IFERROR(__xludf.DUMMYFUNCTION("""COMPUTED_VALUE"""),169.0)</f>
        <v>169</v>
      </c>
      <c r="V271" s="4" t="str">
        <f>IFERROR(__xludf.DUMMYFUNCTION("""COMPUTED_VALUE"""),"Reel")</f>
        <v>Reel</v>
      </c>
      <c r="W271" s="4" t="str">
        <f>IFERROR(__xludf.DUMMYFUNCTION("""COMPUTED_VALUE"""),"0320")</f>
        <v>0320</v>
      </c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</row>
    <row r="272">
      <c r="A272" s="4" t="str">
        <f>IFERROR(__xludf.DUMMYFUNCTION("""COMPUTED_VALUE"""),"CONNECTOR:   USB 2.0 MICRO B R/A (OEPS K01 015)   [ZX62D-B-5PA8(30)] [SMD/TH]")</f>
        <v>CONNECTOR:   USB 2.0 MICRO B R/A (OEPS K01 015)   [ZX62D-B-5PA8(30)] [SMD/TH]</v>
      </c>
      <c r="B272" s="4" t="str">
        <f>IFERROR(__xludf.DUMMYFUNCTION("""COMPUTED_VALUE"""),"OEPS070117")</f>
        <v>OEPS070117</v>
      </c>
      <c r="C272" s="4" t="str">
        <f>IFERROR(__xludf.DUMMYFUNCTION("""COMPUTED_VALUE"""),"SMD/TH")</f>
        <v>SMD/TH</v>
      </c>
      <c r="D272" s="4" t="str">
        <f>IFERROR(__xludf.DUMMYFUNCTION("""COMPUTED_VALUE"""),"ZX62D-B-5PA8(30)")</f>
        <v>ZX62D-B-5PA8(30)</v>
      </c>
      <c r="E272" s="4">
        <f>IFERROR(__xludf.DUMMYFUNCTION("""COMPUTED_VALUE"""),1.0)</f>
        <v>1</v>
      </c>
      <c r="F272" s="4" t="str">
        <f>IFERROR(__xludf.DUMMYFUNCTION("""COMPUTED_VALUE"""),"Digikey")</f>
        <v>Digikey</v>
      </c>
      <c r="G272" s="4" t="str">
        <f>IFERROR(__xludf.DUMMYFUNCTION("""COMPUTED_VALUE"""),"H125718DKR-ND")</f>
        <v>H125718DKR-ND</v>
      </c>
      <c r="H272" s="4"/>
      <c r="I272" s="4"/>
      <c r="J272" s="4"/>
      <c r="K272" s="4"/>
      <c r="L272" s="4"/>
      <c r="M272" s="4"/>
      <c r="N272" s="9" t="str">
        <f>IFERROR(__xludf.DUMMYFUNCTION("""COMPUTED_VALUE"""),"OEPS M05 034")</f>
        <v>OEPS M05 034</v>
      </c>
      <c r="O272" s="4" t="str">
        <f>IFERROR(__xludf.DUMMYFUNCTION("""COMPUTED_VALUE"""),"GRM21BR61E106KA3L")</f>
        <v>GRM21BR61E106KA3L</v>
      </c>
      <c r="P272" s="4" t="str">
        <f>IFERROR(__xludf.DUMMYFUNCTION("""COMPUTED_VALUE"""),"850(R) ")</f>
        <v>850(R) </v>
      </c>
      <c r="Q272" s="4">
        <f>IFERROR(__xludf.DUMMYFUNCTION("""COMPUTED_VALUE"""),850.0)</f>
        <v>850</v>
      </c>
      <c r="R272" s="4">
        <f>IFERROR(__xludf.DUMMYFUNCTION("""COMPUTED_VALUE"""),850.0)</f>
        <v>850</v>
      </c>
      <c r="S272" s="4" t="str">
        <f>IFERROR(__xludf.DUMMYFUNCTION("""COMPUTED_VALUE"""),"Reel")</f>
        <v>Reel</v>
      </c>
      <c r="T272" s="4" t="str">
        <f>IFERROR(__xludf.DUMMYFUNCTION("""COMPUTED_VALUE"""),"XX21")</f>
        <v>XX21</v>
      </c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>
      <c r="A273" s="4" t="str">
        <f>IFERROR(__xludf.DUMMYFUNCTION("""COMPUTED_VALUE"""),"CONNECTOR:   USB 2.0 MINI R/A   [65100516121] [SMD]")</f>
        <v>CONNECTOR:   USB 2.0 MINI R/A   [65100516121] [SMD]</v>
      </c>
      <c r="B273" s="4" t="str">
        <f>IFERROR(__xludf.DUMMYFUNCTION("""COMPUTED_VALUE"""),"OEPS070014")</f>
        <v>OEPS070014</v>
      </c>
      <c r="C273" s="4" t="str">
        <f>IFERROR(__xludf.DUMMYFUNCTION("""COMPUTED_VALUE"""),"SMD")</f>
        <v>SMD</v>
      </c>
      <c r="D273" s="4" t="str">
        <f>IFERROR(__xludf.DUMMYFUNCTION("""COMPUTED_VALUE"""),"65100516121")</f>
        <v>65100516121</v>
      </c>
      <c r="E273" s="4">
        <f>IFERROR(__xludf.DUMMYFUNCTION("""COMPUTED_VALUE"""),1.0)</f>
        <v>1</v>
      </c>
      <c r="F273" s="4" t="str">
        <f>IFERROR(__xludf.DUMMYFUNCTION("""COMPUTED_VALUE"""),"DigiKey")</f>
        <v>DigiKey</v>
      </c>
      <c r="G273" s="4" t="str">
        <f>IFERROR(__xludf.DUMMYFUNCTION("""COMPUTED_VALUE"""),"732-2109-6-ND")</f>
        <v>732-2109-6-ND</v>
      </c>
      <c r="H273" s="4"/>
      <c r="I273" s="4"/>
      <c r="J273" s="4"/>
      <c r="K273" s="4"/>
      <c r="L273" s="4"/>
      <c r="M273" s="4"/>
      <c r="N273" s="9" t="str">
        <f>IFERROR(__xludf.DUMMYFUNCTION("""COMPUTED_VALUE"""),"OEPS M05 035")</f>
        <v>OEPS M05 035</v>
      </c>
      <c r="O273" s="4" t="str">
        <f>IFERROR(__xludf.DUMMYFUNCTION("""COMPUTED_VALUE"""),"GRM31CR71E106KA12")</f>
        <v>GRM31CR71E106KA12</v>
      </c>
      <c r="P273" s="4" t="str">
        <f>IFERROR(__xludf.DUMMYFUNCTION("""COMPUTED_VALUE"""),"418(R) 516(R) ")</f>
        <v>418(R) 516(R) </v>
      </c>
      <c r="Q273" s="4">
        <f>IFERROR(__xludf.DUMMYFUNCTION("""COMPUTED_VALUE"""),934.0)</f>
        <v>934</v>
      </c>
      <c r="R273" s="4">
        <f>IFERROR(__xludf.DUMMYFUNCTION("""COMPUTED_VALUE"""),418.0)</f>
        <v>418</v>
      </c>
      <c r="S273" s="4" t="str">
        <f>IFERROR(__xludf.DUMMYFUNCTION("""COMPUTED_VALUE"""),"Reel")</f>
        <v>Reel</v>
      </c>
      <c r="T273" s="4" t="str">
        <f>IFERROR(__xludf.DUMMYFUNCTION("""COMPUTED_VALUE"""),"0320")</f>
        <v>0320</v>
      </c>
      <c r="U273" s="4">
        <f>IFERROR(__xludf.DUMMYFUNCTION("""COMPUTED_VALUE"""),516.0)</f>
        <v>516</v>
      </c>
      <c r="V273" s="4" t="str">
        <f>IFERROR(__xludf.DUMMYFUNCTION("""COMPUTED_VALUE"""),"Reel")</f>
        <v>Reel</v>
      </c>
      <c r="W273" s="4" t="str">
        <f>IFERROR(__xludf.DUMMYFUNCTION("""COMPUTED_VALUE"""),"XX21")</f>
        <v>XX21</v>
      </c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>
      <c r="A274" s="4" t="str">
        <f>IFERROR(__xludf.DUMMYFUNCTION("""COMPUTED_VALUE"""),"CONNECTOR:   USB 2.0 MINI R/A   [UX60-MB-5S8(70)] [SMD]")</f>
        <v>CONNECTOR:   USB 2.0 MINI R/A   [UX60-MB-5S8(70)] [SMD]</v>
      </c>
      <c r="B274" s="4" t="str">
        <f>IFERROR(__xludf.DUMMYFUNCTION("""COMPUTED_VALUE"""),"OEPS070044")</f>
        <v>OEPS070044</v>
      </c>
      <c r="C274" s="4" t="str">
        <f>IFERROR(__xludf.DUMMYFUNCTION("""COMPUTED_VALUE"""),"SMD")</f>
        <v>SMD</v>
      </c>
      <c r="D274" s="4" t="str">
        <f>IFERROR(__xludf.DUMMYFUNCTION("""COMPUTED_VALUE"""),"UX60-MB-5S8(70)")</f>
        <v>UX60-MB-5S8(70)</v>
      </c>
      <c r="E274" s="4">
        <f>IFERROR(__xludf.DUMMYFUNCTION("""COMPUTED_VALUE"""),1.0)</f>
        <v>1</v>
      </c>
      <c r="F274" s="4" t="str">
        <f>IFERROR(__xludf.DUMMYFUNCTION("""COMPUTED_VALUE"""),"DigiKey")</f>
        <v>DigiKey</v>
      </c>
      <c r="G274" s="4" t="str">
        <f>IFERROR(__xludf.DUMMYFUNCTION("""COMPUTED_VALUE"""),"26-UX60-MB-5S8(70)DKR-ND")</f>
        <v>26-UX60-MB-5S8(70)DKR-ND</v>
      </c>
      <c r="H274" s="4"/>
      <c r="I274" s="4"/>
      <c r="J274" s="4"/>
      <c r="K274" s="4"/>
      <c r="L274" s="4"/>
      <c r="M274" s="4"/>
      <c r="N274" s="9" t="str">
        <f>IFERROR(__xludf.DUMMYFUNCTION("""COMPUTED_VALUE"""),"OEPS M05 036")</f>
        <v>OEPS M05 036</v>
      </c>
      <c r="O274" s="4" t="str">
        <f>IFERROR(__xludf.DUMMYFUNCTION("""COMPUTED_VALUE"""),"TMK325ABJ476MM-T")</f>
        <v>TMK325ABJ476MM-T</v>
      </c>
      <c r="P274" s="4" t="str">
        <f>IFERROR(__xludf.DUMMYFUNCTION("""COMPUTED_VALUE"""),"456(R) 7 30 ")</f>
        <v>456(R) 7 30 </v>
      </c>
      <c r="Q274" s="4">
        <f>IFERROR(__xludf.DUMMYFUNCTION("""COMPUTED_VALUE"""),493.0)</f>
        <v>493</v>
      </c>
      <c r="R274" s="4">
        <f>IFERROR(__xludf.DUMMYFUNCTION("""COMPUTED_VALUE"""),456.0)</f>
        <v>456</v>
      </c>
      <c r="S274" s="4" t="str">
        <f>IFERROR(__xludf.DUMMYFUNCTION("""COMPUTED_VALUE"""),"Reel")</f>
        <v>Reel</v>
      </c>
      <c r="T274" s="4" t="str">
        <f>IFERROR(__xludf.DUMMYFUNCTION("""COMPUTED_VALUE"""),"XX21")</f>
        <v>XX21</v>
      </c>
      <c r="U274" s="4">
        <f>IFERROR(__xludf.DUMMYFUNCTION("""COMPUTED_VALUE"""),7.0)</f>
        <v>7</v>
      </c>
      <c r="V274" s="4" t="str">
        <f>IFERROR(__xludf.DUMMYFUNCTION("""COMPUTED_VALUE"""),"Bag")</f>
        <v>Bag</v>
      </c>
      <c r="W274" s="4" t="str">
        <f>IFERROR(__xludf.DUMMYFUNCTION("""COMPUTED_VALUE"""),"N/A")</f>
        <v>N/A</v>
      </c>
      <c r="X274" s="4">
        <f>IFERROR(__xludf.DUMMYFUNCTION("""COMPUTED_VALUE"""),30.0)</f>
        <v>30</v>
      </c>
      <c r="Y274" s="4" t="str">
        <f>IFERROR(__xludf.DUMMYFUNCTION("""COMPUTED_VALUE"""),"Bag")</f>
        <v>Bag</v>
      </c>
      <c r="Z274" s="4" t="str">
        <f>IFERROR(__xludf.DUMMYFUNCTION("""COMPUTED_VALUE"""),"N/A")</f>
        <v>N/A</v>
      </c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>
      <c r="A275" s="4" t="str">
        <f>IFERROR(__xludf.DUMMYFUNCTION("""COMPUTED_VALUE"""),"CONNECTOR:   USB 2.0 MINI R/A   [UX60-MB-5S8] [SMD]")</f>
        <v>CONNECTOR:   USB 2.0 MINI R/A   [UX60-MB-5S8] [SMD]</v>
      </c>
      <c r="B275" s="4" t="str">
        <f>IFERROR(__xludf.DUMMYFUNCTION("""COMPUTED_VALUE"""),"OEPS070021")</f>
        <v>OEPS070021</v>
      </c>
      <c r="C275" s="4" t="str">
        <f>IFERROR(__xludf.DUMMYFUNCTION("""COMPUTED_VALUE"""),"SMD")</f>
        <v>SMD</v>
      </c>
      <c r="D275" s="4" t="str">
        <f>IFERROR(__xludf.DUMMYFUNCTION("""COMPUTED_VALUE"""),"UX60-MB-5S8")</f>
        <v>UX60-MB-5S8</v>
      </c>
      <c r="E275" s="4">
        <f>IFERROR(__xludf.DUMMYFUNCTION("""COMPUTED_VALUE"""),1.0)</f>
        <v>1</v>
      </c>
      <c r="F275" s="4" t="str">
        <f>IFERROR(__xludf.DUMMYFUNCTION("""COMPUTED_VALUE"""),"DigiKey")</f>
        <v>DigiKey</v>
      </c>
      <c r="G275" s="4" t="str">
        <f>IFERROR(__xludf.DUMMYFUNCTION("""COMPUTED_VALUE"""),"H2960DKR-ND")</f>
        <v>H2960DKR-ND</v>
      </c>
      <c r="H275" s="4"/>
      <c r="I275" s="4"/>
      <c r="J275" s="4"/>
      <c r="K275" s="4"/>
      <c r="L275" s="4"/>
      <c r="M275" s="4"/>
      <c r="N275" s="9" t="str">
        <f>IFERROR(__xludf.DUMMYFUNCTION("""COMPUTED_VALUE"""),"OEPS M05 037")</f>
        <v>OEPS M05 037</v>
      </c>
      <c r="O275" s="4" t="str">
        <f>IFERROR(__xludf.DUMMYFUNCTION("""COMPUTED_VALUE"""),"1008PS-472KLB")</f>
        <v>1008PS-472KLB</v>
      </c>
      <c r="P275" s="4" t="str">
        <f>IFERROR(__xludf.DUMMYFUNCTION("""COMPUTED_VALUE"""),"51(R) 3 5 ")</f>
        <v>51(R) 3 5 </v>
      </c>
      <c r="Q275" s="4">
        <f>IFERROR(__xludf.DUMMYFUNCTION("""COMPUTED_VALUE"""),59.0)</f>
        <v>59</v>
      </c>
      <c r="R275" s="4">
        <f>IFERROR(__xludf.DUMMYFUNCTION("""COMPUTED_VALUE"""),51.0)</f>
        <v>51</v>
      </c>
      <c r="S275" s="4" t="str">
        <f>IFERROR(__xludf.DUMMYFUNCTION("""COMPUTED_VALUE"""),"Reel")</f>
        <v>Reel</v>
      </c>
      <c r="T275" s="4" t="str">
        <f>IFERROR(__xludf.DUMMYFUNCTION("""COMPUTED_VALUE"""),"XX21")</f>
        <v>XX21</v>
      </c>
      <c r="U275" s="4">
        <f>IFERROR(__xludf.DUMMYFUNCTION("""COMPUTED_VALUE"""),3.0)</f>
        <v>3</v>
      </c>
      <c r="V275" s="4" t="str">
        <f>IFERROR(__xludf.DUMMYFUNCTION("""COMPUTED_VALUE"""),"Bag")</f>
        <v>Bag</v>
      </c>
      <c r="W275" s="4" t="str">
        <f>IFERROR(__xludf.DUMMYFUNCTION("""COMPUTED_VALUE"""),"XXXX")</f>
        <v>XXXX</v>
      </c>
      <c r="X275" s="4">
        <f>IFERROR(__xludf.DUMMYFUNCTION("""COMPUTED_VALUE"""),5.0)</f>
        <v>5</v>
      </c>
      <c r="Y275" s="4" t="str">
        <f>IFERROR(__xludf.DUMMYFUNCTION("""COMPUTED_VALUE"""),"Bag")</f>
        <v>Bag</v>
      </c>
      <c r="Z275" s="4" t="str">
        <f>IFERROR(__xludf.DUMMYFUNCTION("""COMPUTED_VALUE"""),"N/A")</f>
        <v>N/A</v>
      </c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>
      <c r="A276" s="4" t="str">
        <f>IFERROR(__xludf.DUMMYFUNCTION("""COMPUTED_VALUE"""),"CONNECTOR:   USB2.0 TYPE C 16P SMD R/A   [USB4105-GF-A] [SMD/TH]")</f>
        <v>CONNECTOR:   USB2.0 TYPE C 16P SMD R/A   [USB4105-GF-A] [SMD/TH]</v>
      </c>
      <c r="B276" s="4" t="str">
        <f>IFERROR(__xludf.DUMMYFUNCTION("""COMPUTED_VALUE"""),"OEPS070105")</f>
        <v>OEPS070105</v>
      </c>
      <c r="C276" s="4" t="str">
        <f>IFERROR(__xludf.DUMMYFUNCTION("""COMPUTED_VALUE"""),"SMD/TH")</f>
        <v>SMD/TH</v>
      </c>
      <c r="D276" s="4" t="str">
        <f>IFERROR(__xludf.DUMMYFUNCTION("""COMPUTED_VALUE"""),"USB4105-GF-A")</f>
        <v>USB4105-GF-A</v>
      </c>
      <c r="E276" s="4">
        <f>IFERROR(__xludf.DUMMYFUNCTION("""COMPUTED_VALUE"""),1.0)</f>
        <v>1</v>
      </c>
      <c r="F276" s="4" t="str">
        <f>IFERROR(__xludf.DUMMYFUNCTION("""COMPUTED_VALUE"""),"Digikey")</f>
        <v>Digikey</v>
      </c>
      <c r="G276" s="4" t="str">
        <f>IFERROR(__xludf.DUMMYFUNCTION("""COMPUTED_VALUE"""),"2073-USB4105-GF-ADKR-ND")</f>
        <v>2073-USB4105-GF-ADKR-ND</v>
      </c>
      <c r="H276" s="4"/>
      <c r="I276" s="4"/>
      <c r="J276" s="4"/>
      <c r="K276" s="4"/>
      <c r="L276" s="4"/>
      <c r="M276" s="4"/>
      <c r="N276" s="9" t="str">
        <f>IFERROR(__xludf.DUMMYFUNCTION("""COMPUTED_VALUE"""),"OEPS M05 038")</f>
        <v>OEPS M05 038</v>
      </c>
      <c r="O276" s="4" t="str">
        <f>IFERROR(__xludf.DUMMYFUNCTION("""COMPUTED_VALUE"""),"BLM18KG601SN1D")</f>
        <v>BLM18KG601SN1D</v>
      </c>
      <c r="P276" s="4" t="str">
        <f>IFERROR(__xludf.DUMMYFUNCTION("""COMPUTED_VALUE"""),"265(R) ")</f>
        <v>265(R) </v>
      </c>
      <c r="Q276" s="4">
        <f>IFERROR(__xludf.DUMMYFUNCTION("""COMPUTED_VALUE"""),265.0)</f>
        <v>265</v>
      </c>
      <c r="R276" s="4">
        <f>IFERROR(__xludf.DUMMYFUNCTION("""COMPUTED_VALUE"""),265.0)</f>
        <v>265</v>
      </c>
      <c r="S276" s="4" t="str">
        <f>IFERROR(__xludf.DUMMYFUNCTION("""COMPUTED_VALUE"""),"Reel")</f>
        <v>Reel</v>
      </c>
      <c r="T276" s="4" t="str">
        <f>IFERROR(__xludf.DUMMYFUNCTION("""COMPUTED_VALUE"""),"XX21")</f>
        <v>XX21</v>
      </c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>
      <c r="A277" s="4" t="str">
        <f>IFERROR(__xludf.DUMMYFUNCTION("""COMPUTED_VALUE"""),"CONNECTOR:   USB2.0 TYPE C 24P SMD R/A   [USB4110-GF-A] [SMD]")</f>
        <v>CONNECTOR:   USB2.0 TYPE C 24P SMD R/A   [USB4110-GF-A] [SMD]</v>
      </c>
      <c r="B277" s="4" t="str">
        <f>IFERROR(__xludf.DUMMYFUNCTION("""COMPUTED_VALUE"""),"OEPS070153")</f>
        <v>OEPS070153</v>
      </c>
      <c r="C277" s="4" t="str">
        <f>IFERROR(__xludf.DUMMYFUNCTION("""COMPUTED_VALUE"""),"SMD")</f>
        <v>SMD</v>
      </c>
      <c r="D277" s="4" t="str">
        <f>IFERROR(__xludf.DUMMYFUNCTION("""COMPUTED_VALUE"""),"USB4110-GF-A")</f>
        <v>USB4110-GF-A</v>
      </c>
      <c r="E277" s="4">
        <f>IFERROR(__xludf.DUMMYFUNCTION("""COMPUTED_VALUE"""),1.0)</f>
        <v>1</v>
      </c>
      <c r="F277" s="4" t="str">
        <f>IFERROR(__xludf.DUMMYFUNCTION("""COMPUTED_VALUE"""),"Digikey")</f>
        <v>Digikey</v>
      </c>
      <c r="G277" s="4" t="str">
        <f>IFERROR(__xludf.DUMMYFUNCTION("""COMPUTED_VALUE"""),"2073-USB4110-GF-A-6-ND")</f>
        <v>2073-USB4110-GF-A-6-ND</v>
      </c>
      <c r="H277" s="4"/>
      <c r="I277" s="4"/>
      <c r="J277" s="4"/>
      <c r="K277" s="4"/>
      <c r="L277" s="4"/>
      <c r="M277" s="4"/>
      <c r="N277" s="9" t="str">
        <f>IFERROR(__xludf.DUMMYFUNCTION("""COMPUTED_VALUE"""),"OEPS M05 039")</f>
        <v>OEPS M05 039</v>
      </c>
      <c r="O277" s="4" t="str">
        <f>IFERROR(__xludf.DUMMYFUNCTION("""COMPUTED_VALUE"""),"SRN6045TA-101M")</f>
        <v>SRN6045TA-101M</v>
      </c>
      <c r="P277" s="4" t="str">
        <f>IFERROR(__xludf.DUMMYFUNCTION("""COMPUTED_VALUE"""),"8 30(R) ")</f>
        <v>8 30(R) </v>
      </c>
      <c r="Q277" s="4">
        <f>IFERROR(__xludf.DUMMYFUNCTION("""COMPUTED_VALUE"""),38.0)</f>
        <v>38</v>
      </c>
      <c r="R277" s="4"/>
      <c r="S277" s="4"/>
      <c r="T277" s="4"/>
      <c r="U277" s="4">
        <f>IFERROR(__xludf.DUMMYFUNCTION("""COMPUTED_VALUE"""),8.0)</f>
        <v>8</v>
      </c>
      <c r="V277" s="4" t="str">
        <f>IFERROR(__xludf.DUMMYFUNCTION("""COMPUTED_VALUE"""),"Bag")</f>
        <v>Bag</v>
      </c>
      <c r="W277" s="4" t="str">
        <f>IFERROR(__xludf.DUMMYFUNCTION("""COMPUTED_VALUE"""),"N/A")</f>
        <v>N/A</v>
      </c>
      <c r="X277" s="4"/>
      <c r="Y277" s="4"/>
      <c r="Z277" s="4"/>
      <c r="AA277" s="4">
        <f>IFERROR(__xludf.DUMMYFUNCTION("""COMPUTED_VALUE"""),30.0)</f>
        <v>30</v>
      </c>
      <c r="AB277" s="4" t="str">
        <f>IFERROR(__xludf.DUMMYFUNCTION("""COMPUTED_VALUE"""),"Reel")</f>
        <v>Reel</v>
      </c>
      <c r="AC277" s="4" t="str">
        <f>IFERROR(__xludf.DUMMYFUNCTION("""COMPUTED_VALUE"""),"0122")</f>
        <v>0122</v>
      </c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>
      <c r="A278" s="4" t="str">
        <f>IFERROR(__xludf.DUMMYFUNCTION("""COMPUTED_VALUE"""),"CONNECTOR:   USB3.0 MICRO B SMD R/A   [897-10-010-40-300002] [SMD]")</f>
        <v>CONNECTOR:   USB3.0 MICRO B SMD R/A   [897-10-010-40-300002] [SMD]</v>
      </c>
      <c r="B278" s="4" t="str">
        <f>IFERROR(__xludf.DUMMYFUNCTION("""COMPUTED_VALUE"""),"OEPS070094")</f>
        <v>OEPS070094</v>
      </c>
      <c r="C278" s="4" t="str">
        <f>IFERROR(__xludf.DUMMYFUNCTION("""COMPUTED_VALUE"""),"SMD")</f>
        <v>SMD</v>
      </c>
      <c r="D278" s="4" t="str">
        <f>IFERROR(__xludf.DUMMYFUNCTION("""COMPUTED_VALUE"""),"897-10-010-40-300002")</f>
        <v>897-10-010-40-300002</v>
      </c>
      <c r="E278" s="4">
        <f>IFERROR(__xludf.DUMMYFUNCTION("""COMPUTED_VALUE"""),1.0)</f>
        <v>1</v>
      </c>
      <c r="F278" s="4" t="str">
        <f>IFERROR(__xludf.DUMMYFUNCTION("""COMPUTED_VALUE"""),"Digikey")</f>
        <v>Digikey</v>
      </c>
      <c r="G278" s="4" t="str">
        <f>IFERROR(__xludf.DUMMYFUNCTION("""COMPUTED_VALUE"""),"ED1128DKR-ND")</f>
        <v>ED1128DKR-ND</v>
      </c>
      <c r="H278" s="4"/>
      <c r="I278" s="4"/>
      <c r="J278" s="4"/>
      <c r="K278" s="4"/>
      <c r="L278" s="4"/>
      <c r="M278" s="4"/>
      <c r="N278" s="9" t="str">
        <f>IFERROR(__xludf.DUMMYFUNCTION("""COMPUTED_VALUE"""),"OEPS M05 040")</f>
        <v>OEPS M05 040</v>
      </c>
      <c r="O278" s="4" t="str">
        <f>IFERROR(__xludf.DUMMYFUNCTION("""COMPUTED_VALUE"""),"MPZ2012S102AT000")</f>
        <v>MPZ2012S102AT000</v>
      </c>
      <c r="P278" s="4" t="str">
        <f>IFERROR(__xludf.DUMMYFUNCTION("""COMPUTED_VALUE"""),"110(R) 9 ")</f>
        <v>110(R) 9 </v>
      </c>
      <c r="Q278" s="4">
        <f>IFERROR(__xludf.DUMMYFUNCTION("""COMPUTED_VALUE"""),119.0)</f>
        <v>119</v>
      </c>
      <c r="R278" s="4">
        <f>IFERROR(__xludf.DUMMYFUNCTION("""COMPUTED_VALUE"""),110.0)</f>
        <v>110</v>
      </c>
      <c r="S278" s="4" t="str">
        <f>IFERROR(__xludf.DUMMYFUNCTION("""COMPUTED_VALUE"""),"Reel")</f>
        <v>Reel</v>
      </c>
      <c r="T278" s="4" t="str">
        <f>IFERROR(__xludf.DUMMYFUNCTION("""COMPUTED_VALUE"""),"XX21")</f>
        <v>XX21</v>
      </c>
      <c r="U278" s="4">
        <f>IFERROR(__xludf.DUMMYFUNCTION("""COMPUTED_VALUE"""),9.0)</f>
        <v>9</v>
      </c>
      <c r="V278" s="4" t="str">
        <f>IFERROR(__xludf.DUMMYFUNCTION("""COMPUTED_VALUE"""),"Bag")</f>
        <v>Bag</v>
      </c>
      <c r="W278" s="4" t="str">
        <f>IFERROR(__xludf.DUMMYFUNCTION("""COMPUTED_VALUE"""),"N/A")</f>
        <v>N/A</v>
      </c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>
      <c r="A279" s="4" t="str">
        <f>IFERROR(__xludf.DUMMYFUNCTION("""COMPUTED_VALUE"""),"CONNECTOR:   USB3.1 TYPE C 24P SMD R/A   [12401610E4#2A] [SMD/TH]")</f>
        <v>CONNECTOR:   USB3.1 TYPE C 24P SMD R/A   [12401610E4#2A] [SMD/TH]</v>
      </c>
      <c r="B279" s="4" t="str">
        <f>IFERROR(__xludf.DUMMYFUNCTION("""COMPUTED_VALUE"""),"OEPS070128")</f>
        <v>OEPS070128</v>
      </c>
      <c r="C279" s="4" t="str">
        <f>IFERROR(__xludf.DUMMYFUNCTION("""COMPUTED_VALUE"""),"SMD/TH")</f>
        <v>SMD/TH</v>
      </c>
      <c r="D279" s="4" t="str">
        <f>IFERROR(__xludf.DUMMYFUNCTION("""COMPUTED_VALUE"""),"12401610E4#2A")</f>
        <v>12401610E4#2A</v>
      </c>
      <c r="E279" s="4">
        <f>IFERROR(__xludf.DUMMYFUNCTION("""COMPUTED_VALUE"""),1.0)</f>
        <v>1</v>
      </c>
      <c r="F279" s="4" t="str">
        <f>IFERROR(__xludf.DUMMYFUNCTION("""COMPUTED_VALUE"""),"Mouser")</f>
        <v>Mouser</v>
      </c>
      <c r="G279" s="4" t="str">
        <f>IFERROR(__xludf.DUMMYFUNCTION("""COMPUTED_VALUE"""),"523-12401610E4#2A")</f>
        <v>523-12401610E4#2A</v>
      </c>
      <c r="H279" s="4"/>
      <c r="I279" s="4"/>
      <c r="J279" s="4"/>
      <c r="K279" s="4"/>
      <c r="L279" s="4"/>
      <c r="M279" s="4"/>
      <c r="N279" s="9" t="str">
        <f>IFERROR(__xludf.DUMMYFUNCTION("""COMPUTED_VALUE"""),"OEPS M05 041")</f>
        <v>OEPS M05 041</v>
      </c>
      <c r="O279" s="4" t="str">
        <f>IFERROR(__xludf.DUMMYFUNCTION("""COMPUTED_VALUE"""),"BLM15PX601SN1D")</f>
        <v>BLM15PX601SN1D</v>
      </c>
      <c r="P279" s="4" t="str">
        <f>IFERROR(__xludf.DUMMYFUNCTION("""COMPUTED_VALUE"""),"160(R) 124(R) ")</f>
        <v>160(R) 124(R) </v>
      </c>
      <c r="Q279" s="4">
        <f>IFERROR(__xludf.DUMMYFUNCTION("""COMPUTED_VALUE"""),284.0)</f>
        <v>284</v>
      </c>
      <c r="R279" s="4">
        <f>IFERROR(__xludf.DUMMYFUNCTION("""COMPUTED_VALUE"""),160.0)</f>
        <v>160</v>
      </c>
      <c r="S279" s="4" t="str">
        <f>IFERROR(__xludf.DUMMYFUNCTION("""COMPUTED_VALUE"""),"Reel")</f>
        <v>Reel</v>
      </c>
      <c r="T279" s="4" t="str">
        <f>IFERROR(__xludf.DUMMYFUNCTION("""COMPUTED_VALUE"""),"XX21")</f>
        <v>XX21</v>
      </c>
      <c r="U279" s="4">
        <f>IFERROR(__xludf.DUMMYFUNCTION("""COMPUTED_VALUE"""),124.0)</f>
        <v>124</v>
      </c>
      <c r="V279" s="4" t="str">
        <f>IFERROR(__xludf.DUMMYFUNCTION("""COMPUTED_VALUE"""),"Reel")</f>
        <v>Reel</v>
      </c>
      <c r="W279" s="4" t="str">
        <f>IFERROR(__xludf.DUMMYFUNCTION("""COMPUTED_VALUE"""),"XX20")</f>
        <v>XX20</v>
      </c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>
      <c r="A280" s="4" t="str">
        <f>IFERROR(__xludf.DUMMYFUNCTION("""COMPUTED_VALUE"""),"CONNECTOR:   X.FL RCPT Straight 50 OHM (OEPS Q20 002)   [X.FL-R-SMT-1(02)] [SMD]")</f>
        <v>CONNECTOR:   X.FL RCPT Straight 50 OHM (OEPS Q20 002)   [X.FL-R-SMT-1(02)] [SMD]</v>
      </c>
      <c r="B280" s="4" t="str">
        <f>IFERROR(__xludf.DUMMYFUNCTION("""COMPUTED_VALUE"""),"OEPS070052")</f>
        <v>OEPS070052</v>
      </c>
      <c r="C280" s="4" t="str">
        <f>IFERROR(__xludf.DUMMYFUNCTION("""COMPUTED_VALUE"""),"SMD")</f>
        <v>SMD</v>
      </c>
      <c r="D280" s="4" t="str">
        <f>IFERROR(__xludf.DUMMYFUNCTION("""COMPUTED_VALUE"""),"X.FL-R-SMT-1(02)")</f>
        <v>X.FL-R-SMT-1(02)</v>
      </c>
      <c r="E280" s="4">
        <f>IFERROR(__xludf.DUMMYFUNCTION("""COMPUTED_VALUE"""),1.0)</f>
        <v>1</v>
      </c>
      <c r="F280" s="4" t="str">
        <f>IFERROR(__xludf.DUMMYFUNCTION("""COMPUTED_VALUE"""),"DigiKey")</f>
        <v>DigiKey</v>
      </c>
      <c r="G280" s="4" t="str">
        <f>IFERROR(__xludf.DUMMYFUNCTION("""COMPUTED_VALUE"""),"H122100DKR-ND")</f>
        <v>H122100DKR-ND</v>
      </c>
      <c r="H280" s="4"/>
      <c r="I280" s="4"/>
      <c r="J280" s="4"/>
      <c r="K280" s="4"/>
      <c r="L280" s="4"/>
      <c r="M280" s="4"/>
      <c r="N280" s="9" t="str">
        <f>IFERROR(__xludf.DUMMYFUNCTION("""COMPUTED_VALUE"""),"OEPS M05 042")</f>
        <v>OEPS M05 042</v>
      </c>
      <c r="O280" s="4" t="str">
        <f>IFERROR(__xludf.DUMMYFUNCTION("""COMPUTED_VALUE"""),"HSMG-C280")</f>
        <v>HSMG-C280</v>
      </c>
      <c r="P280" s="4" t="str">
        <f>IFERROR(__xludf.DUMMYFUNCTION("""COMPUTED_VALUE"""),"198(R) ")</f>
        <v>198(R) </v>
      </c>
      <c r="Q280" s="4">
        <f>IFERROR(__xludf.DUMMYFUNCTION("""COMPUTED_VALUE"""),198.0)</f>
        <v>198</v>
      </c>
      <c r="R280" s="4">
        <f>IFERROR(__xludf.DUMMYFUNCTION("""COMPUTED_VALUE"""),198.0)</f>
        <v>198</v>
      </c>
      <c r="S280" s="4" t="str">
        <f>IFERROR(__xludf.DUMMYFUNCTION("""COMPUTED_VALUE"""),"Reel")</f>
        <v>Reel</v>
      </c>
      <c r="T280" s="4" t="str">
        <f>IFERROR(__xludf.DUMMYFUNCTION("""COMPUTED_VALUE"""),"XX21")</f>
        <v>XX21</v>
      </c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>
      <c r="A281" s="4" t="str">
        <f>IFERROR(__xludf.DUMMYFUNCTION("""COMPUTED_VALUE"""),"DIODE:   DIODE SCHOTTKY 20V 1A   [SM5817PL-TP] [SOD-123FL]")</f>
        <v>DIODE:   DIODE SCHOTTKY 20V 1A   [SM5817PL-TP] [SOD-123FL]</v>
      </c>
      <c r="B281" s="4" t="str">
        <f>IFERROR(__xludf.DUMMYFUNCTION("""COMPUTED_VALUE"""),"OEPS030030")</f>
        <v>OEPS030030</v>
      </c>
      <c r="C281" s="4" t="str">
        <f>IFERROR(__xludf.DUMMYFUNCTION("""COMPUTED_VALUE"""),"SMD")</f>
        <v>SMD</v>
      </c>
      <c r="D281" s="4" t="str">
        <f>IFERROR(__xludf.DUMMYFUNCTION("""COMPUTED_VALUE"""),"SM5817PL-TP")</f>
        <v>SM5817PL-TP</v>
      </c>
      <c r="E281" s="4">
        <f>IFERROR(__xludf.DUMMYFUNCTION("""COMPUTED_VALUE"""),5.0)</f>
        <v>5</v>
      </c>
      <c r="F281" s="4" t="str">
        <f>IFERROR(__xludf.DUMMYFUNCTION("""COMPUTED_VALUE"""),"Digikey")</f>
        <v>Digikey</v>
      </c>
      <c r="G281" s="4" t="str">
        <f>IFERROR(__xludf.DUMMYFUNCTION("""COMPUTED_VALUE"""),"SM5817PL-TPMSDKR-ND")</f>
        <v>SM5817PL-TPMSDKR-ND</v>
      </c>
      <c r="H281" s="4"/>
      <c r="I281" s="4"/>
      <c r="J281" s="4"/>
      <c r="K281" s="4"/>
      <c r="L281" s="4"/>
      <c r="M281" s="4"/>
      <c r="N281" s="9" t="str">
        <f>IFERROR(__xludf.DUMMYFUNCTION("""COMPUTED_VALUE"""),"OEPS M05 043")</f>
        <v>OEPS M05 043</v>
      </c>
      <c r="O281" s="4" t="str">
        <f>IFERROR(__xludf.DUMMYFUNCTION("""COMPUTED_VALUE"""),"SESD0402X1UN0030")</f>
        <v>SESD0402X1UN0030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>
      <c r="A282" s="4" t="str">
        <f>IFERROR(__xludf.DUMMYFUNCTION("""COMPUTED_VALUE"""),"DIODE:   DIODE SCHOTTKY 20V 1A 340m@1A   [MBR120VLSFT3G] [SOD-123FL]")</f>
        <v>DIODE:   DIODE SCHOTTKY 20V 1A 340m@1A   [MBR120VLSFT3G] [SOD-123FL]</v>
      </c>
      <c r="B282" s="4" t="str">
        <f>IFERROR(__xludf.DUMMYFUNCTION("""COMPUTED_VALUE"""),"OEPS030046")</f>
        <v>OEPS030046</v>
      </c>
      <c r="C282" s="4" t="str">
        <f>IFERROR(__xludf.DUMMYFUNCTION("""COMPUTED_VALUE"""),"SMD")</f>
        <v>SMD</v>
      </c>
      <c r="D282" s="4" t="str">
        <f>IFERROR(__xludf.DUMMYFUNCTION("""COMPUTED_VALUE"""),"MBR120VLSFT3G")</f>
        <v>MBR120VLSFT3G</v>
      </c>
      <c r="E282" s="4">
        <f>IFERROR(__xludf.DUMMYFUNCTION("""COMPUTED_VALUE"""),5.0)</f>
        <v>5</v>
      </c>
      <c r="F282" s="4" t="str">
        <f>IFERROR(__xludf.DUMMYFUNCTION("""COMPUTED_VALUE"""),"Digikey")</f>
        <v>Digikey</v>
      </c>
      <c r="G282" s="4" t="str">
        <f>IFERROR(__xludf.DUMMYFUNCTION("""COMPUTED_VALUE"""),"MBR120VLSFT3GOSDKR-ND")</f>
        <v>MBR120VLSFT3GOSDKR-ND</v>
      </c>
      <c r="H282" s="4"/>
      <c r="I282" s="4"/>
      <c r="J282" s="4"/>
      <c r="K282" s="4"/>
      <c r="L282" s="4"/>
      <c r="M282" s="4"/>
      <c r="N282" s="9" t="str">
        <f>IFERROR(__xludf.DUMMYFUNCTION("""COMPUTED_VALUE"""),"OEPS M05 044")</f>
        <v>OEPS M05 044</v>
      </c>
      <c r="O282" s="4" t="str">
        <f>IFERROR(__xludf.DUMMYFUNCTION("""COMPUTED_VALUE"""),"BAR66E6327")</f>
        <v>BAR66E6327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>
      <c r="A283" s="4" t="str">
        <f>IFERROR(__xludf.DUMMYFUNCTION("""COMPUTED_VALUE"""),"DIODE:   DIODE SCHOTTKY 30V 2A   [PMEG3020EP,115] [SOD128]")</f>
        <v>DIODE:   DIODE SCHOTTKY 30V 2A   [PMEG3020EP,115] [SOD128]</v>
      </c>
      <c r="B283" s="4" t="str">
        <f>IFERROR(__xludf.DUMMYFUNCTION("""COMPUTED_VALUE"""),"OEPS030027")</f>
        <v>OEPS030027</v>
      </c>
      <c r="C283" s="4" t="str">
        <f>IFERROR(__xludf.DUMMYFUNCTION("""COMPUTED_VALUE"""),"SMD")</f>
        <v>SMD</v>
      </c>
      <c r="D283" s="4" t="str">
        <f>IFERROR(__xludf.DUMMYFUNCTION("""COMPUTED_VALUE"""),"PMEG3020EP,115")</f>
        <v>PMEG3020EP,115</v>
      </c>
      <c r="E283" s="4">
        <f>IFERROR(__xludf.DUMMYFUNCTION("""COMPUTED_VALUE"""),10.0)</f>
        <v>10</v>
      </c>
      <c r="F283" s="4" t="str">
        <f>IFERROR(__xludf.DUMMYFUNCTION("""COMPUTED_VALUE"""),"DigiKey")</f>
        <v>DigiKey</v>
      </c>
      <c r="G283" s="4" t="str">
        <f>IFERROR(__xludf.DUMMYFUNCTION("""COMPUTED_VALUE"""),"1727-5836-6-ND")</f>
        <v>1727-5836-6-ND</v>
      </c>
      <c r="H283" s="4"/>
      <c r="I283" s="4"/>
      <c r="J283" s="4"/>
      <c r="K283" s="4"/>
      <c r="L283" s="4"/>
      <c r="M283" s="4"/>
      <c r="N283" s="9" t="str">
        <f>IFERROR(__xludf.DUMMYFUNCTION("""COMPUTED_VALUE"""),"OEPS M05 045")</f>
        <v>OEPS M05 045</v>
      </c>
      <c r="O283" s="4" t="str">
        <f>IFERROR(__xludf.DUMMYFUNCTION("""COMPUTED_VALUE"""),"KDZVTR4.3B")</f>
        <v>KDZVTR4.3B</v>
      </c>
      <c r="P283" s="4" t="str">
        <f>IFERROR(__xludf.DUMMYFUNCTION("""COMPUTED_VALUE"""),"63(R) ")</f>
        <v>63(R) </v>
      </c>
      <c r="Q283" s="4">
        <f>IFERROR(__xludf.DUMMYFUNCTION("""COMPUTED_VALUE"""),63.0)</f>
        <v>63</v>
      </c>
      <c r="R283" s="4">
        <f>IFERROR(__xludf.DUMMYFUNCTION("""COMPUTED_VALUE"""),63.0)</f>
        <v>63</v>
      </c>
      <c r="S283" s="4" t="str">
        <f>IFERROR(__xludf.DUMMYFUNCTION("""COMPUTED_VALUE"""),"Reel")</f>
        <v>Reel</v>
      </c>
      <c r="T283" s="4" t="str">
        <f>IFERROR(__xludf.DUMMYFUNCTION("""COMPUTED_VALUE"""),"XX21")</f>
        <v>XX21</v>
      </c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>
      <c r="A284" s="4" t="str">
        <f>IFERROR(__xludf.DUMMYFUNCTION("""COMPUTED_VALUE"""),"DIODE:   DIODE SCHOTTKY 30V 340mA ARRAY   [BAT54SW] [TH]")</f>
        <v>DIODE:   DIODE SCHOTTKY 30V 340mA ARRAY   [BAT54SW] [TH]</v>
      </c>
      <c r="B284" s="4" t="str">
        <f>IFERROR(__xludf.DUMMYFUNCTION("""COMPUTED_VALUE"""),"OEPS030056")</f>
        <v>OEPS030056</v>
      </c>
      <c r="C284" s="4" t="str">
        <f>IFERROR(__xludf.DUMMYFUNCTION("""COMPUTED_VALUE"""),"TH")</f>
        <v>TH</v>
      </c>
      <c r="D284" s="4" t="str">
        <f>IFERROR(__xludf.DUMMYFUNCTION("""COMPUTED_VALUE"""),"BAT54SW")</f>
        <v>BAT54SW</v>
      </c>
      <c r="E284" s="4">
        <f>IFERROR(__xludf.DUMMYFUNCTION("""COMPUTED_VALUE"""),1.0)</f>
        <v>1</v>
      </c>
      <c r="F284" s="4" t="str">
        <f>IFERROR(__xludf.DUMMYFUNCTION("""COMPUTED_VALUE"""),"DigiKey")</f>
        <v>DigiKey</v>
      </c>
      <c r="G284" s="4" t="str">
        <f>IFERROR(__xludf.DUMMYFUNCTION("""COMPUTED_VALUE"""),"5399-BAT54SWCT-ND")</f>
        <v>5399-BAT54SWCT-ND</v>
      </c>
      <c r="H284" s="4"/>
      <c r="I284" s="4"/>
      <c r="J284" s="4"/>
      <c r="K284" s="4"/>
      <c r="L284" s="4"/>
      <c r="M284" s="4"/>
      <c r="N284" s="9" t="str">
        <f>IFERROR(__xludf.DUMMYFUNCTION("""COMPUTED_VALUE"""),"OEPS M05 046")</f>
        <v>OEPS M05 046</v>
      </c>
      <c r="O284" s="4" t="str">
        <f>IFERROR(__xludf.DUMMYFUNCTION("""COMPUTED_VALUE"""),"APFA3011AK13F")</f>
        <v>APFA3011AK13F</v>
      </c>
      <c r="P284" s="4" t="str">
        <f>IFERROR(__xludf.DUMMYFUNCTION("""COMPUTED_VALUE"""),"102(R) ")</f>
        <v>102(R) </v>
      </c>
      <c r="Q284" s="4">
        <f>IFERROR(__xludf.DUMMYFUNCTION("""COMPUTED_VALUE"""),102.0)</f>
        <v>102</v>
      </c>
      <c r="R284" s="4">
        <f>IFERROR(__xludf.DUMMYFUNCTION("""COMPUTED_VALUE"""),102.0)</f>
        <v>102</v>
      </c>
      <c r="S284" s="4" t="str">
        <f>IFERROR(__xludf.DUMMYFUNCTION("""COMPUTED_VALUE"""),"Reel")</f>
        <v>Reel</v>
      </c>
      <c r="T284" s="4" t="str">
        <f>IFERROR(__xludf.DUMMYFUNCTION("""COMPUTED_VALUE"""),"XX21")</f>
        <v>XX21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>
      <c r="A285" s="4" t="str">
        <f>IFERROR(__xludf.DUMMYFUNCTION("""COMPUTED_VALUE"""),"DIODE:   DIODE SCHOTTKY 40V 1A   [CDBW140-G] [SOD-123]")</f>
        <v>DIODE:   DIODE SCHOTTKY 40V 1A   [CDBW140-G] [SOD-123]</v>
      </c>
      <c r="B285" s="4" t="str">
        <f>IFERROR(__xludf.DUMMYFUNCTION("""COMPUTED_VALUE"""),"OEPS030034")</f>
        <v>OEPS030034</v>
      </c>
      <c r="C285" s="4" t="str">
        <f>IFERROR(__xludf.DUMMYFUNCTION("""COMPUTED_VALUE"""),"SMD")</f>
        <v>SMD</v>
      </c>
      <c r="D285" s="4" t="str">
        <f>IFERROR(__xludf.DUMMYFUNCTION("""COMPUTED_VALUE"""),"CDBW140-G")</f>
        <v>CDBW140-G</v>
      </c>
      <c r="E285" s="4">
        <f>IFERROR(__xludf.DUMMYFUNCTION("""COMPUTED_VALUE"""),10.0)</f>
        <v>10</v>
      </c>
      <c r="F285" s="4" t="str">
        <f>IFERROR(__xludf.DUMMYFUNCTION("""COMPUTED_VALUE"""),"Digikey")</f>
        <v>Digikey</v>
      </c>
      <c r="G285" s="4" t="str">
        <f>IFERROR(__xludf.DUMMYFUNCTION("""COMPUTED_VALUE"""),"641-1458-6-ND")</f>
        <v>641-1458-6-ND</v>
      </c>
      <c r="H285" s="4"/>
      <c r="I285" s="4"/>
      <c r="J285" s="4"/>
      <c r="K285" s="4"/>
      <c r="L285" s="4"/>
      <c r="M285" s="4"/>
      <c r="N285" s="9" t="str">
        <f>IFERROR(__xludf.DUMMYFUNCTION("""COMPUTED_VALUE"""),"OEPS M05 047")</f>
        <v>OEPS M05 047</v>
      </c>
      <c r="O285" s="4" t="str">
        <f>IFERROR(__xludf.DUMMYFUNCTION("""COMPUTED_VALUE"""),"SI1012R-T1-GE3")</f>
        <v>SI1012R-T1-GE3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>
      <c r="A286" s="4" t="str">
        <f>IFERROR(__xludf.DUMMYFUNCTION("""COMPUTED_VALUE"""),"DIODE:   DIODE SCHOTTKY ARRAY 30V 100mA   [BAR43AFILM] [SOT-23-3]")</f>
        <v>DIODE:   DIODE SCHOTTKY ARRAY 30V 100mA   [BAR43AFILM] [SOT-23-3]</v>
      </c>
      <c r="B286" s="4" t="str">
        <f>IFERROR(__xludf.DUMMYFUNCTION("""COMPUTED_VALUE"""),"OEPS030036")</f>
        <v>OEPS030036</v>
      </c>
      <c r="C286" s="4" t="str">
        <f>IFERROR(__xludf.DUMMYFUNCTION("""COMPUTED_VALUE"""),"SMD")</f>
        <v>SMD</v>
      </c>
      <c r="D286" s="4" t="str">
        <f>IFERROR(__xludf.DUMMYFUNCTION("""COMPUTED_VALUE"""),"BAR43AFILM")</f>
        <v>BAR43AFILM</v>
      </c>
      <c r="E286" s="4">
        <f>IFERROR(__xludf.DUMMYFUNCTION("""COMPUTED_VALUE"""),10.0)</f>
        <v>10</v>
      </c>
      <c r="F286" s="4" t="str">
        <f>IFERROR(__xludf.DUMMYFUNCTION("""COMPUTED_VALUE"""),"Digikey")</f>
        <v>Digikey</v>
      </c>
      <c r="G286" s="4" t="str">
        <f>IFERROR(__xludf.DUMMYFUNCTION("""COMPUTED_VALUE"""),"497-2514-6-ND")</f>
        <v>497-2514-6-ND</v>
      </c>
      <c r="H286" s="4"/>
      <c r="I286" s="4"/>
      <c r="J286" s="4"/>
      <c r="K286" s="4"/>
      <c r="L286" s="4"/>
      <c r="M286" s="4"/>
      <c r="N286" s="9" t="str">
        <f>IFERROR(__xludf.DUMMYFUNCTION("""COMPUTED_VALUE"""),"OEPS M05 048")</f>
        <v>OEPS M05 048</v>
      </c>
      <c r="O286" s="4" t="str">
        <f>IFERROR(__xludf.DUMMYFUNCTION("""COMPUTED_VALUE"""),"SN74LVC2G34DCKR")</f>
        <v>SN74LVC2G34DCKR</v>
      </c>
      <c r="P286" s="4" t="str">
        <f>IFERROR(__xludf.DUMMYFUNCTION("""COMPUTED_VALUE"""),"43(R) ")</f>
        <v>43(R) </v>
      </c>
      <c r="Q286" s="4">
        <f>IFERROR(__xludf.DUMMYFUNCTION("""COMPUTED_VALUE"""),43.0)</f>
        <v>43</v>
      </c>
      <c r="R286" s="4">
        <f>IFERROR(__xludf.DUMMYFUNCTION("""COMPUTED_VALUE"""),43.0)</f>
        <v>43</v>
      </c>
      <c r="S286" s="4" t="str">
        <f>IFERROR(__xludf.DUMMYFUNCTION("""COMPUTED_VALUE"""),"Reel")</f>
        <v>Reel</v>
      </c>
      <c r="T286" s="4" t="str">
        <f>IFERROR(__xludf.DUMMYFUNCTION("""COMPUTED_VALUE"""),"1120")</f>
        <v>1120</v>
      </c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>
      <c r="A287" s="4" t="str">
        <f>IFERROR(__xludf.DUMMYFUNCTION("""COMPUTED_VALUE"""),"DIODE:   DIODE SCHOTTKY ARRAY 30V 100mA   [BAR43CFILM] [SOT-23-3]")</f>
        <v>DIODE:   DIODE SCHOTTKY ARRAY 30V 100mA   [BAR43CFILM] [SOT-23-3]</v>
      </c>
      <c r="B287" s="4" t="str">
        <f>IFERROR(__xludf.DUMMYFUNCTION("""COMPUTED_VALUE"""),"OEPS030035")</f>
        <v>OEPS030035</v>
      </c>
      <c r="C287" s="4" t="str">
        <f>IFERROR(__xludf.DUMMYFUNCTION("""COMPUTED_VALUE"""),"SMD")</f>
        <v>SMD</v>
      </c>
      <c r="D287" s="4" t="str">
        <f>IFERROR(__xludf.DUMMYFUNCTION("""COMPUTED_VALUE"""),"BAR43CFILM")</f>
        <v>BAR43CFILM</v>
      </c>
      <c r="E287" s="4">
        <f>IFERROR(__xludf.DUMMYFUNCTION("""COMPUTED_VALUE"""),10.0)</f>
        <v>10</v>
      </c>
      <c r="F287" s="4" t="str">
        <f>IFERROR(__xludf.DUMMYFUNCTION("""COMPUTED_VALUE"""),"Digikey")</f>
        <v>Digikey</v>
      </c>
      <c r="G287" s="4" t="str">
        <f>IFERROR(__xludf.DUMMYFUNCTION("""COMPUTED_VALUE"""),"497-2520-6-ND")</f>
        <v>497-2520-6-ND</v>
      </c>
      <c r="H287" s="4"/>
      <c r="I287" s="4"/>
      <c r="J287" s="4"/>
      <c r="K287" s="4"/>
      <c r="L287" s="4"/>
      <c r="M287" s="4"/>
      <c r="N287" s="9" t="str">
        <f>IFERROR(__xludf.DUMMYFUNCTION("""COMPUTED_VALUE"""),"OEPS M05 049")</f>
        <v>OEPS M05 049</v>
      </c>
      <c r="O287" s="4" t="str">
        <f>IFERROR(__xludf.DUMMYFUNCTION("""COMPUTED_VALUE"""),"SN65LVDS9638DGNR")</f>
        <v>SN65LVDS9638DGNR</v>
      </c>
      <c r="P287" s="4" t="str">
        <f>IFERROR(__xludf.DUMMYFUNCTION("""COMPUTED_VALUE"""),"33(R) ")</f>
        <v>33(R) </v>
      </c>
      <c r="Q287" s="4">
        <f>IFERROR(__xludf.DUMMYFUNCTION("""COMPUTED_VALUE"""),33.0)</f>
        <v>33</v>
      </c>
      <c r="R287" s="4">
        <f>IFERROR(__xludf.DUMMYFUNCTION("""COMPUTED_VALUE"""),33.0)</f>
        <v>33</v>
      </c>
      <c r="S287" s="4" t="str">
        <f>IFERROR(__xludf.DUMMYFUNCTION("""COMPUTED_VALUE"""),"Reel")</f>
        <v>Reel</v>
      </c>
      <c r="T287" s="4" t="str">
        <f>IFERROR(__xludf.DUMMYFUNCTION("""COMPUTED_VALUE"""),"1120")</f>
        <v>1120</v>
      </c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>
      <c r="A288" s="4" t="str">
        <f>IFERROR(__xludf.DUMMYFUNCTION("""COMPUTED_VALUE"""),"DIODE:   DIODE ZENER 3.6V 0.2W   [MM3Z3V6B] [SOD323F]")</f>
        <v>DIODE:   DIODE ZENER 3.6V 0.2W   [MM3Z3V6B] [SOD323F]</v>
      </c>
      <c r="B288" s="4" t="str">
        <f>IFERROR(__xludf.DUMMYFUNCTION("""COMPUTED_VALUE"""),"OEPS030048")</f>
        <v>OEPS030048</v>
      </c>
      <c r="C288" s="4" t="str">
        <f>IFERROR(__xludf.DUMMYFUNCTION("""COMPUTED_VALUE"""),"SMD")</f>
        <v>SMD</v>
      </c>
      <c r="D288" s="4" t="str">
        <f>IFERROR(__xludf.DUMMYFUNCTION("""COMPUTED_VALUE"""),"MM3Z3V6B")</f>
        <v>MM3Z3V6B</v>
      </c>
      <c r="E288" s="4">
        <f>IFERROR(__xludf.DUMMYFUNCTION("""COMPUTED_VALUE"""),10.0)</f>
        <v>10</v>
      </c>
      <c r="F288" s="4" t="str">
        <f>IFERROR(__xludf.DUMMYFUNCTION("""COMPUTED_VALUE"""),"DigiKey")</f>
        <v>DigiKey</v>
      </c>
      <c r="G288" s="4" t="str">
        <f>IFERROR(__xludf.DUMMYFUNCTION("""COMPUTED_VALUE"""),"MM3Z3V6BDKR-ND")</f>
        <v>MM3Z3V6BDKR-ND</v>
      </c>
      <c r="H288" s="4"/>
      <c r="I288" s="4"/>
      <c r="J288" s="4"/>
      <c r="K288" s="4"/>
      <c r="L288" s="4"/>
      <c r="M288" s="4"/>
      <c r="N288" s="9" t="str">
        <f>IFERROR(__xludf.DUMMYFUNCTION("""COMPUTED_VALUE"""),"OEPS M05 050")</f>
        <v>OEPS M05 050</v>
      </c>
      <c r="O288" s="4" t="str">
        <f>IFERROR(__xludf.DUMMYFUNCTION("""COMPUTED_VALUE"""),"FIN1032MTCX")</f>
        <v>FIN1032MTCX</v>
      </c>
      <c r="P288" s="4" t="str">
        <f>IFERROR(__xludf.DUMMYFUNCTION("""COMPUTED_VALUE"""),"33(R) ")</f>
        <v>33(R) </v>
      </c>
      <c r="Q288" s="4">
        <f>IFERROR(__xludf.DUMMYFUNCTION("""COMPUTED_VALUE"""),33.0)</f>
        <v>33</v>
      </c>
      <c r="R288" s="4">
        <f>IFERROR(__xludf.DUMMYFUNCTION("""COMPUTED_VALUE"""),33.0)</f>
        <v>33</v>
      </c>
      <c r="S288" s="4" t="str">
        <f>IFERROR(__xludf.DUMMYFUNCTION("""COMPUTED_VALUE"""),"Reel")</f>
        <v>Reel</v>
      </c>
      <c r="T288" s="4" t="str">
        <f>IFERROR(__xludf.DUMMYFUNCTION("""COMPUTED_VALUE"""),"1120")</f>
        <v>1120</v>
      </c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>
      <c r="A289" s="4" t="str">
        <f>IFERROR(__xludf.DUMMYFUNCTION("""COMPUTED_VALUE"""),"DIODE:   DIODE ZENER 4.55V 1W   [KDZVTR4.3B] [PMDU]")</f>
        <v>DIODE:   DIODE ZENER 4.55V 1W   [KDZVTR4.3B] [PMDU]</v>
      </c>
      <c r="B289" s="4" t="str">
        <f>IFERROR(__xludf.DUMMYFUNCTION("""COMPUTED_VALUE"""),"OEPS030051")</f>
        <v>OEPS030051</v>
      </c>
      <c r="C289" s="4" t="str">
        <f>IFERROR(__xludf.DUMMYFUNCTION("""COMPUTED_VALUE"""),"SMD")</f>
        <v>SMD</v>
      </c>
      <c r="D289" s="4" t="str">
        <f>IFERROR(__xludf.DUMMYFUNCTION("""COMPUTED_VALUE"""),"KDZVTR4.3B")</f>
        <v>KDZVTR4.3B</v>
      </c>
      <c r="E289" s="4">
        <f>IFERROR(__xludf.DUMMYFUNCTION("""COMPUTED_VALUE"""),10.0)</f>
        <v>10</v>
      </c>
      <c r="F289" s="4" t="str">
        <f>IFERROR(__xludf.DUMMYFUNCTION("""COMPUTED_VALUE"""),"DigiKey")</f>
        <v>DigiKey</v>
      </c>
      <c r="G289" s="4" t="str">
        <f>IFERROR(__xludf.DUMMYFUNCTION("""COMPUTED_VALUE"""),"KDZVTR4.3BDKR-ND")</f>
        <v>KDZVTR4.3BDKR-ND</v>
      </c>
      <c r="H289" s="4"/>
      <c r="I289" s="4"/>
      <c r="J289" s="4"/>
      <c r="K289" s="4"/>
      <c r="L289" s="4"/>
      <c r="M289" s="4"/>
      <c r="N289" s="9" t="str">
        <f>IFERROR(__xludf.DUMMYFUNCTION("""COMPUTED_VALUE"""),"OEPS M05 051")</f>
        <v>OEPS M05 051</v>
      </c>
      <c r="O289" s="4" t="str">
        <f>IFERROR(__xludf.DUMMYFUNCTION("""COMPUTED_VALUE"""),"LTC2875IDD#PBF")</f>
        <v>LTC2875IDD#PBF</v>
      </c>
      <c r="P289" s="4" t="str">
        <f>IFERROR(__xludf.DUMMYFUNCTION("""COMPUTED_VALUE"""),"4(Tp) 38(Tp) 4(Tb) ")</f>
        <v>4(Tp) 38(Tp) 4(Tb) </v>
      </c>
      <c r="Q289" s="4">
        <f>IFERROR(__xludf.DUMMYFUNCTION("""COMPUTED_VALUE"""),46.0)</f>
        <v>46</v>
      </c>
      <c r="R289" s="4">
        <f>IFERROR(__xludf.DUMMYFUNCTION("""COMPUTED_VALUE"""),4.0)</f>
        <v>4</v>
      </c>
      <c r="S289" s="4" t="str">
        <f>IFERROR(__xludf.DUMMYFUNCTION("""COMPUTED_VALUE"""),"Tape")</f>
        <v>Tape</v>
      </c>
      <c r="T289" s="4" t="str">
        <f>IFERROR(__xludf.DUMMYFUNCTION("""COMPUTED_VALUE"""),"N/A")</f>
        <v>N/A</v>
      </c>
      <c r="U289" s="4">
        <f>IFERROR(__xludf.DUMMYFUNCTION("""COMPUTED_VALUE"""),38.0)</f>
        <v>38</v>
      </c>
      <c r="V289" s="4" t="str">
        <f>IFERROR(__xludf.DUMMYFUNCTION("""COMPUTED_VALUE"""),"Tape")</f>
        <v>Tape</v>
      </c>
      <c r="W289" s="4" t="str">
        <f>IFERROR(__xludf.DUMMYFUNCTION("""COMPUTED_VALUE"""),"N/A")</f>
        <v>N/A</v>
      </c>
      <c r="X289" s="4">
        <f>IFERROR(__xludf.DUMMYFUNCTION("""COMPUTED_VALUE"""),4.0)</f>
        <v>4</v>
      </c>
      <c r="Y289" s="4" t="str">
        <f>IFERROR(__xludf.DUMMYFUNCTION("""COMPUTED_VALUE"""),"Tube")</f>
        <v>Tube</v>
      </c>
      <c r="Z289" s="4" t="str">
        <f>IFERROR(__xludf.DUMMYFUNCTION("""COMPUTED_VALUE"""),"N/A")</f>
        <v>N/A</v>
      </c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>
      <c r="A290" s="4" t="str">
        <f>IFERROR(__xludf.DUMMYFUNCTION("""COMPUTED_VALUE"""),"DIODE:   DIODE ZENER 7.5V 0.225W   [MMBZ5236BLT1G] [SOT-23-3]")</f>
        <v>DIODE:   DIODE ZENER 7.5V 0.225W   [MMBZ5236BLT1G] [SOT-23-3]</v>
      </c>
      <c r="B290" s="4" t="str">
        <f>IFERROR(__xludf.DUMMYFUNCTION("""COMPUTED_VALUE"""),"OEPS030025")</f>
        <v>OEPS030025</v>
      </c>
      <c r="C290" s="4" t="str">
        <f>IFERROR(__xludf.DUMMYFUNCTION("""COMPUTED_VALUE"""),"SMD")</f>
        <v>SMD</v>
      </c>
      <c r="D290" s="4" t="str">
        <f>IFERROR(__xludf.DUMMYFUNCTION("""COMPUTED_VALUE"""),"MMBZ5236BLT1G")</f>
        <v>MMBZ5236BLT1G</v>
      </c>
      <c r="E290" s="4">
        <f>IFERROR(__xludf.DUMMYFUNCTION("""COMPUTED_VALUE"""),10.0)</f>
        <v>10</v>
      </c>
      <c r="F290" s="4" t="str">
        <f>IFERROR(__xludf.DUMMYFUNCTION("""COMPUTED_VALUE"""),"DigiKey")</f>
        <v>DigiKey</v>
      </c>
      <c r="G290" s="4" t="str">
        <f>IFERROR(__xludf.DUMMYFUNCTION("""COMPUTED_VALUE"""),"MMBZ5236BLT1GOSDKR-ND")</f>
        <v>MMBZ5236BLT1GOSDKR-ND</v>
      </c>
      <c r="H290" s="4"/>
      <c r="I290" s="4"/>
      <c r="J290" s="4"/>
      <c r="K290" s="4"/>
      <c r="L290" s="4"/>
      <c r="M290" s="4"/>
      <c r="N290" s="9" t="str">
        <f>IFERROR(__xludf.DUMMYFUNCTION("""COMPUTED_VALUE"""),"OEPS M05 052")</f>
        <v>OEPS M05 052</v>
      </c>
      <c r="O290" s="4" t="str">
        <f>IFERROR(__xludf.DUMMYFUNCTION("""COMPUTED_VALUE"""),"ADCMP600BRJZ-REEL7")</f>
        <v>ADCMP600BRJZ-REEL7</v>
      </c>
      <c r="P290" s="4" t="str">
        <f>IFERROR(__xludf.DUMMYFUNCTION("""COMPUTED_VALUE"""),"85(R) ")</f>
        <v>85(R) </v>
      </c>
      <c r="Q290" s="4">
        <f>IFERROR(__xludf.DUMMYFUNCTION("""COMPUTED_VALUE"""),85.0)</f>
        <v>85</v>
      </c>
      <c r="R290" s="4">
        <f>IFERROR(__xludf.DUMMYFUNCTION("""COMPUTED_VALUE"""),85.0)</f>
        <v>85</v>
      </c>
      <c r="S290" s="4" t="str">
        <f>IFERROR(__xludf.DUMMYFUNCTION("""COMPUTED_VALUE"""),"Reel")</f>
        <v>Reel</v>
      </c>
      <c r="T290" s="4" t="str">
        <f>IFERROR(__xludf.DUMMYFUNCTION("""COMPUTED_VALUE"""),"1120")</f>
        <v>1120</v>
      </c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>
      <c r="A291" s="4" t="str">
        <f>IFERROR(__xludf.DUMMYFUNCTION("""COMPUTED_VALUE"""),"DIODE:   DIODE ZENER 7.5V 1W   [SMAZ7V5-13-F] [DO-214AC]")</f>
        <v>DIODE:   DIODE ZENER 7.5V 1W   [SMAZ7V5-13-F] [DO-214AC]</v>
      </c>
      <c r="B291" s="4" t="str">
        <f>IFERROR(__xludf.DUMMYFUNCTION("""COMPUTED_VALUE"""),"OEPS030026")</f>
        <v>OEPS030026</v>
      </c>
      <c r="C291" s="4" t="str">
        <f>IFERROR(__xludf.DUMMYFUNCTION("""COMPUTED_VALUE"""),"SMD")</f>
        <v>SMD</v>
      </c>
      <c r="D291" s="4" t="str">
        <f>IFERROR(__xludf.DUMMYFUNCTION("""COMPUTED_VALUE"""),"SMAZ7V5-13-F")</f>
        <v>SMAZ7V5-13-F</v>
      </c>
      <c r="E291" s="4">
        <f>IFERROR(__xludf.DUMMYFUNCTION("""COMPUTED_VALUE"""),5.0)</f>
        <v>5</v>
      </c>
      <c r="F291" s="4" t="str">
        <f>IFERROR(__xludf.DUMMYFUNCTION("""COMPUTED_VALUE"""),"DigiKey")</f>
        <v>DigiKey</v>
      </c>
      <c r="G291" s="4" t="str">
        <f>IFERROR(__xludf.DUMMYFUNCTION("""COMPUTED_VALUE"""),"SMAZ7V5-FDIDKR-ND")</f>
        <v>SMAZ7V5-FDIDKR-ND</v>
      </c>
      <c r="H291" s="4"/>
      <c r="I291" s="4"/>
      <c r="J291" s="4"/>
      <c r="K291" s="4"/>
      <c r="L291" s="4"/>
      <c r="M291" s="4"/>
      <c r="N291" s="9" t="str">
        <f>IFERROR(__xludf.DUMMYFUNCTION("""COMPUTED_VALUE"""),"OEPS M05 053")</f>
        <v>OEPS M05 053</v>
      </c>
      <c r="O291" s="4" t="str">
        <f>IFERROR(__xludf.DUMMYFUNCTION("""COMPUTED_VALUE"""),"DG1412EEN-T1-GE4")</f>
        <v>DG1412EEN-T1-GE4</v>
      </c>
      <c r="P291" s="4" t="str">
        <f>IFERROR(__xludf.DUMMYFUNCTION("""COMPUTED_VALUE"""),"118(R) ")</f>
        <v>118(R) </v>
      </c>
      <c r="Q291" s="4">
        <f>IFERROR(__xludf.DUMMYFUNCTION("""COMPUTED_VALUE"""),118.0)</f>
        <v>118</v>
      </c>
      <c r="R291" s="4">
        <f>IFERROR(__xludf.DUMMYFUNCTION("""COMPUTED_VALUE"""),118.0)</f>
        <v>118</v>
      </c>
      <c r="S291" s="4" t="str">
        <f>IFERROR(__xludf.DUMMYFUNCTION("""COMPUTED_VALUE"""),"Reel")</f>
        <v>Reel</v>
      </c>
      <c r="T291" s="4" t="str">
        <f>IFERROR(__xludf.DUMMYFUNCTION("""COMPUTED_VALUE"""),"1120")</f>
        <v>1120</v>
      </c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>
      <c r="A292" s="4" t="str">
        <f>IFERROR(__xludf.DUMMYFUNCTION("""COMPUTED_VALUE"""),"DIODE:   Dual Series Schottky 30V 0.2A   [BAT54SLT1G] [SOT-23-5]")</f>
        <v>DIODE:   Dual Series Schottky 30V 0.2A   [BAT54SLT1G] [SOT-23-5]</v>
      </c>
      <c r="B292" s="4" t="str">
        <f>IFERROR(__xludf.DUMMYFUNCTION("""COMPUTED_VALUE"""),"OEPS030003")</f>
        <v>OEPS030003</v>
      </c>
      <c r="C292" s="4" t="str">
        <f>IFERROR(__xludf.DUMMYFUNCTION("""COMPUTED_VALUE"""),"SMD")</f>
        <v>SMD</v>
      </c>
      <c r="D292" s="4" t="str">
        <f>IFERROR(__xludf.DUMMYFUNCTION("""COMPUTED_VALUE"""),"BAT54SLT1G")</f>
        <v>BAT54SLT1G</v>
      </c>
      <c r="E292" s="4">
        <f>IFERROR(__xludf.DUMMYFUNCTION("""COMPUTED_VALUE"""),10.0)</f>
        <v>10</v>
      </c>
      <c r="F292" s="4" t="str">
        <f>IFERROR(__xludf.DUMMYFUNCTION("""COMPUTED_VALUE"""),"DigiKey")</f>
        <v>DigiKey</v>
      </c>
      <c r="G292" s="4" t="str">
        <f>IFERROR(__xludf.DUMMYFUNCTION("""COMPUTED_VALUE"""),"BAT54SLT1GOSDKR-ND")</f>
        <v>BAT54SLT1GOSDKR-ND</v>
      </c>
      <c r="H292" s="4"/>
      <c r="I292" s="4"/>
      <c r="J292" s="4"/>
      <c r="K292" s="4"/>
      <c r="L292" s="4"/>
      <c r="M292" s="4"/>
      <c r="N292" s="9" t="str">
        <f>IFERROR(__xludf.DUMMYFUNCTION("""COMPUTED_VALUE"""),"OEPS M05 054")</f>
        <v>OEPS M05 054</v>
      </c>
      <c r="O292" s="4" t="str">
        <f>IFERROR(__xludf.DUMMYFUNCTION("""COMPUTED_VALUE"""),"DS90UB914ATRHSTQ1")</f>
        <v>DS90UB914ATRHSTQ1</v>
      </c>
      <c r="P292" s="4" t="str">
        <f>IFERROR(__xludf.DUMMYFUNCTION("""COMPUTED_VALUE"""),"3(Tp) ")</f>
        <v>3(Tp) </v>
      </c>
      <c r="Q292" s="4">
        <f>IFERROR(__xludf.DUMMYFUNCTION("""COMPUTED_VALUE"""),3.0)</f>
        <v>3</v>
      </c>
      <c r="R292" s="4">
        <f>IFERROR(__xludf.DUMMYFUNCTION("""COMPUTED_VALUE"""),3.0)</f>
        <v>3</v>
      </c>
      <c r="S292" s="4" t="str">
        <f>IFERROR(__xludf.DUMMYFUNCTION("""COMPUTED_VALUE"""),"Tape")</f>
        <v>Tape</v>
      </c>
      <c r="T292" s="4" t="str">
        <f>IFERROR(__xludf.DUMMYFUNCTION("""COMPUTED_VALUE"""),"0320")</f>
        <v>0320</v>
      </c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>
      <c r="A293" s="4" t="str">
        <f>IFERROR(__xludf.DUMMYFUNCTION("""COMPUTED_VALUE"""),"DIODE:   LED 0603 Blue 470nm 20mA   [5988D90107F] [0603]")</f>
        <v>DIODE:   LED 0603 Blue 470nm 20mA   [5988D90107F] [0603]</v>
      </c>
      <c r="B293" s="4" t="str">
        <f>IFERROR(__xludf.DUMMYFUNCTION("""COMPUTED_VALUE"""),"OEPS030042")</f>
        <v>OEPS030042</v>
      </c>
      <c r="C293" s="4" t="str">
        <f>IFERROR(__xludf.DUMMYFUNCTION("""COMPUTED_VALUE"""),"SMD")</f>
        <v>SMD</v>
      </c>
      <c r="D293" s="4" t="str">
        <f>IFERROR(__xludf.DUMMYFUNCTION("""COMPUTED_VALUE"""),"5988D90107F")</f>
        <v>5988D90107F</v>
      </c>
      <c r="E293" s="4">
        <f>IFERROR(__xludf.DUMMYFUNCTION("""COMPUTED_VALUE"""),10.0)</f>
        <v>10</v>
      </c>
      <c r="F293" s="4" t="str">
        <f>IFERROR(__xludf.DUMMYFUNCTION("""COMPUTED_VALUE"""),"Digikey")</f>
        <v>Digikey</v>
      </c>
      <c r="G293" s="4" t="str">
        <f>IFERROR(__xludf.DUMMYFUNCTION("""COMPUTED_VALUE"""),"350-5988D90107FDKR-ND")</f>
        <v>350-5988D90107FDKR-ND</v>
      </c>
      <c r="H293" s="4"/>
      <c r="I293" s="4"/>
      <c r="J293" s="4"/>
      <c r="K293" s="4"/>
      <c r="L293" s="4"/>
      <c r="M293" s="4"/>
      <c r="N293" s="9" t="str">
        <f>IFERROR(__xludf.DUMMYFUNCTION("""COMPUTED_VALUE"""),"OEPS M05 055")</f>
        <v>OEPS M05 055</v>
      </c>
      <c r="O293" s="4" t="str">
        <f>IFERROR(__xludf.DUMMYFUNCTION("""COMPUTED_VALUE"""),"DS91M040TSQ/NOPB")</f>
        <v>DS91M040TSQ/NOPB</v>
      </c>
      <c r="P293" s="4" t="str">
        <f>IFERROR(__xludf.DUMMYFUNCTION("""COMPUTED_VALUE"""),"34(R) ")</f>
        <v>34(R) </v>
      </c>
      <c r="Q293" s="4">
        <f>IFERROR(__xludf.DUMMYFUNCTION("""COMPUTED_VALUE"""),34.0)</f>
        <v>34</v>
      </c>
      <c r="R293" s="4">
        <f>IFERROR(__xludf.DUMMYFUNCTION("""COMPUTED_VALUE"""),34.0)</f>
        <v>34</v>
      </c>
      <c r="S293" s="4" t="str">
        <f>IFERROR(__xludf.DUMMYFUNCTION("""COMPUTED_VALUE"""),"Reel")</f>
        <v>Reel</v>
      </c>
      <c r="T293" s="4" t="str">
        <f>IFERROR(__xludf.DUMMYFUNCTION("""COMPUTED_VALUE"""),"1120")</f>
        <v>1120</v>
      </c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>
      <c r="A294" s="4" t="str">
        <f>IFERROR(__xludf.DUMMYFUNCTION("""COMPUTED_VALUE"""),"DIODE:   LED 0603 Green 571nm 20mA   [LTST-C191KGKT] [0603]")</f>
        <v>DIODE:   LED 0603 Green 571nm 20mA   [LTST-C191KGKT] [0603]</v>
      </c>
      <c r="B294" s="4" t="str">
        <f>IFERROR(__xludf.DUMMYFUNCTION("""COMPUTED_VALUE"""),"OEPS030005")</f>
        <v>OEPS030005</v>
      </c>
      <c r="C294" s="4" t="str">
        <f>IFERROR(__xludf.DUMMYFUNCTION("""COMPUTED_VALUE"""),"SMD")</f>
        <v>SMD</v>
      </c>
      <c r="D294" s="4" t="str">
        <f>IFERROR(__xludf.DUMMYFUNCTION("""COMPUTED_VALUE"""),"LTST-C191KGKT")</f>
        <v>LTST-C191KGKT</v>
      </c>
      <c r="E294" s="4">
        <f>IFERROR(__xludf.DUMMYFUNCTION("""COMPUTED_VALUE"""),20.0)</f>
        <v>20</v>
      </c>
      <c r="F294" s="4" t="str">
        <f>IFERROR(__xludf.DUMMYFUNCTION("""COMPUTED_VALUE"""),"DigiKey")</f>
        <v>DigiKey</v>
      </c>
      <c r="G294" s="4" t="str">
        <f>IFERROR(__xludf.DUMMYFUNCTION("""COMPUTED_VALUE"""),"160-1446-6-ND")</f>
        <v>160-1446-6-ND</v>
      </c>
      <c r="H294" s="4"/>
      <c r="I294" s="4"/>
      <c r="J294" s="4"/>
      <c r="K294" s="4"/>
      <c r="L294" s="4"/>
      <c r="M294" s="4"/>
      <c r="N294" s="9" t="str">
        <f>IFERROR(__xludf.DUMMYFUNCTION("""COMPUTED_VALUE"""),"OEPS M05 056")</f>
        <v>OEPS M05 056</v>
      </c>
      <c r="O294" s="4" t="str">
        <f>IFERROR(__xludf.DUMMYFUNCTION("""COMPUTED_VALUE"""),"AD5766BCPZ-RL")</f>
        <v>AD5766BCPZ-RL</v>
      </c>
      <c r="P294" s="4" t="str">
        <f>IFERROR(__xludf.DUMMYFUNCTION("""COMPUTED_VALUE"""),"40(R) ")</f>
        <v>40(R) </v>
      </c>
      <c r="Q294" s="4">
        <f>IFERROR(__xludf.DUMMYFUNCTION("""COMPUTED_VALUE"""),40.0)</f>
        <v>40</v>
      </c>
      <c r="R294" s="4">
        <f>IFERROR(__xludf.DUMMYFUNCTION("""COMPUTED_VALUE"""),40.0)</f>
        <v>40</v>
      </c>
      <c r="S294" s="4" t="str">
        <f>IFERROR(__xludf.DUMMYFUNCTION("""COMPUTED_VALUE"""),"Reel")</f>
        <v>Reel</v>
      </c>
      <c r="T294" s="4" t="str">
        <f>IFERROR(__xludf.DUMMYFUNCTION("""COMPUTED_VALUE"""),"0122")</f>
        <v>0122</v>
      </c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>
      <c r="A295" s="4" t="str">
        <f>IFERROR(__xludf.DUMMYFUNCTION("""COMPUTED_VALUE"""),"DIODE:   LED 0603 Green 571nm 20mA (OEPS J30 049A)   [LSM0603453V] [0603]")</f>
        <v>DIODE:   LED 0603 Green 571nm 20mA (OEPS J30 049A)   [LSM0603453V] [0603]</v>
      </c>
      <c r="B295" s="4" t="str">
        <f>IFERROR(__xludf.DUMMYFUNCTION("""COMPUTED_VALUE"""),"OEPS030032")</f>
        <v>OEPS030032</v>
      </c>
      <c r="C295" s="4" t="str">
        <f>IFERROR(__xludf.DUMMYFUNCTION("""COMPUTED_VALUE"""),"SMD")</f>
        <v>SMD</v>
      </c>
      <c r="D295" s="4" t="str">
        <f>IFERROR(__xludf.DUMMYFUNCTION("""COMPUTED_VALUE"""),"LSM0603453V")</f>
        <v>LSM0603453V</v>
      </c>
      <c r="E295" s="4">
        <f>IFERROR(__xludf.DUMMYFUNCTION("""COMPUTED_VALUE"""),5.0)</f>
        <v>5</v>
      </c>
      <c r="F295" s="4" t="str">
        <f>IFERROR(__xludf.DUMMYFUNCTION("""COMPUTED_VALUE"""),"Digikey")</f>
        <v>Digikey</v>
      </c>
      <c r="G295" s="4" t="str">
        <f>IFERROR(__xludf.DUMMYFUNCTION("""COMPUTED_VALUE"""),"LSM0603453VDKR-ND")</f>
        <v>LSM0603453VDKR-ND</v>
      </c>
      <c r="H295" s="4"/>
      <c r="I295" s="4"/>
      <c r="J295" s="4"/>
      <c r="K295" s="4"/>
      <c r="L295" s="4"/>
      <c r="M295" s="4"/>
      <c r="N295" s="9" t="str">
        <f>IFERROR(__xludf.DUMMYFUNCTION("""COMPUTED_VALUE"""),"OEPS M05 057")</f>
        <v>OEPS M05 057</v>
      </c>
      <c r="O295" s="4" t="str">
        <f>IFERROR(__xludf.DUMMYFUNCTION("""COMPUTED_VALUE"""),"MCP47FEB02A0-E/ST")</f>
        <v>MCP47FEB02A0-E/ST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>
      <c r="A296" s="4" t="str">
        <f>IFERROR(__xludf.DUMMYFUNCTION("""COMPUTED_VALUE"""),"DIODE:   LED 0603 Infrared 850nm 65mA   [HIR19-21C/L11/TR8] [0603]")</f>
        <v>DIODE:   LED 0603 Infrared 850nm 65mA   [HIR19-21C/L11/TR8] [0603]</v>
      </c>
      <c r="B296" s="4" t="str">
        <f>IFERROR(__xludf.DUMMYFUNCTION("""COMPUTED_VALUE"""),"OEPS030047")</f>
        <v>OEPS030047</v>
      </c>
      <c r="C296" s="4" t="str">
        <f>IFERROR(__xludf.DUMMYFUNCTION("""COMPUTED_VALUE"""),"SMD")</f>
        <v>SMD</v>
      </c>
      <c r="D296" s="4" t="str">
        <f>IFERROR(__xludf.DUMMYFUNCTION("""COMPUTED_VALUE"""),"HIR19-21C/L11/TR8")</f>
        <v>HIR19-21C/L11/TR8</v>
      </c>
      <c r="E296" s="4">
        <f>IFERROR(__xludf.DUMMYFUNCTION("""COMPUTED_VALUE"""),10.0)</f>
        <v>10</v>
      </c>
      <c r="F296" s="4" t="str">
        <f>IFERROR(__xludf.DUMMYFUNCTION("""COMPUTED_VALUE"""),"Digikey")</f>
        <v>Digikey</v>
      </c>
      <c r="G296" s="4" t="str">
        <f>IFERROR(__xludf.DUMMYFUNCTION("""COMPUTED_VALUE"""),"1080-1347-6-ND")</f>
        <v>1080-1347-6-ND</v>
      </c>
      <c r="H296" s="4"/>
      <c r="I296" s="4"/>
      <c r="J296" s="4"/>
      <c r="K296" s="4"/>
      <c r="L296" s="4"/>
      <c r="M296" s="4"/>
      <c r="N296" s="9" t="str">
        <f>IFERROR(__xludf.DUMMYFUNCTION("""COMPUTED_VALUE"""),"OEPS M05 058")</f>
        <v>OEPS M05 058</v>
      </c>
      <c r="O296" s="4" t="str">
        <f>IFERROR(__xludf.DUMMYFUNCTION("""COMPUTED_VALUE"""),"LM4132AMF-2.5/NOPB")</f>
        <v>LM4132AMF-2.5/NOPB</v>
      </c>
      <c r="P296" s="4" t="str">
        <f>IFERROR(__xludf.DUMMYFUNCTION("""COMPUTED_VALUE"""),"38(R) ")</f>
        <v>38(R) </v>
      </c>
      <c r="Q296" s="4">
        <f>IFERROR(__xludf.DUMMYFUNCTION("""COMPUTED_VALUE"""),38.0)</f>
        <v>38</v>
      </c>
      <c r="R296" s="4">
        <f>IFERROR(__xludf.DUMMYFUNCTION("""COMPUTED_VALUE"""),38.0)</f>
        <v>38</v>
      </c>
      <c r="S296" s="4" t="str">
        <f>IFERROR(__xludf.DUMMYFUNCTION("""COMPUTED_VALUE"""),"Reel")</f>
        <v>Reel</v>
      </c>
      <c r="T296" s="4" t="str">
        <f>IFERROR(__xludf.DUMMYFUNCTION("""COMPUTED_VALUE"""),"1120")</f>
        <v>1120</v>
      </c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>
      <c r="A297" s="4" t="str">
        <f>IFERROR(__xludf.DUMMYFUNCTION("""COMPUTED_VALUE"""),"DIODE:   LED 0603 Red 633nm 20mA   [5990010007F] [0603]")</f>
        <v>DIODE:   LED 0603 Red 633nm 20mA   [5990010007F] [0603]</v>
      </c>
      <c r="B297" s="4" t="str">
        <f>IFERROR(__xludf.DUMMYFUNCTION("""COMPUTED_VALUE"""),"OEPS030044")</f>
        <v>OEPS030044</v>
      </c>
      <c r="C297" s="4" t="str">
        <f>IFERROR(__xludf.DUMMYFUNCTION("""COMPUTED_VALUE"""),"SMD")</f>
        <v>SMD</v>
      </c>
      <c r="D297" s="4" t="str">
        <f>IFERROR(__xludf.DUMMYFUNCTION("""COMPUTED_VALUE"""),"5990010007F")</f>
        <v>5990010007F</v>
      </c>
      <c r="E297" s="4">
        <f>IFERROR(__xludf.DUMMYFUNCTION("""COMPUTED_VALUE"""),10.0)</f>
        <v>10</v>
      </c>
      <c r="F297" s="4" t="str">
        <f>IFERROR(__xludf.DUMMYFUNCTION("""COMPUTED_VALUE"""),"Digikey")</f>
        <v>Digikey</v>
      </c>
      <c r="G297" s="4" t="str">
        <f>IFERROR(__xludf.DUMMYFUNCTION("""COMPUTED_VALUE"""),"350-4346-6-ND")</f>
        <v>350-4346-6-ND</v>
      </c>
      <c r="H297" s="4"/>
      <c r="I297" s="4"/>
      <c r="J297" s="4"/>
      <c r="K297" s="4"/>
      <c r="L297" s="4"/>
      <c r="M297" s="4"/>
      <c r="N297" s="9" t="str">
        <f>IFERROR(__xludf.DUMMYFUNCTION("""COMPUTED_VALUE"""),"OEPS M05 059")</f>
        <v>OEPS M05 059</v>
      </c>
      <c r="O297" s="4" t="str">
        <f>IFERROR(__xludf.DUMMYFUNCTION("""COMPUTED_VALUE"""),"AD7617BSTZ")</f>
        <v>AD7617BSTZ</v>
      </c>
      <c r="P297" s="4" t="str">
        <f>IFERROR(__xludf.DUMMYFUNCTION("""COMPUTED_VALUE"""),"2(Tr) ")</f>
        <v>2(Tr) </v>
      </c>
      <c r="Q297" s="4">
        <f>IFERROR(__xludf.DUMMYFUNCTION("""COMPUTED_VALUE"""),2.0)</f>
        <v>2</v>
      </c>
      <c r="R297" s="4">
        <f>IFERROR(__xludf.DUMMYFUNCTION("""COMPUTED_VALUE"""),2.0)</f>
        <v>2</v>
      </c>
      <c r="S297" s="4" t="str">
        <f>IFERROR(__xludf.DUMMYFUNCTION("""COMPUTED_VALUE"""),"Tray")</f>
        <v>Tray</v>
      </c>
      <c r="T297" s="4" t="str">
        <f>IFERROR(__xludf.DUMMYFUNCTION("""COMPUTED_VALUE"""),"0123")</f>
        <v>0123</v>
      </c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>
      <c r="A298" s="4" t="str">
        <f>IFERROR(__xludf.DUMMYFUNCTION("""COMPUTED_VALUE"""),"DIODE:   LED 0603 Red 635nm 20mA   [5975004407F] [0603]")</f>
        <v>DIODE:   LED 0603 Red 635nm 20mA   [5975004407F] [0603]</v>
      </c>
      <c r="B298" s="4" t="str">
        <f>IFERROR(__xludf.DUMMYFUNCTION("""COMPUTED_VALUE"""),"OEPS030006")</f>
        <v>OEPS030006</v>
      </c>
      <c r="C298" s="4" t="str">
        <f>IFERROR(__xludf.DUMMYFUNCTION("""COMPUTED_VALUE"""),"SMD")</f>
        <v>SMD</v>
      </c>
      <c r="D298" s="4" t="str">
        <f>IFERROR(__xludf.DUMMYFUNCTION("""COMPUTED_VALUE"""),"5975004407F")</f>
        <v>5975004407F</v>
      </c>
      <c r="E298" s="4">
        <f>IFERROR(__xludf.DUMMYFUNCTION("""COMPUTED_VALUE"""),10.0)</f>
        <v>10</v>
      </c>
      <c r="F298" s="4" t="str">
        <f>IFERROR(__xludf.DUMMYFUNCTION("""COMPUTED_VALUE"""),"DigiKey")</f>
        <v>DigiKey</v>
      </c>
      <c r="G298" s="4" t="str">
        <f>IFERROR(__xludf.DUMMYFUNCTION("""COMPUTED_VALUE"""),"350-2950-6-ND")</f>
        <v>350-2950-6-ND</v>
      </c>
      <c r="H298" s="4"/>
      <c r="I298" s="4"/>
      <c r="J298" s="4"/>
      <c r="K298" s="4"/>
      <c r="L298" s="4"/>
      <c r="M298" s="4"/>
      <c r="N298" s="9" t="str">
        <f>IFERROR(__xludf.DUMMYFUNCTION("""COMPUTED_VALUE"""),"OEPS M05 060")</f>
        <v>OEPS M05 060</v>
      </c>
      <c r="O298" s="4" t="str">
        <f>IFERROR(__xludf.DUMMYFUNCTION("""COMPUTED_VALUE"""),"AD5142BCPZ10-RL7")</f>
        <v>AD5142BCPZ10-RL7</v>
      </c>
      <c r="P298" s="4" t="str">
        <f>IFERROR(__xludf.DUMMYFUNCTION("""COMPUTED_VALUE"""),"35(R) 9(Tb) 4 ")</f>
        <v>35(R) 9(Tb) 4 </v>
      </c>
      <c r="Q298" s="4">
        <f>IFERROR(__xludf.DUMMYFUNCTION("""COMPUTED_VALUE"""),48.0)</f>
        <v>48</v>
      </c>
      <c r="R298" s="4">
        <f>IFERROR(__xludf.DUMMYFUNCTION("""COMPUTED_VALUE"""),35.0)</f>
        <v>35</v>
      </c>
      <c r="S298" s="4" t="str">
        <f>IFERROR(__xludf.DUMMYFUNCTION("""COMPUTED_VALUE"""),"Reel")</f>
        <v>Reel</v>
      </c>
      <c r="T298" s="4" t="str">
        <f>IFERROR(__xludf.DUMMYFUNCTION("""COMPUTED_VALUE"""),"1120")</f>
        <v>1120</v>
      </c>
      <c r="U298" s="4">
        <f>IFERROR(__xludf.DUMMYFUNCTION("""COMPUTED_VALUE"""),9.0)</f>
        <v>9</v>
      </c>
      <c r="V298" s="4" t="str">
        <f>IFERROR(__xludf.DUMMYFUNCTION("""COMPUTED_VALUE"""),"Tube")</f>
        <v>Tube</v>
      </c>
      <c r="W298" s="4" t="str">
        <f>IFERROR(__xludf.DUMMYFUNCTION("""COMPUTED_VALUE"""),"1120")</f>
        <v>1120</v>
      </c>
      <c r="X298" s="4">
        <f>IFERROR(__xludf.DUMMYFUNCTION("""COMPUTED_VALUE"""),4.0)</f>
        <v>4</v>
      </c>
      <c r="Y298" s="4" t="str">
        <f>IFERROR(__xludf.DUMMYFUNCTION("""COMPUTED_VALUE"""),"Bag")</f>
        <v>Bag</v>
      </c>
      <c r="Z298" s="4" t="str">
        <f>IFERROR(__xludf.DUMMYFUNCTION("""COMPUTED_VALUE"""),"XXXX")</f>
        <v>XXXX</v>
      </c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>
      <c r="A299" s="4" t="str">
        <f>IFERROR(__xludf.DUMMYFUNCTION("""COMPUTED_VALUE"""),"DIODE:   LED 0603 Red 635nm 20mA   [VFHR1116P-4C82A-TR] [0603]")</f>
        <v>DIODE:   LED 0603 Red 635nm 20mA   [VFHR1116P-4C82A-TR] [0603]</v>
      </c>
      <c r="B299" s="4" t="str">
        <f>IFERROR(__xludf.DUMMYFUNCTION("""COMPUTED_VALUE"""),"OEPS030038")</f>
        <v>OEPS030038</v>
      </c>
      <c r="C299" s="4" t="str">
        <f>IFERROR(__xludf.DUMMYFUNCTION("""COMPUTED_VALUE"""),"SMD")</f>
        <v>SMD</v>
      </c>
      <c r="D299" s="4" t="str">
        <f>IFERROR(__xludf.DUMMYFUNCTION("""COMPUTED_VALUE"""),"VFHR1116P-4C82A-TR")</f>
        <v>VFHR1116P-4C82A-TR</v>
      </c>
      <c r="E299" s="4">
        <f>IFERROR(__xludf.DUMMYFUNCTION("""COMPUTED_VALUE"""),10.0)</f>
        <v>10</v>
      </c>
      <c r="F299" s="4" t="str">
        <f>IFERROR(__xludf.DUMMYFUNCTION("""COMPUTED_VALUE"""),"DigiKey")</f>
        <v>DigiKey</v>
      </c>
      <c r="G299" s="4" t="str">
        <f>IFERROR(__xludf.DUMMYFUNCTION("""COMPUTED_VALUE"""),"404-1224-6-ND")</f>
        <v>404-1224-6-ND</v>
      </c>
      <c r="H299" s="4"/>
      <c r="I299" s="4"/>
      <c r="J299" s="4"/>
      <c r="K299" s="4"/>
      <c r="L299" s="4"/>
      <c r="M299" s="4"/>
      <c r="N299" s="9" t="str">
        <f>IFERROR(__xludf.DUMMYFUNCTION("""COMPUTED_VALUE"""),"OEPS M05 061")</f>
        <v>OEPS M05 061</v>
      </c>
      <c r="O299" s="4" t="str">
        <f>IFERROR(__xludf.DUMMYFUNCTION("""COMPUTED_VALUE"""),"LTM4622AIYPBF")</f>
        <v>LTM4622AIYPBF</v>
      </c>
      <c r="P299" s="4" t="str">
        <f>IFERROR(__xludf.DUMMYFUNCTION("""COMPUTED_VALUE"""),"42(Tr) ")</f>
        <v>42(Tr) </v>
      </c>
      <c r="Q299" s="4">
        <f>IFERROR(__xludf.DUMMYFUNCTION("""COMPUTED_VALUE"""),42.0)</f>
        <v>42</v>
      </c>
      <c r="R299" s="4">
        <f>IFERROR(__xludf.DUMMYFUNCTION("""COMPUTED_VALUE"""),42.0)</f>
        <v>42</v>
      </c>
      <c r="S299" s="4" t="str">
        <f>IFERROR(__xludf.DUMMYFUNCTION("""COMPUTED_VALUE"""),"Tray")</f>
        <v>Tray</v>
      </c>
      <c r="T299" s="4" t="str">
        <f>IFERROR(__xludf.DUMMYFUNCTION("""COMPUTED_VALUE"""),"0122")</f>
        <v>0122</v>
      </c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>
      <c r="A300" s="4" t="str">
        <f>IFERROR(__xludf.DUMMYFUNCTION("""COMPUTED_VALUE"""),"DIODE:   LED 0603 Yellow 590nm 20mA   [5990040007F] [0603]")</f>
        <v>DIODE:   LED 0603 Yellow 590nm 20mA   [5990040007F] [0603]</v>
      </c>
      <c r="B300" s="4" t="str">
        <f>IFERROR(__xludf.DUMMYFUNCTION("""COMPUTED_VALUE"""),"OEPS030043")</f>
        <v>OEPS030043</v>
      </c>
      <c r="C300" s="4" t="str">
        <f>IFERROR(__xludf.DUMMYFUNCTION("""COMPUTED_VALUE"""),"SMD")</f>
        <v>SMD</v>
      </c>
      <c r="D300" s="4" t="str">
        <f>IFERROR(__xludf.DUMMYFUNCTION("""COMPUTED_VALUE"""),"5990040007F")</f>
        <v>5990040007F</v>
      </c>
      <c r="E300" s="4">
        <f>IFERROR(__xludf.DUMMYFUNCTION("""COMPUTED_VALUE"""),10.0)</f>
        <v>10</v>
      </c>
      <c r="F300" s="4" t="str">
        <f>IFERROR(__xludf.DUMMYFUNCTION("""COMPUTED_VALUE"""),"Digikey")</f>
        <v>Digikey</v>
      </c>
      <c r="G300" s="4" t="str">
        <f>IFERROR(__xludf.DUMMYFUNCTION("""COMPUTED_VALUE"""),"350-4349-6-ND")</f>
        <v>350-4349-6-ND</v>
      </c>
      <c r="H300" s="4"/>
      <c r="I300" s="4"/>
      <c r="J300" s="4"/>
      <c r="K300" s="4"/>
      <c r="L300" s="4"/>
      <c r="M300" s="4"/>
      <c r="N300" s="9" t="str">
        <f>IFERROR(__xludf.DUMMYFUNCTION("""COMPUTED_VALUE"""),"OEPS M05 062")</f>
        <v>OEPS M05 062</v>
      </c>
      <c r="O300" s="4" t="str">
        <f>IFERROR(__xludf.DUMMYFUNCTION("""COMPUTED_VALUE"""),"TPS7A4901DRBR")</f>
        <v>TPS7A4901DRBR</v>
      </c>
      <c r="P300" s="4" t="str">
        <f>IFERROR(__xludf.DUMMYFUNCTION("""COMPUTED_VALUE"""),"96(R) ")</f>
        <v>96(R) </v>
      </c>
      <c r="Q300" s="4">
        <f>IFERROR(__xludf.DUMMYFUNCTION("""COMPUTED_VALUE"""),96.0)</f>
        <v>96</v>
      </c>
      <c r="R300" s="4">
        <f>IFERROR(__xludf.DUMMYFUNCTION("""COMPUTED_VALUE"""),96.0)</f>
        <v>96</v>
      </c>
      <c r="S300" s="4" t="str">
        <f>IFERROR(__xludf.DUMMYFUNCTION("""COMPUTED_VALUE"""),"Reel")</f>
        <v>Reel</v>
      </c>
      <c r="T300" s="4" t="str">
        <f>IFERROR(__xludf.DUMMYFUNCTION("""COMPUTED_VALUE"""),"1120")</f>
        <v>1120</v>
      </c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>
      <c r="A301" s="4" t="str">
        <f>IFERROR(__xludf.DUMMYFUNCTION("""COMPUTED_VALUE"""),"DIODE:   LED 0805 White 20mA   [OVS-0801] [0805]")</f>
        <v>DIODE:   LED 0805 White 20mA   [OVS-0801] [0805]</v>
      </c>
      <c r="B301" s="4" t="str">
        <f>IFERROR(__xludf.DUMMYFUNCTION("""COMPUTED_VALUE"""),"OEPS030054")</f>
        <v>OEPS030054</v>
      </c>
      <c r="C301" s="4" t="str">
        <f>IFERROR(__xludf.DUMMYFUNCTION("""COMPUTED_VALUE"""),"SMD")</f>
        <v>SMD</v>
      </c>
      <c r="D301" s="4" t="str">
        <f>IFERROR(__xludf.DUMMYFUNCTION("""COMPUTED_VALUE"""),"OVS-0801")</f>
        <v>OVS-0801</v>
      </c>
      <c r="E301" s="4">
        <f>IFERROR(__xludf.DUMMYFUNCTION("""COMPUTED_VALUE"""),10.0)</f>
        <v>10</v>
      </c>
      <c r="F301" s="4" t="str">
        <f>IFERROR(__xludf.DUMMYFUNCTION("""COMPUTED_VALUE"""),"Farnell")</f>
        <v>Farnell</v>
      </c>
      <c r="G301" s="4" t="str">
        <f>IFERROR(__xludf.DUMMYFUNCTION("""COMPUTED_VALUE"""),"1716764")</f>
        <v>1716764</v>
      </c>
      <c r="H301" s="4"/>
      <c r="I301" s="4"/>
      <c r="J301" s="4"/>
      <c r="K301" s="4"/>
      <c r="L301" s="4"/>
      <c r="M301" s="4"/>
      <c r="N301" s="9" t="str">
        <f>IFERROR(__xludf.DUMMYFUNCTION("""COMPUTED_VALUE"""),"OEPS M05 063")</f>
        <v>OEPS M05 063</v>
      </c>
      <c r="O301" s="4" t="str">
        <f>IFERROR(__xludf.DUMMYFUNCTION("""COMPUTED_VALUE"""),"TPS7A3001DRBT")</f>
        <v>TPS7A3001DRBT</v>
      </c>
      <c r="P301" s="4" t="str">
        <f>IFERROR(__xludf.DUMMYFUNCTION("""COMPUTED_VALUE"""),"55(R) ")</f>
        <v>55(R) </v>
      </c>
      <c r="Q301" s="4">
        <f>IFERROR(__xludf.DUMMYFUNCTION("""COMPUTED_VALUE"""),55.0)</f>
        <v>55</v>
      </c>
      <c r="R301" s="4"/>
      <c r="S301" s="4"/>
      <c r="T301" s="4"/>
      <c r="U301" s="4"/>
      <c r="V301" s="4"/>
      <c r="W301" s="4"/>
      <c r="X301" s="4">
        <f>IFERROR(__xludf.DUMMYFUNCTION("""COMPUTED_VALUE"""),55.0)</f>
        <v>55</v>
      </c>
      <c r="Y301" s="4" t="str">
        <f>IFERROR(__xludf.DUMMYFUNCTION("""COMPUTED_VALUE"""),"Reel")</f>
        <v>Reel</v>
      </c>
      <c r="Z301" s="4" t="str">
        <f>IFERROR(__xludf.DUMMYFUNCTION("""COMPUTED_VALUE"""),"0122")</f>
        <v>0122</v>
      </c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>
      <c r="A302" s="4" t="str">
        <f>IFERROR(__xludf.DUMMYFUNCTION("""COMPUTED_VALUE"""),"DIODE:   LED ARRAY 10-SEG Green   [DC10GWA] [TH]")</f>
        <v>DIODE:   LED ARRAY 10-SEG Green   [DC10GWA] [TH]</v>
      </c>
      <c r="B302" s="4" t="str">
        <f>IFERROR(__xludf.DUMMYFUNCTION("""COMPUTED_VALUE"""),"OEPS030045")</f>
        <v>OEPS030045</v>
      </c>
      <c r="C302" s="4" t="str">
        <f>IFERROR(__xludf.DUMMYFUNCTION("""COMPUTED_VALUE"""),"TH")</f>
        <v>TH</v>
      </c>
      <c r="D302" s="4" t="str">
        <f>IFERROR(__xludf.DUMMYFUNCTION("""COMPUTED_VALUE"""),"DC10GWA")</f>
        <v>DC10GWA</v>
      </c>
      <c r="E302" s="4">
        <f>IFERROR(__xludf.DUMMYFUNCTION("""COMPUTED_VALUE"""),1.0)</f>
        <v>1</v>
      </c>
      <c r="F302" s="4" t="str">
        <f>IFERROR(__xludf.DUMMYFUNCTION("""COMPUTED_VALUE"""),"DigiKey")</f>
        <v>DigiKey</v>
      </c>
      <c r="G302" s="4" t="str">
        <f>IFERROR(__xludf.DUMMYFUNCTION("""COMPUTED_VALUE"""),"754-1177-5-ND")</f>
        <v>754-1177-5-ND</v>
      </c>
      <c r="H302" s="4"/>
      <c r="I302" s="4"/>
      <c r="J302" s="4"/>
      <c r="K302" s="4"/>
      <c r="L302" s="4"/>
      <c r="M302" s="4"/>
      <c r="N302" s="9" t="str">
        <f>IFERROR(__xludf.DUMMYFUNCTION("""COMPUTED_VALUE"""),"OEPS M05 064")</f>
        <v>OEPS M05 064</v>
      </c>
      <c r="O302" s="4" t="str">
        <f>IFERROR(__xludf.DUMMYFUNCTION("""COMPUTED_VALUE"""),"24AA64-I/ST")</f>
        <v>24AA64-I/ST</v>
      </c>
      <c r="P302" s="4" t="str">
        <f>IFERROR(__xludf.DUMMYFUNCTION("""COMPUTED_VALUE"""),"47(R) ")</f>
        <v>47(R) </v>
      </c>
      <c r="Q302" s="4">
        <f>IFERROR(__xludf.DUMMYFUNCTION("""COMPUTED_VALUE"""),47.0)</f>
        <v>47</v>
      </c>
      <c r="R302" s="4"/>
      <c r="S302" s="4"/>
      <c r="T302" s="4"/>
      <c r="U302" s="4"/>
      <c r="V302" s="4"/>
      <c r="W302" s="4"/>
      <c r="X302" s="4">
        <f>IFERROR(__xludf.DUMMYFUNCTION("""COMPUTED_VALUE"""),47.0)</f>
        <v>47</v>
      </c>
      <c r="Y302" s="4" t="str">
        <f>IFERROR(__xludf.DUMMYFUNCTION("""COMPUTED_VALUE"""),"Reel")</f>
        <v>Reel</v>
      </c>
      <c r="Z302" s="4" t="str">
        <f>IFERROR(__xludf.DUMMYFUNCTION("""COMPUTED_VALUE"""),"0122")</f>
        <v>0122</v>
      </c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>
      <c r="A303" s="4" t="str">
        <f>IFERROR(__xludf.DUMMYFUNCTION("""COMPUTED_VALUE"""),"DIODE:   LED DUAL Red 635nm 20mA   [569-0111-100F] [TH]")</f>
        <v>DIODE:   LED DUAL Red 635nm 20mA   [569-0111-100F] [TH]</v>
      </c>
      <c r="B303" s="4" t="str">
        <f>IFERROR(__xludf.DUMMYFUNCTION("""COMPUTED_VALUE"""),"OEPS030007")</f>
        <v>OEPS030007</v>
      </c>
      <c r="C303" s="4" t="str">
        <f>IFERROR(__xludf.DUMMYFUNCTION("""COMPUTED_VALUE"""),"TH")</f>
        <v>TH</v>
      </c>
      <c r="D303" s="4" t="str">
        <f>IFERROR(__xludf.DUMMYFUNCTION("""COMPUTED_VALUE"""),"569-0111-100F")</f>
        <v>569-0111-100F</v>
      </c>
      <c r="E303" s="4">
        <f>IFERROR(__xludf.DUMMYFUNCTION("""COMPUTED_VALUE"""),1.0)</f>
        <v>1</v>
      </c>
      <c r="F303" s="4" t="str">
        <f>IFERROR(__xludf.DUMMYFUNCTION("""COMPUTED_VALUE"""),"DigiKey")</f>
        <v>DigiKey</v>
      </c>
      <c r="G303" s="4" t="str">
        <f>IFERROR(__xludf.DUMMYFUNCTION("""COMPUTED_VALUE"""),"350-1782-ND")</f>
        <v>350-1782-ND</v>
      </c>
      <c r="H303" s="4"/>
      <c r="I303" s="4"/>
      <c r="J303" s="4"/>
      <c r="K303" s="4"/>
      <c r="L303" s="4"/>
      <c r="M303" s="4"/>
      <c r="N303" s="9" t="str">
        <f>IFERROR(__xludf.DUMMYFUNCTION("""COMPUTED_VALUE"""),"OEPS M05 065")</f>
        <v>OEPS M05 065</v>
      </c>
      <c r="O303" s="4" t="str">
        <f>IFERROR(__xludf.DUMMYFUNCTION("""COMPUTED_VALUE"""),"LTM8049IY#PBF")</f>
        <v>LTM8049IY#PBF</v>
      </c>
      <c r="P303" s="4" t="str">
        <f>IFERROR(__xludf.DUMMYFUNCTION("""COMPUTED_VALUE"""),"40 ")</f>
        <v>40 </v>
      </c>
      <c r="Q303" s="4">
        <f>IFERROR(__xludf.DUMMYFUNCTION("""COMPUTED_VALUE"""),40.0)</f>
        <v>40</v>
      </c>
      <c r="R303" s="4">
        <f>IFERROR(__xludf.DUMMYFUNCTION("""COMPUTED_VALUE"""),40.0)</f>
        <v>40</v>
      </c>
      <c r="S303" s="4" t="str">
        <f>IFERROR(__xludf.DUMMYFUNCTION("""COMPUTED_VALUE"""),"Bag")</f>
        <v>Bag</v>
      </c>
      <c r="T303" s="4" t="str">
        <f>IFERROR(__xludf.DUMMYFUNCTION("""COMPUTED_VALUE"""),"0122")</f>
        <v>0122</v>
      </c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>
      <c r="A304" s="4" t="str">
        <f>IFERROR(__xludf.DUMMYFUNCTION("""COMPUTED_VALUE"""),"DIODE:   LED SMD 0402 Red 621nm 1mA   [SML-P11UTT86R] [0402]")</f>
        <v>DIODE:   LED SMD 0402 Red 621nm 1mA   [SML-P11UTT86R] [0402]</v>
      </c>
      <c r="B304" s="4" t="str">
        <f>IFERROR(__xludf.DUMMYFUNCTION("""COMPUTED_VALUE"""),"OEPS030014")</f>
        <v>OEPS030014</v>
      </c>
      <c r="C304" s="4" t="str">
        <f>IFERROR(__xludf.DUMMYFUNCTION("""COMPUTED_VALUE"""),"SMD")</f>
        <v>SMD</v>
      </c>
      <c r="D304" s="4" t="str">
        <f>IFERROR(__xludf.DUMMYFUNCTION("""COMPUTED_VALUE"""),"SML-P11UTT86R")</f>
        <v>SML-P11UTT86R</v>
      </c>
      <c r="E304" s="4">
        <f>IFERROR(__xludf.DUMMYFUNCTION("""COMPUTED_VALUE"""),30.0)</f>
        <v>30</v>
      </c>
      <c r="F304" s="4" t="str">
        <f>IFERROR(__xludf.DUMMYFUNCTION("""COMPUTED_VALUE"""),"DigiKey")</f>
        <v>DigiKey</v>
      </c>
      <c r="G304" s="4" t="str">
        <f>IFERROR(__xludf.DUMMYFUNCTION("""COMPUTED_VALUE"""),"SML-P11UTT86RDKR-ND")</f>
        <v>SML-P11UTT86RDKR-ND</v>
      </c>
      <c r="H304" s="4"/>
      <c r="I304" s="4"/>
      <c r="J304" s="4"/>
      <c r="K304" s="4"/>
      <c r="L304" s="4"/>
      <c r="M304" s="4"/>
      <c r="N304" s="9" t="str">
        <f>IFERROR(__xludf.DUMMYFUNCTION("""COMPUTED_VALUE"""),"OEPS M05 066")</f>
        <v>OEPS M05 066</v>
      </c>
      <c r="O304" s="4" t="str">
        <f>IFERROR(__xludf.DUMMYFUNCTION("""COMPUTED_VALUE"""),"AD51442WBRUZ10-TL7")</f>
        <v>AD51442WBRUZ10-TL7</v>
      </c>
      <c r="P304" s="4" t="str">
        <f>IFERROR(__xludf.DUMMYFUNCTION("""COMPUTED_VALUE"""),"86 ")</f>
        <v>86 </v>
      </c>
      <c r="Q304" s="4">
        <f>IFERROR(__xludf.DUMMYFUNCTION("""COMPUTED_VALUE"""),86.0)</f>
        <v>86</v>
      </c>
      <c r="R304" s="4">
        <f>IFERROR(__xludf.DUMMYFUNCTION("""COMPUTED_VALUE"""),86.0)</f>
        <v>86</v>
      </c>
      <c r="S304" s="4" t="str">
        <f>IFERROR(__xludf.DUMMYFUNCTION("""COMPUTED_VALUE"""),"Bag")</f>
        <v>Bag</v>
      </c>
      <c r="T304" s="4" t="str">
        <f>IFERROR(__xludf.DUMMYFUNCTION("""COMPUTED_VALUE"""),"0322")</f>
        <v>0322</v>
      </c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>
      <c r="A305" s="4" t="str">
        <f>IFERROR(__xludf.DUMMYFUNCTION("""COMPUTED_VALUE"""),"DIODE:   LED SMD Blue 450nm 500mA (OEPS J05 012)   [LXZ1-PR01] [0705]")</f>
        <v>DIODE:   LED SMD Blue 450nm 500mA (OEPS J05 012)   [LXZ1-PR01] [0705]</v>
      </c>
      <c r="B305" s="4" t="str">
        <f>IFERROR(__xludf.DUMMYFUNCTION("""COMPUTED_VALUE"""),"OEPS030021")</f>
        <v>OEPS030021</v>
      </c>
      <c r="C305" s="4" t="str">
        <f>IFERROR(__xludf.DUMMYFUNCTION("""COMPUTED_VALUE"""),"SMD")</f>
        <v>SMD</v>
      </c>
      <c r="D305" s="4" t="str">
        <f>IFERROR(__xludf.DUMMYFUNCTION("""COMPUTED_VALUE"""),"LXZ1-PR01")</f>
        <v>LXZ1-PR01</v>
      </c>
      <c r="E305" s="4">
        <f>IFERROR(__xludf.DUMMYFUNCTION("""COMPUTED_VALUE"""),5.0)</f>
        <v>5</v>
      </c>
      <c r="F305" s="4" t="str">
        <f>IFERROR(__xludf.DUMMYFUNCTION("""COMPUTED_VALUE"""),"DigiKey")</f>
        <v>DigiKey</v>
      </c>
      <c r="G305" s="4" t="str">
        <f>IFERROR(__xludf.DUMMYFUNCTION("""COMPUTED_VALUE"""),"1416-1058-6-ND")</f>
        <v>1416-1058-6-ND</v>
      </c>
      <c r="H305" s="4"/>
      <c r="I305" s="4"/>
      <c r="J305" s="4"/>
      <c r="K305" s="4"/>
      <c r="L305" s="4"/>
      <c r="M305" s="4"/>
      <c r="N305" s="9" t="str">
        <f>IFERROR(__xludf.DUMMYFUNCTION("""COMPUTED_VALUE"""),"OEPS M05 070")</f>
        <v>OEPS M05 070</v>
      </c>
      <c r="O305" s="4" t="str">
        <f>IFERROR(__xludf.DUMMYFUNCTION("""COMPUTED_VALUE"""),"ERJ-2RKF4702X")</f>
        <v>ERJ-2RKF4702X</v>
      </c>
      <c r="P305" s="4" t="str">
        <f>IFERROR(__xludf.DUMMYFUNCTION("""COMPUTED_VALUE"""),"95(R) ")</f>
        <v>95(R) </v>
      </c>
      <c r="Q305" s="4">
        <f>IFERROR(__xludf.DUMMYFUNCTION("""COMPUTED_VALUE"""),95.0)</f>
        <v>95</v>
      </c>
      <c r="R305" s="4">
        <f>IFERROR(__xludf.DUMMYFUNCTION("""COMPUTED_VALUE"""),95.0)</f>
        <v>95</v>
      </c>
      <c r="S305" s="4" t="str">
        <f>IFERROR(__xludf.DUMMYFUNCTION("""COMPUTED_VALUE"""),"Reel")</f>
        <v>Reel</v>
      </c>
      <c r="T305" s="4" t="str">
        <f>IFERROR(__xludf.DUMMYFUNCTION("""COMPUTED_VALUE"""),"XX21")</f>
        <v>XX21</v>
      </c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>
      <c r="A306" s="4" t="str">
        <f>IFERROR(__xludf.DUMMYFUNCTION("""COMPUTED_VALUE"""),"DIODE:   LED SMD Blue 470nm 500mA (OEPS J05 012A)   [LXZ1-PB01] [0705]")</f>
        <v>DIODE:   LED SMD Blue 470nm 500mA (OEPS J05 012A)   [LXZ1-PB01] [0705]</v>
      </c>
      <c r="B306" s="4" t="str">
        <f>IFERROR(__xludf.DUMMYFUNCTION("""COMPUTED_VALUE"""),"OEPS030020")</f>
        <v>OEPS030020</v>
      </c>
      <c r="C306" s="4" t="str">
        <f>IFERROR(__xludf.DUMMYFUNCTION("""COMPUTED_VALUE"""),"SMD")</f>
        <v>SMD</v>
      </c>
      <c r="D306" s="4" t="str">
        <f>IFERROR(__xludf.DUMMYFUNCTION("""COMPUTED_VALUE"""),"LXZ1-PB01")</f>
        <v>LXZ1-PB01</v>
      </c>
      <c r="E306" s="4">
        <f>IFERROR(__xludf.DUMMYFUNCTION("""COMPUTED_VALUE"""),5.0)</f>
        <v>5</v>
      </c>
      <c r="F306" s="4" t="str">
        <f>IFERROR(__xludf.DUMMYFUNCTION("""COMPUTED_VALUE"""),"DigiKey")</f>
        <v>DigiKey</v>
      </c>
      <c r="G306" s="4" t="str">
        <f>IFERROR(__xludf.DUMMYFUNCTION("""COMPUTED_VALUE"""),"1416-1052-6-ND")</f>
        <v>1416-1052-6-ND</v>
      </c>
      <c r="H306" s="4"/>
      <c r="I306" s="4"/>
      <c r="J306" s="4"/>
      <c r="K306" s="4"/>
      <c r="L306" s="4"/>
      <c r="M306" s="4"/>
      <c r="N306" s="9" t="str">
        <f>IFERROR(__xludf.DUMMYFUNCTION("""COMPUTED_VALUE"""),"OEPS M05 071")</f>
        <v>OEPS M05 071</v>
      </c>
      <c r="O306" s="4" t="str">
        <f>IFERROR(__xludf.DUMMYFUNCTION("""COMPUTED_VALUE"""),"DS90UB934TRGZRQ1")</f>
        <v>DS90UB934TRGZRQ1</v>
      </c>
      <c r="P306" s="4" t="str">
        <f>IFERROR(__xludf.DUMMYFUNCTION("""COMPUTED_VALUE"""),"15(R) 66(R) ")</f>
        <v>15(R) 66(R) </v>
      </c>
      <c r="Q306" s="4">
        <f>IFERROR(__xludf.DUMMYFUNCTION("""COMPUTED_VALUE"""),81.0)</f>
        <v>81</v>
      </c>
      <c r="R306" s="4">
        <f>IFERROR(__xludf.DUMMYFUNCTION("""COMPUTED_VALUE"""),15.0)</f>
        <v>15</v>
      </c>
      <c r="S306" s="4" t="str">
        <f>IFERROR(__xludf.DUMMYFUNCTION("""COMPUTED_VALUE"""),"Reel")</f>
        <v>Reel</v>
      </c>
      <c r="T306" s="4" t="str">
        <f>IFERROR(__xludf.DUMMYFUNCTION("""COMPUTED_VALUE"""),"1120")</f>
        <v>1120</v>
      </c>
      <c r="U306" s="4">
        <f>IFERROR(__xludf.DUMMYFUNCTION("""COMPUTED_VALUE"""),66.0)</f>
        <v>66</v>
      </c>
      <c r="V306" s="4" t="str">
        <f>IFERROR(__xludf.DUMMYFUNCTION("""COMPUTED_VALUE"""),"Reel")</f>
        <v>Reel</v>
      </c>
      <c r="W306" s="4" t="str">
        <f>IFERROR(__xludf.DUMMYFUNCTION("""COMPUTED_VALUE"""),"1120")</f>
        <v>1120</v>
      </c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>
      <c r="A307" s="4" t="str">
        <f>IFERROR(__xludf.DUMMYFUNCTION("""COMPUTED_VALUE"""),"DIODE:   LED SMD Green 565nm 20mA   [SML-LX0603GW-TR] [0603]")</f>
        <v>DIODE:   LED SMD Green 565nm 20mA   [SML-LX0603GW-TR] [0603]</v>
      </c>
      <c r="B307" s="4" t="str">
        <f>IFERROR(__xludf.DUMMYFUNCTION("""COMPUTED_VALUE"""),"OEPS030031")</f>
        <v>OEPS030031</v>
      </c>
      <c r="C307" s="4" t="str">
        <f>IFERROR(__xludf.DUMMYFUNCTION("""COMPUTED_VALUE"""),"SMD")</f>
        <v>SMD</v>
      </c>
      <c r="D307" s="4" t="str">
        <f>IFERROR(__xludf.DUMMYFUNCTION("""COMPUTED_VALUE"""),"SML-LX0603GW-TR")</f>
        <v>SML-LX0603GW-TR</v>
      </c>
      <c r="E307" s="4">
        <f>IFERROR(__xludf.DUMMYFUNCTION("""COMPUTED_VALUE"""),20.0)</f>
        <v>20</v>
      </c>
      <c r="F307" s="4" t="str">
        <f>IFERROR(__xludf.DUMMYFUNCTION("""COMPUTED_VALUE"""),"Digikey")</f>
        <v>Digikey</v>
      </c>
      <c r="G307" s="4" t="str">
        <f>IFERROR(__xludf.DUMMYFUNCTION("""COMPUTED_VALUE"""),"67-1549-6-ND")</f>
        <v>67-1549-6-ND</v>
      </c>
      <c r="H307" s="4"/>
      <c r="I307" s="4"/>
      <c r="J307" s="4"/>
      <c r="K307" s="4"/>
      <c r="L307" s="4"/>
      <c r="M307" s="4"/>
      <c r="N307" s="9" t="str">
        <f>IFERROR(__xludf.DUMMYFUNCTION("""COMPUTED_VALUE"""),"OEPS M1 900")</f>
        <v>OEPS M1 900</v>
      </c>
      <c r="O307" s="4" t="str">
        <f>IFERROR(__xludf.DUMMYFUNCTION("""COMPUTED_VALUE"""),"X.FL-R-SMT-1(02)")</f>
        <v>X.FL-R-SMT-1(02)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>
      <c r="A308" s="4" t="str">
        <f>IFERROR(__xludf.DUMMYFUNCTION("""COMPUTED_VALUE"""),"DIODE:   LED SMD Green Clear 515nm 20mA   [150060GS75000] [0603]")</f>
        <v>DIODE:   LED SMD Green Clear 515nm 20mA   [150060GS75000] [0603]</v>
      </c>
      <c r="B308" s="4" t="str">
        <f>IFERROR(__xludf.DUMMYFUNCTION("""COMPUTED_VALUE"""),"OEPS030033")</f>
        <v>OEPS030033</v>
      </c>
      <c r="C308" s="4" t="str">
        <f>IFERROR(__xludf.DUMMYFUNCTION("""COMPUTED_VALUE"""),"SMD")</f>
        <v>SMD</v>
      </c>
      <c r="D308" s="4" t="str">
        <f>IFERROR(__xludf.DUMMYFUNCTION("""COMPUTED_VALUE"""),"150060GS75000")</f>
        <v>150060GS75000</v>
      </c>
      <c r="E308" s="4">
        <f>IFERROR(__xludf.DUMMYFUNCTION("""COMPUTED_VALUE"""),10.0)</f>
        <v>10</v>
      </c>
      <c r="F308" s="4" t="str">
        <f>IFERROR(__xludf.DUMMYFUNCTION("""COMPUTED_VALUE"""),"Digikey")</f>
        <v>Digikey</v>
      </c>
      <c r="G308" s="4" t="str">
        <f>IFERROR(__xludf.DUMMYFUNCTION("""COMPUTED_VALUE"""),"732-4971-6-ND")</f>
        <v>732-4971-6-ND</v>
      </c>
      <c r="H308" s="4"/>
      <c r="I308" s="4"/>
      <c r="J308" s="4"/>
      <c r="K308" s="4"/>
      <c r="L308" s="4"/>
      <c r="M308" s="4"/>
      <c r="N308" s="9" t="str">
        <f>IFERROR(__xludf.DUMMYFUNCTION("""COMPUTED_VALUE"""),"OEPS M1 901")</f>
        <v>OEPS M1 901</v>
      </c>
      <c r="O308" s="4" t="str">
        <f>IFERROR(__xludf.DUMMYFUNCTION("""COMPUTED_VALUE"""),"CIG21L4R7MNE")</f>
        <v>CIG21L4R7MNE</v>
      </c>
      <c r="P308" s="4" t="str">
        <f>IFERROR(__xludf.DUMMYFUNCTION("""COMPUTED_VALUE"""),"385(R) ")</f>
        <v>385(R) </v>
      </c>
      <c r="Q308" s="4">
        <f>IFERROR(__xludf.DUMMYFUNCTION("""COMPUTED_VALUE"""),385.0)</f>
        <v>385</v>
      </c>
      <c r="R308" s="4">
        <f>IFERROR(__xludf.DUMMYFUNCTION("""COMPUTED_VALUE"""),385.0)</f>
        <v>385</v>
      </c>
      <c r="S308" s="4" t="str">
        <f>IFERROR(__xludf.DUMMYFUNCTION("""COMPUTED_VALUE"""),"Reel")</f>
        <v>Reel</v>
      </c>
      <c r="T308" s="4" t="str">
        <f>IFERROR(__xludf.DUMMYFUNCTION("""COMPUTED_VALUE"""),"0819")</f>
        <v>0819</v>
      </c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>
      <c r="A309" s="4" t="str">
        <f>IFERROR(__xludf.DUMMYFUNCTION("""COMPUTED_VALUE"""),"DIODE:   LED SMD Infrared 860nm 100mA (OEPS H02 008)   [SFH 4050-Z] [2-SMD]")</f>
        <v>DIODE:   LED SMD Infrared 860nm 100mA (OEPS H02 008)   [SFH 4050-Z] [2-SMD]</v>
      </c>
      <c r="B309" s="4" t="str">
        <f>IFERROR(__xludf.DUMMYFUNCTION("""COMPUTED_VALUE"""),"OEPS030024")</f>
        <v>OEPS030024</v>
      </c>
      <c r="C309" s="4" t="str">
        <f>IFERROR(__xludf.DUMMYFUNCTION("""COMPUTED_VALUE"""),"SMD")</f>
        <v>SMD</v>
      </c>
      <c r="D309" s="4" t="str">
        <f>IFERROR(__xludf.DUMMYFUNCTION("""COMPUTED_VALUE"""),"SFH 4050-Z")</f>
        <v>SFH 4050-Z</v>
      </c>
      <c r="E309" s="4">
        <f>IFERROR(__xludf.DUMMYFUNCTION("""COMPUTED_VALUE"""),10.0)</f>
        <v>10</v>
      </c>
      <c r="F309" s="4" t="str">
        <f>IFERROR(__xludf.DUMMYFUNCTION("""COMPUTED_VALUE"""),"DigiKey")</f>
        <v>DigiKey</v>
      </c>
      <c r="G309" s="4" t="str">
        <f>IFERROR(__xludf.DUMMYFUNCTION("""COMPUTED_VALUE"""),"475-SFH4050-ZDKR-ND")</f>
        <v>475-SFH4050-ZDKR-ND</v>
      </c>
      <c r="H309" s="4"/>
      <c r="I309" s="4"/>
      <c r="J309" s="4"/>
      <c r="K309" s="4"/>
      <c r="L309" s="4"/>
      <c r="M309" s="4"/>
      <c r="N309" s="9" t="str">
        <f>IFERROR(__xludf.DUMMYFUNCTION("""COMPUTED_VALUE"""),"OEPS M10 001")</f>
        <v>OEPS M10 001</v>
      </c>
      <c r="O309" s="4" t="str">
        <f>IFERROR(__xludf.DUMMYFUNCTION("""COMPUTED_VALUE"""),"M20-8770442")</f>
        <v>M20-8770442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>
      <c r="A310" s="4" t="str">
        <f>IFERROR(__xludf.DUMMYFUNCTION("""COMPUTED_VALUE"""),"DIODE:   LED SMD Lime 568nm (OEPS J05 090)   [LXZ1-PX01] [0705]")</f>
        <v>DIODE:   LED SMD Lime 568nm (OEPS J05 090)   [LXZ1-PX01] [0705]</v>
      </c>
      <c r="B310" s="4" t="str">
        <f>IFERROR(__xludf.DUMMYFUNCTION("""COMPUTED_VALUE"""),"OEPS030022")</f>
        <v>OEPS030022</v>
      </c>
      <c r="C310" s="4" t="str">
        <f>IFERROR(__xludf.DUMMYFUNCTION("""COMPUTED_VALUE"""),"SMD")</f>
        <v>SMD</v>
      </c>
      <c r="D310" s="4" t="str">
        <f>IFERROR(__xludf.DUMMYFUNCTION("""COMPUTED_VALUE"""),"LXZ1-PX01")</f>
        <v>LXZ1-PX01</v>
      </c>
      <c r="E310" s="4">
        <f>IFERROR(__xludf.DUMMYFUNCTION("""COMPUTED_VALUE"""),5.0)</f>
        <v>5</v>
      </c>
      <c r="F310" s="4" t="str">
        <f>IFERROR(__xludf.DUMMYFUNCTION("""COMPUTED_VALUE"""),"DigiKey")</f>
        <v>DigiKey</v>
      </c>
      <c r="G310" s="4" t="str">
        <f>IFERROR(__xludf.DUMMYFUNCTION("""COMPUTED_VALUE"""),"1416-1186-6-ND")</f>
        <v>1416-1186-6-ND</v>
      </c>
      <c r="H310" s="4"/>
      <c r="I310" s="4"/>
      <c r="J310" s="4"/>
      <c r="K310" s="4"/>
      <c r="L310" s="4"/>
      <c r="M310" s="4"/>
      <c r="N310" s="9" t="str">
        <f>IFERROR(__xludf.DUMMYFUNCTION("""COMPUTED_VALUE"""),"OEPS M10 002")</f>
        <v>OEPS M10 002</v>
      </c>
      <c r="O310" s="4" t="str">
        <f>IFERROR(__xludf.DUMMYFUNCTION("""COMPUTED_VALUE"""),"EVQ-P7J01P")</f>
        <v>EVQ-P7J01P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>
      <c r="A311" s="4" t="str">
        <f>IFERROR(__xludf.DUMMYFUNCTION("""COMPUTED_VALUE"""),"DIODE:   LED SMD Red 624nm 20mA   [LTST-C191KEKT] [0603]")</f>
        <v>DIODE:   LED SMD Red 624nm 20mA   [LTST-C191KEKT] [0603]</v>
      </c>
      <c r="B311" s="4" t="str">
        <f>IFERROR(__xludf.DUMMYFUNCTION("""COMPUTED_VALUE"""),"OEPS030029")</f>
        <v>OEPS030029</v>
      </c>
      <c r="C311" s="4" t="str">
        <f>IFERROR(__xludf.DUMMYFUNCTION("""COMPUTED_VALUE"""),"SMD")</f>
        <v>SMD</v>
      </c>
      <c r="D311" s="4" t="str">
        <f>IFERROR(__xludf.DUMMYFUNCTION("""COMPUTED_VALUE"""),"LTST-C191KEKT")</f>
        <v>LTST-C191KEKT</v>
      </c>
      <c r="E311" s="4">
        <f>IFERROR(__xludf.DUMMYFUNCTION("""COMPUTED_VALUE"""),20.0)</f>
        <v>20</v>
      </c>
      <c r="F311" s="4" t="str">
        <f>IFERROR(__xludf.DUMMYFUNCTION("""COMPUTED_VALUE"""),"DigiKey")</f>
        <v>DigiKey</v>
      </c>
      <c r="G311" s="4" t="str">
        <f>IFERROR(__xludf.DUMMYFUNCTION("""COMPUTED_VALUE"""),"160-LTST-C191KEKTDKR-ND")</f>
        <v>160-LTST-C191KEKTDKR-ND</v>
      </c>
      <c r="H311" s="4"/>
      <c r="I311" s="4"/>
      <c r="J311" s="4"/>
      <c r="K311" s="4"/>
      <c r="L311" s="4"/>
      <c r="M311" s="4"/>
      <c r="N311" s="9" t="str">
        <f>IFERROR(__xludf.DUMMYFUNCTION("""COMPUTED_VALUE"""),"OEPS M10 003")</f>
        <v>OEPS M10 003</v>
      </c>
      <c r="O311" s="4" t="str">
        <f>IFERROR(__xludf.DUMMYFUNCTION("""COMPUTED_VALUE"""),"TNPU0603500RA ZEN00")</f>
        <v>TNPU0603500RA ZEN00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>
      <c r="A312" s="4" t="str">
        <f>IFERROR(__xludf.DUMMYFUNCTION("""COMPUTED_VALUE"""),"DIODE:   LED SMD Red 630nm 20mA   [XZMDK45WT-9] [2-PLCC]")</f>
        <v>DIODE:   LED SMD Red 630nm 20mA   [XZMDK45WT-9] [2-PLCC]</v>
      </c>
      <c r="B312" s="4" t="str">
        <f>IFERROR(__xludf.DUMMYFUNCTION("""COMPUTED_VALUE"""),"OEPS030018")</f>
        <v>OEPS030018</v>
      </c>
      <c r="C312" s="4" t="str">
        <f>IFERROR(__xludf.DUMMYFUNCTION("""COMPUTED_VALUE"""),"SMD")</f>
        <v>SMD</v>
      </c>
      <c r="D312" s="4" t="str">
        <f>IFERROR(__xludf.DUMMYFUNCTION("""COMPUTED_VALUE"""),"XZMDK45WT-9")</f>
        <v>XZMDK45WT-9</v>
      </c>
      <c r="E312" s="4">
        <f>IFERROR(__xludf.DUMMYFUNCTION("""COMPUTED_VALUE"""),5.0)</f>
        <v>5</v>
      </c>
      <c r="F312" s="4" t="str">
        <f>IFERROR(__xludf.DUMMYFUNCTION("""COMPUTED_VALUE"""),"DigiKey")</f>
        <v>DigiKey</v>
      </c>
      <c r="G312" s="4" t="str">
        <f>IFERROR(__xludf.DUMMYFUNCTION("""COMPUTED_VALUE"""),"1497-1331-6-ND")</f>
        <v>1497-1331-6-ND</v>
      </c>
      <c r="H312" s="4"/>
      <c r="I312" s="4"/>
      <c r="J312" s="4"/>
      <c r="K312" s="4"/>
      <c r="L312" s="4"/>
      <c r="M312" s="4"/>
      <c r="N312" s="9" t="str">
        <f>IFERROR(__xludf.DUMMYFUNCTION("""COMPUTED_VALUE"""),"OEPS M10 004")</f>
        <v>OEPS M10 004</v>
      </c>
      <c r="O312" s="4" t="str">
        <f>IFERROR(__xludf.DUMMYFUNCTION("""COMPUTED_VALUE"""),"RC0603FR-071K33L")</f>
        <v>RC0603FR-071K33L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>
      <c r="A313" s="4" t="str">
        <f>IFERROR(__xludf.DUMMYFUNCTION("""COMPUTED_VALUE"""),"DIODE:   LED SMD Red 631nm 20mA (OEPS J05 013)   [VLMS1500-GS08] [0402]")</f>
        <v>DIODE:   LED SMD Red 631nm 20mA (OEPS J05 013)   [VLMS1500-GS08] [0402]</v>
      </c>
      <c r="B313" s="4" t="str">
        <f>IFERROR(__xludf.DUMMYFUNCTION("""COMPUTED_VALUE"""),"OEPS030023")</f>
        <v>OEPS030023</v>
      </c>
      <c r="C313" s="4" t="str">
        <f>IFERROR(__xludf.DUMMYFUNCTION("""COMPUTED_VALUE"""),"SMD")</f>
        <v>SMD</v>
      </c>
      <c r="D313" s="4" t="str">
        <f>IFERROR(__xludf.DUMMYFUNCTION("""COMPUTED_VALUE"""),"VLMS1500-GS08")</f>
        <v>VLMS1500-GS08</v>
      </c>
      <c r="E313" s="4">
        <f>IFERROR(__xludf.DUMMYFUNCTION("""COMPUTED_VALUE"""),30.0)</f>
        <v>30</v>
      </c>
      <c r="F313" s="4" t="str">
        <f>IFERROR(__xludf.DUMMYFUNCTION("""COMPUTED_VALUE"""),"DigiKey")</f>
        <v>DigiKey</v>
      </c>
      <c r="G313" s="4" t="str">
        <f>IFERROR(__xludf.DUMMYFUNCTION("""COMPUTED_VALUE"""),"VLMS1500-GS08DKR-ND")</f>
        <v>VLMS1500-GS08DKR-ND</v>
      </c>
      <c r="H313" s="4"/>
      <c r="I313" s="4"/>
      <c r="J313" s="4"/>
      <c r="K313" s="4"/>
      <c r="L313" s="4"/>
      <c r="M313" s="4"/>
      <c r="N313" s="9" t="str">
        <f>IFERROR(__xludf.DUMMYFUNCTION("""COMPUTED_VALUE"""),"OEPS M10 005")</f>
        <v>OEPS M10 005</v>
      </c>
      <c r="O313" s="4" t="str">
        <f>IFERROR(__xludf.DUMMYFUNCTION("""COMPUTED_VALUE"""),"RC0603FR-074K7L")</f>
        <v>RC0603FR-074K7L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>
      <c r="A314" s="4" t="str">
        <f>IFERROR(__xludf.DUMMYFUNCTION("""COMPUTED_VALUE"""),"DIODE:   LED SMD RGB Red 621nm Green 525nm Blue 468nm   [ASMB-LTC2-0A335] [4-PLCC]")</f>
        <v>DIODE:   LED SMD RGB Red 621nm Green 525nm Blue 468nm   [ASMB-LTC2-0A335] [4-PLCC]</v>
      </c>
      <c r="B314" s="4" t="str">
        <f>IFERROR(__xludf.DUMMYFUNCTION("""COMPUTED_VALUE"""),"OEPS030028")</f>
        <v>OEPS030028</v>
      </c>
      <c r="C314" s="4" t="str">
        <f>IFERROR(__xludf.DUMMYFUNCTION("""COMPUTED_VALUE"""),"SMD")</f>
        <v>SMD</v>
      </c>
      <c r="D314" s="4" t="str">
        <f>IFERROR(__xludf.DUMMYFUNCTION("""COMPUTED_VALUE"""),"ASMB-LTC2-0A335")</f>
        <v>ASMB-LTC2-0A335</v>
      </c>
      <c r="E314" s="4">
        <f>IFERROR(__xludf.DUMMYFUNCTION("""COMPUTED_VALUE"""),5.0)</f>
        <v>5</v>
      </c>
      <c r="F314" s="4" t="str">
        <f>IFERROR(__xludf.DUMMYFUNCTION("""COMPUTED_VALUE"""),"DigiKey")</f>
        <v>DigiKey</v>
      </c>
      <c r="G314" s="4" t="str">
        <f>IFERROR(__xludf.DUMMYFUNCTION("""COMPUTED_VALUE"""),"516-4290-6-ND")</f>
        <v>516-4290-6-ND</v>
      </c>
      <c r="H314" s="4"/>
      <c r="I314" s="4"/>
      <c r="J314" s="4"/>
      <c r="K314" s="4"/>
      <c r="L314" s="4"/>
      <c r="M314" s="4"/>
      <c r="N314" s="9" t="str">
        <f>IFERROR(__xludf.DUMMYFUNCTION("""COMPUTED_VALUE"""),"OEPS M10 006")</f>
        <v>OEPS M10 006</v>
      </c>
      <c r="O314" s="4" t="str">
        <f>IFERROR(__xludf.DUMMYFUNCTION("""COMPUTED_VALUE"""),"RC0603FR-0710KL")</f>
        <v>RC0603FR-0710KL</v>
      </c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>
      <c r="A315" s="4" t="str">
        <f>IFERROR(__xludf.DUMMYFUNCTION("""COMPUTED_VALUE"""),"DIODE:   LED SMD RGB Red 645nm Green 515nm Blue 460nm   [XZMDKCBDDG45S-9] [4-PLCC]")</f>
        <v>DIODE:   LED SMD RGB Red 645nm Green 515nm Blue 460nm   [XZMDKCBDDG45S-9] [4-PLCC]</v>
      </c>
      <c r="B315" s="4" t="str">
        <f>IFERROR(__xludf.DUMMYFUNCTION("""COMPUTED_VALUE"""),"OEPS030057")</f>
        <v>OEPS030057</v>
      </c>
      <c r="C315" s="4" t="str">
        <f>IFERROR(__xludf.DUMMYFUNCTION("""COMPUTED_VALUE"""),"SMD")</f>
        <v>SMD</v>
      </c>
      <c r="D315" s="4" t="str">
        <f>IFERROR(__xludf.DUMMYFUNCTION("""COMPUTED_VALUE"""),"XZMDKCBDDG45S-9")</f>
        <v>XZMDKCBDDG45S-9</v>
      </c>
      <c r="E315" s="4">
        <f>IFERROR(__xludf.DUMMYFUNCTION("""COMPUTED_VALUE"""),3.0)</f>
        <v>3</v>
      </c>
      <c r="F315" s="4" t="str">
        <f>IFERROR(__xludf.DUMMYFUNCTION("""COMPUTED_VALUE"""),"DigiKey")</f>
        <v>DigiKey</v>
      </c>
      <c r="G315" s="4" t="str">
        <f>IFERROR(__xludf.DUMMYFUNCTION("""COMPUTED_VALUE"""),"1497-1257-6-ND")</f>
        <v>1497-1257-6-ND</v>
      </c>
      <c r="H315" s="4"/>
      <c r="I315" s="4"/>
      <c r="J315" s="4"/>
      <c r="K315" s="4"/>
      <c r="L315" s="4"/>
      <c r="M315" s="4"/>
      <c r="N315" s="9" t="str">
        <f>IFERROR(__xludf.DUMMYFUNCTION("""COMPUTED_VALUE"""),"OEPS M10 007")</f>
        <v>OEPS M10 007</v>
      </c>
      <c r="O315" s="4" t="str">
        <f>IFERROR(__xludf.DUMMYFUNCTION("""COMPUTED_VALUE"""),"RC0603FR-071M2L")</f>
        <v>RC0603FR-071M2L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>
      <c r="A316" s="4" t="str">
        <f>IFERROR(__xludf.DUMMYFUNCTION("""COMPUTED_VALUE"""),"DIODE:   LED TH 5MM Green, Red 20mA   [MCL059PURGW] [TH]")</f>
        <v>DIODE:   LED TH 5MM Green, Red 20mA   [MCL059PURGW] [TH]</v>
      </c>
      <c r="B316" s="4" t="str">
        <f>IFERROR(__xludf.DUMMYFUNCTION("""COMPUTED_VALUE"""),"OEPS030012")</f>
        <v>OEPS030012</v>
      </c>
      <c r="C316" s="4" t="str">
        <f>IFERROR(__xludf.DUMMYFUNCTION("""COMPUTED_VALUE"""),"TH")</f>
        <v>TH</v>
      </c>
      <c r="D316" s="4" t="str">
        <f>IFERROR(__xludf.DUMMYFUNCTION("""COMPUTED_VALUE"""),"MCL059PURGW")</f>
        <v>MCL059PURGW</v>
      </c>
      <c r="E316" s="4">
        <f>IFERROR(__xludf.DUMMYFUNCTION("""COMPUTED_VALUE"""),1.0)</f>
        <v>1</v>
      </c>
      <c r="F316" s="4" t="str">
        <f>IFERROR(__xludf.DUMMYFUNCTION("""COMPUTED_VALUE"""),"Farnell")</f>
        <v>Farnell</v>
      </c>
      <c r="G316" s="4" t="str">
        <f>IFERROR(__xludf.DUMMYFUNCTION("""COMPUTED_VALUE"""),"1581197")</f>
        <v>1581197</v>
      </c>
      <c r="H316" s="4"/>
      <c r="I316" s="4"/>
      <c r="J316" s="4"/>
      <c r="K316" s="4"/>
      <c r="L316" s="4"/>
      <c r="M316" s="4"/>
      <c r="N316" s="9" t="str">
        <f>IFERROR(__xludf.DUMMYFUNCTION("""COMPUTED_VALUE"""),"OEPS M10 008")</f>
        <v>OEPS M10 008</v>
      </c>
      <c r="O316" s="4" t="str">
        <f>IFERROR(__xludf.DUMMYFUNCTION("""COMPUTED_VALUE"""),"MCT06030C1504FP500")</f>
        <v>MCT06030C1504FP500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>
      <c r="A317" s="4" t="str">
        <f>IFERROR(__xludf.DUMMYFUNCTION("""COMPUTED_VALUE"""),"DIODE:   LED TH 5MM Super Red 630nm 50mA   [TLCS5100] [TH]")</f>
        <v>DIODE:   LED TH 5MM Super Red 630nm 50mA   [TLCS5100] [TH]</v>
      </c>
      <c r="B317" s="4" t="str">
        <f>IFERROR(__xludf.DUMMYFUNCTION("""COMPUTED_VALUE"""),"OEPS030011")</f>
        <v>OEPS030011</v>
      </c>
      <c r="C317" s="4" t="str">
        <f>IFERROR(__xludf.DUMMYFUNCTION("""COMPUTED_VALUE"""),"TH")</f>
        <v>TH</v>
      </c>
      <c r="D317" s="4" t="str">
        <f>IFERROR(__xludf.DUMMYFUNCTION("""COMPUTED_VALUE"""),"TLCS5100")</f>
        <v>TLCS5100</v>
      </c>
      <c r="E317" s="4">
        <f>IFERROR(__xludf.DUMMYFUNCTION("""COMPUTED_VALUE"""),1.0)</f>
        <v>1</v>
      </c>
      <c r="F317" s="4" t="str">
        <f>IFERROR(__xludf.DUMMYFUNCTION("""COMPUTED_VALUE"""),"Farnell")</f>
        <v>Farnell</v>
      </c>
      <c r="G317" s="4" t="str">
        <f>IFERROR(__xludf.DUMMYFUNCTION("""COMPUTED_VALUE"""),"3777905")</f>
        <v>3777905</v>
      </c>
      <c r="H317" s="4"/>
      <c r="I317" s="4"/>
      <c r="J317" s="4"/>
      <c r="K317" s="4"/>
      <c r="L317" s="4"/>
      <c r="M317" s="4"/>
      <c r="N317" s="9" t="str">
        <f>IFERROR(__xludf.DUMMYFUNCTION("""COMPUTED_VALUE"""),"OEPS M10 010")</f>
        <v>OEPS M10 010</v>
      </c>
      <c r="O317" s="4" t="str">
        <f>IFERROR(__xludf.DUMMYFUNCTION("""COMPUTED_VALUE"""),"CL10A105KA8NNNC")</f>
        <v>CL10A105KA8NNNC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>
      <c r="A318" s="4" t="str">
        <f>IFERROR(__xludf.DUMMYFUNCTION("""COMPUTED_VALUE"""),"DIODE:   LED TH Green 565nm 20mA R/A   [SSF-LXH100GD-01] [TH]")</f>
        <v>DIODE:   LED TH Green 565nm 20mA R/A   [SSF-LXH100GD-01] [TH]</v>
      </c>
      <c r="B318" s="4" t="str">
        <f>IFERROR(__xludf.DUMMYFUNCTION("""COMPUTED_VALUE"""),"OEPS030055")</f>
        <v>OEPS030055</v>
      </c>
      <c r="C318" s="4" t="str">
        <f>IFERROR(__xludf.DUMMYFUNCTION("""COMPUTED_VALUE"""),"TH")</f>
        <v>TH</v>
      </c>
      <c r="D318" s="4" t="str">
        <f>IFERROR(__xludf.DUMMYFUNCTION("""COMPUTED_VALUE"""),"SSF-LXH100GD-01")</f>
        <v>SSF-LXH100GD-01</v>
      </c>
      <c r="E318" s="4">
        <f>IFERROR(__xludf.DUMMYFUNCTION("""COMPUTED_VALUE"""),1.0)</f>
        <v>1</v>
      </c>
      <c r="F318" s="4" t="str">
        <f>IFERROR(__xludf.DUMMYFUNCTION("""COMPUTED_VALUE"""),"DigiKey")</f>
        <v>DigiKey</v>
      </c>
      <c r="G318" s="4" t="str">
        <f>IFERROR(__xludf.DUMMYFUNCTION("""COMPUTED_VALUE"""),"67-1310-ND")</f>
        <v>67-1310-ND</v>
      </c>
      <c r="H318" s="4"/>
      <c r="I318" s="4"/>
      <c r="J318" s="4"/>
      <c r="K318" s="4"/>
      <c r="L318" s="4"/>
      <c r="M318" s="4"/>
      <c r="N318" s="9" t="str">
        <f>IFERROR(__xludf.DUMMYFUNCTION("""COMPUTED_VALUE"""),"OEPS M10 011")</f>
        <v>OEPS M10 011</v>
      </c>
      <c r="O318" s="4" t="str">
        <f>IFERROR(__xludf.DUMMYFUNCTION("""COMPUTED_VALUE"""),"CL21A225KAFNNNE")</f>
        <v>CL21A225KAFNNNE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>
      <c r="A319" s="4" t="str">
        <f>IFERROR(__xludf.DUMMYFUNCTION("""COMPUTED_VALUE"""),"DIODE:   LED TH Infrared 950nm 50mA   [GL480E00000F] [TH]")</f>
        <v>DIODE:   LED TH Infrared 950nm 50mA   [GL480E00000F] [TH]</v>
      </c>
      <c r="B319" s="4" t="str">
        <f>IFERROR(__xludf.DUMMYFUNCTION("""COMPUTED_VALUE"""),"OEPS030053")</f>
        <v>OEPS030053</v>
      </c>
      <c r="C319" s="4" t="str">
        <f>IFERROR(__xludf.DUMMYFUNCTION("""COMPUTED_VALUE"""),"TH")</f>
        <v>TH</v>
      </c>
      <c r="D319" s="4" t="str">
        <f>IFERROR(__xludf.DUMMYFUNCTION("""COMPUTED_VALUE"""),"GL480E00000F")</f>
        <v>GL480E00000F</v>
      </c>
      <c r="E319" s="4">
        <f>IFERROR(__xludf.DUMMYFUNCTION("""COMPUTED_VALUE"""),1.0)</f>
        <v>1</v>
      </c>
      <c r="F319" s="4" t="str">
        <f>IFERROR(__xludf.DUMMYFUNCTION("""COMPUTED_VALUE"""),"DigiKey")</f>
        <v>DigiKey</v>
      </c>
      <c r="G319" s="4" t="str">
        <f>IFERROR(__xludf.DUMMYFUNCTION("""COMPUTED_VALUE"""),"1855-1055-ND")</f>
        <v>1855-1055-ND</v>
      </c>
      <c r="H319" s="4"/>
      <c r="I319" s="4"/>
      <c r="J319" s="4"/>
      <c r="K319" s="4"/>
      <c r="L319" s="4"/>
      <c r="M319" s="4"/>
      <c r="N319" s="9" t="str">
        <f>IFERROR(__xludf.DUMMYFUNCTION("""COMPUTED_VALUE"""),"OEPS M10 012")</f>
        <v>OEPS M10 012</v>
      </c>
      <c r="O319" s="4" t="str">
        <f>IFERROR(__xludf.DUMMYFUNCTION("""COMPUTED_VALUE"""),"TMK316BBJ226ML-T")</f>
        <v>TMK316BBJ226ML-T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>
      <c r="A320" s="4" t="str">
        <f>IFERROR(__xludf.DUMMYFUNCTION("""COMPUTED_VALUE"""),"DIODE:   RF DIODE PIN 150V 250MW   [BAR66E6327HTSA1] [PG-SOT23]")</f>
        <v>DIODE:   RF DIODE PIN 150V 250MW   [BAR66E6327HTSA1] [PG-SOT23]</v>
      </c>
      <c r="B320" s="4" t="str">
        <f>IFERROR(__xludf.DUMMYFUNCTION("""COMPUTED_VALUE"""),"OEPS030050")</f>
        <v>OEPS030050</v>
      </c>
      <c r="C320" s="4" t="str">
        <f>IFERROR(__xludf.DUMMYFUNCTION("""COMPUTED_VALUE"""),"SMD")</f>
        <v>SMD</v>
      </c>
      <c r="D320" s="4" t="str">
        <f>IFERROR(__xludf.DUMMYFUNCTION("""COMPUTED_VALUE"""),"BAR66E6327HTSA1")</f>
        <v>BAR66E6327HTSA1</v>
      </c>
      <c r="E320" s="4">
        <f>IFERROR(__xludf.DUMMYFUNCTION("""COMPUTED_VALUE"""),10.0)</f>
        <v>10</v>
      </c>
      <c r="F320" s="4" t="str">
        <f>IFERROR(__xludf.DUMMYFUNCTION("""COMPUTED_VALUE"""),"DigiKey")</f>
        <v>DigiKey</v>
      </c>
      <c r="G320" s="4" t="str">
        <f>IFERROR(__xludf.DUMMYFUNCTION("""COMPUTED_VALUE"""),"BAR66E6327HTSA1DKR-ND")</f>
        <v>BAR66E6327HTSA1DKR-ND</v>
      </c>
      <c r="H320" s="4"/>
      <c r="I320" s="4"/>
      <c r="J320" s="4"/>
      <c r="K320" s="4"/>
      <c r="L320" s="4"/>
      <c r="M320" s="4"/>
      <c r="N320" s="9" t="str">
        <f>IFERROR(__xludf.DUMMYFUNCTION("""COMPUTED_VALUE"""),"OEPS M10 013")</f>
        <v>OEPS M10 013</v>
      </c>
      <c r="O320" s="4" t="str">
        <f>IFERROR(__xludf.DUMMYFUNCTION("""COMPUTED_VALUE"""),"UCD1E101MCL6GS")</f>
        <v>UCD1E101MCL6GS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>
      <c r="A321" s="4" t="str">
        <f>IFERROR(__xludf.DUMMYFUNCTION("""COMPUTED_VALUE"""),"DIODE:   RGB SMD B   [EAST1616RGBA8] [6-SMD]")</f>
        <v>DIODE:   RGB SMD B   [EAST1616RGBA8] [6-SMD]</v>
      </c>
      <c r="B321" s="4" t="str">
        <f>IFERROR(__xludf.DUMMYFUNCTION("""COMPUTED_VALUE"""),"OEPS030013")</f>
        <v>OEPS030013</v>
      </c>
      <c r="C321" s="4" t="str">
        <f>IFERROR(__xludf.DUMMYFUNCTION("""COMPUTED_VALUE"""),"SMD")</f>
        <v>SMD</v>
      </c>
      <c r="D321" s="4" t="str">
        <f>IFERROR(__xludf.DUMMYFUNCTION("""COMPUTED_VALUE"""),"EAST1616RGBA8")</f>
        <v>EAST1616RGBA8</v>
      </c>
      <c r="E321" s="4">
        <f>IFERROR(__xludf.DUMMYFUNCTION("""COMPUTED_VALUE"""),4.0)</f>
        <v>4</v>
      </c>
      <c r="F321" s="4" t="str">
        <f>IFERROR(__xludf.DUMMYFUNCTION("""COMPUTED_VALUE"""),"DigiKey")</f>
        <v>DigiKey</v>
      </c>
      <c r="G321" s="4" t="str">
        <f>IFERROR(__xludf.DUMMYFUNCTION("""COMPUTED_VALUE"""),"1080-EAST1616RGBA8DKR-ND")</f>
        <v>1080-EAST1616RGBA8DKR-ND</v>
      </c>
      <c r="H321" s="4"/>
      <c r="I321" s="4"/>
      <c r="J321" s="4"/>
      <c r="K321" s="4"/>
      <c r="L321" s="4"/>
      <c r="M321" s="4"/>
      <c r="N321" s="9" t="str">
        <f>IFERROR(__xludf.DUMMYFUNCTION("""COMPUTED_VALUE"""),"OEPS M10 014")</f>
        <v>OEPS M10 014</v>
      </c>
      <c r="O321" s="4" t="str">
        <f>IFERROR(__xludf.DUMMYFUNCTION("""COMPUTED_VALUE"""),"HV0820-2R7305-R")</f>
        <v>HV0820-2R7305-R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>
      <c r="A322" s="4" t="str">
        <f>IFERROR(__xludf.DUMMYFUNCTION("""COMPUTED_VALUE"""),"DIODE:   Schottky 30V 0.1A   [CMDSH-3 TR PBFREE] [SOD-323]")</f>
        <v>DIODE:   Schottky 30V 0.1A   [CMDSH-3 TR PBFREE] [SOD-323]</v>
      </c>
      <c r="B322" s="4" t="str">
        <f>IFERROR(__xludf.DUMMYFUNCTION("""COMPUTED_VALUE"""),"OEPS030008")</f>
        <v>OEPS030008</v>
      </c>
      <c r="C322" s="4" t="str">
        <f>IFERROR(__xludf.DUMMYFUNCTION("""COMPUTED_VALUE"""),"SMD")</f>
        <v>SMD</v>
      </c>
      <c r="D322" s="4" t="str">
        <f>IFERROR(__xludf.DUMMYFUNCTION("""COMPUTED_VALUE"""),"CMDSH-3 TR PBFREE")</f>
        <v>CMDSH-3 TR PBFREE</v>
      </c>
      <c r="E322" s="4">
        <f>IFERROR(__xludf.DUMMYFUNCTION("""COMPUTED_VALUE"""),10.0)</f>
        <v>10</v>
      </c>
      <c r="F322" s="4" t="str">
        <f>IFERROR(__xludf.DUMMYFUNCTION("""COMPUTED_VALUE"""),"DigiKey")</f>
        <v>DigiKey</v>
      </c>
      <c r="G322" s="4" t="str">
        <f>IFERROR(__xludf.DUMMYFUNCTION("""COMPUTED_VALUE"""),"1514-CMDSH-3TRPBFREEDKR-ND")</f>
        <v>1514-CMDSH-3TRPBFREEDKR-ND</v>
      </c>
      <c r="H322" s="4"/>
      <c r="I322" s="4"/>
      <c r="J322" s="4"/>
      <c r="K322" s="4"/>
      <c r="L322" s="4"/>
      <c r="M322" s="4"/>
      <c r="N322" s="9" t="str">
        <f>IFERROR(__xludf.DUMMYFUNCTION("""COMPUTED_VALUE"""),"OEPS M10 015")</f>
        <v>OEPS M10 015</v>
      </c>
      <c r="O322" s="4" t="str">
        <f>IFERROR(__xludf.DUMMYFUNCTION("""COMPUTED_VALUE"""),"XZMDKCBDDG45S-9")</f>
        <v>XZMDKCBDDG45S-9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>
      <c r="A323" s="4" t="str">
        <f>IFERROR(__xludf.DUMMYFUNCTION("""COMPUTED_VALUE"""),"DIODE:   Schottky 30V 4A   [SSB43L-E3/52T] [DO-214AA (SMB)]")</f>
        <v>DIODE:   Schottky 30V 4A   [SSB43L-E3/52T] [DO-214AA (SMB)]</v>
      </c>
      <c r="B323" s="4" t="str">
        <f>IFERROR(__xludf.DUMMYFUNCTION("""COMPUTED_VALUE"""),"OEPS030009")</f>
        <v>OEPS030009</v>
      </c>
      <c r="C323" s="4" t="str">
        <f>IFERROR(__xludf.DUMMYFUNCTION("""COMPUTED_VALUE"""),"SMD")</f>
        <v>SMD</v>
      </c>
      <c r="D323" s="4" t="str">
        <f>IFERROR(__xludf.DUMMYFUNCTION("""COMPUTED_VALUE"""),"SSB43L-E3/52T")</f>
        <v>SSB43L-E3/52T</v>
      </c>
      <c r="E323" s="4">
        <f>IFERROR(__xludf.DUMMYFUNCTION("""COMPUTED_VALUE"""),5.0)</f>
        <v>5</v>
      </c>
      <c r="F323" s="4" t="str">
        <f>IFERROR(__xludf.DUMMYFUNCTION("""COMPUTED_VALUE"""),"DigiKey")</f>
        <v>DigiKey</v>
      </c>
      <c r="G323" s="4" t="str">
        <f>IFERROR(__xludf.DUMMYFUNCTION("""COMPUTED_VALUE"""),"SSB43L-E3/52TGIDKR-ND")</f>
        <v>SSB43L-E3/52TGIDKR-ND</v>
      </c>
      <c r="H323" s="4"/>
      <c r="I323" s="4"/>
      <c r="J323" s="4"/>
      <c r="K323" s="4"/>
      <c r="L323" s="4"/>
      <c r="M323" s="4"/>
      <c r="N323" s="9" t="str">
        <f>IFERROR(__xludf.DUMMYFUNCTION("""COMPUTED_VALUE"""),"OEPS M10 016")</f>
        <v>OEPS M10 016</v>
      </c>
      <c r="O323" s="4" t="str">
        <f>IFERROR(__xludf.DUMMYFUNCTION("""COMPUTED_VALUE"""),"IS31FL3193-DLS2-TR")</f>
        <v>IS31FL3193-DLS2-TR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>
      <c r="A324" s="4" t="str">
        <f>IFERROR(__xludf.DUMMYFUNCTION("""COMPUTED_VALUE"""),"DIODE:   Schottky 40V 1A   [B140-13-F] [DO-214AC]")</f>
        <v>DIODE:   Schottky 40V 1A   [B140-13-F] [DO-214AC]</v>
      </c>
      <c r="B324" s="4" t="str">
        <f>IFERROR(__xludf.DUMMYFUNCTION("""COMPUTED_VALUE"""),"OEPS030016")</f>
        <v>OEPS030016</v>
      </c>
      <c r="C324" s="4" t="str">
        <f>IFERROR(__xludf.DUMMYFUNCTION("""COMPUTED_VALUE"""),"SMD")</f>
        <v>SMD</v>
      </c>
      <c r="D324" s="4" t="str">
        <f>IFERROR(__xludf.DUMMYFUNCTION("""COMPUTED_VALUE"""),"B140-13-F")</f>
        <v>B140-13-F</v>
      </c>
      <c r="E324" s="4">
        <f>IFERROR(__xludf.DUMMYFUNCTION("""COMPUTED_VALUE"""),10.0)</f>
        <v>10</v>
      </c>
      <c r="F324" s="4" t="str">
        <f>IFERROR(__xludf.DUMMYFUNCTION("""COMPUTED_VALUE"""),"DigiKey")</f>
        <v>DigiKey</v>
      </c>
      <c r="G324" s="4" t="str">
        <f>IFERROR(__xludf.DUMMYFUNCTION("""COMPUTED_VALUE"""),"B140-FDIDKR-ND")</f>
        <v>B140-FDIDKR-ND</v>
      </c>
      <c r="H324" s="4"/>
      <c r="I324" s="4"/>
      <c r="J324" s="4"/>
      <c r="K324" s="4"/>
      <c r="L324" s="4"/>
      <c r="M324" s="4"/>
      <c r="N324" s="9" t="str">
        <f>IFERROR(__xludf.DUMMYFUNCTION("""COMPUTED_VALUE"""),"OEPS M10 017")</f>
        <v>OEPS M10 017</v>
      </c>
      <c r="O324" s="4" t="str">
        <f>IFERROR(__xludf.DUMMYFUNCTION("""COMPUTED_VALUE"""),"LTC4425EMSE#PBF")</f>
        <v>LTC4425EMSE#PBF</v>
      </c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>
      <c r="A325" s="4" t="str">
        <f>IFERROR(__xludf.DUMMYFUNCTION("""COMPUTED_VALUE"""),"DIODE:   Standard 100V 250mA 500mA (OEPS J05 011)   [BAS316-TP] [SOD-323]")</f>
        <v>DIODE:   Standard 100V 250mA 500mA (OEPS J05 011)   [BAS316-TP] [SOD-323]</v>
      </c>
      <c r="B325" s="4" t="str">
        <f>IFERROR(__xludf.DUMMYFUNCTION("""COMPUTED_VALUE"""),"OEPS030019")</f>
        <v>OEPS030019</v>
      </c>
      <c r="C325" s="4" t="str">
        <f>IFERROR(__xludf.DUMMYFUNCTION("""COMPUTED_VALUE"""),"SMD")</f>
        <v>SMD</v>
      </c>
      <c r="D325" s="4" t="str">
        <f>IFERROR(__xludf.DUMMYFUNCTION("""COMPUTED_VALUE"""),"BAS316-TP")</f>
        <v>BAS316-TP</v>
      </c>
      <c r="E325" s="4">
        <f>IFERROR(__xludf.DUMMYFUNCTION("""COMPUTED_VALUE"""),10.0)</f>
        <v>10</v>
      </c>
      <c r="F325" s="4" t="str">
        <f>IFERROR(__xludf.DUMMYFUNCTION("""COMPUTED_VALUE"""),"DigiKey")</f>
        <v>DigiKey</v>
      </c>
      <c r="G325" s="4" t="str">
        <f>IFERROR(__xludf.DUMMYFUNCTION("""COMPUTED_VALUE"""),"BAS316-TPMSDKR-ND")</f>
        <v>BAS316-TPMSDKR-ND</v>
      </c>
      <c r="H325" s="4"/>
      <c r="I325" s="4"/>
      <c r="J325" s="4"/>
      <c r="K325" s="4"/>
      <c r="L325" s="4"/>
      <c r="M325" s="4"/>
      <c r="N325" s="9" t="str">
        <f>IFERROR(__xludf.DUMMYFUNCTION("""COMPUTED_VALUE"""),"OEPS M10 018")</f>
        <v>OEPS M10 018</v>
      </c>
      <c r="O325" s="4" t="str">
        <f>IFERROR(__xludf.DUMMYFUNCTION("""COMPUTED_VALUE"""),"PTN04050CAZ")</f>
        <v>PTN04050CAZ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>
      <c r="A326" s="4" t="str">
        <f>IFERROR(__xludf.DUMMYFUNCTION("""COMPUTED_VALUE"""),"DIODE:   Standard 400V 1A   [S1G] [SMA]")</f>
        <v>DIODE:   Standard 400V 1A   [S1G] [SMA]</v>
      </c>
      <c r="B326" s="4" t="str">
        <f>IFERROR(__xludf.DUMMYFUNCTION("""COMPUTED_VALUE"""),"OEPS030001")</f>
        <v>OEPS030001</v>
      </c>
      <c r="C326" s="4" t="str">
        <f>IFERROR(__xludf.DUMMYFUNCTION("""COMPUTED_VALUE"""),"SMD")</f>
        <v>SMD</v>
      </c>
      <c r="D326" s="4" t="str">
        <f>IFERROR(__xludf.DUMMYFUNCTION("""COMPUTED_VALUE"""),"S1G")</f>
        <v>S1G</v>
      </c>
      <c r="E326" s="4">
        <f>IFERROR(__xludf.DUMMYFUNCTION("""COMPUTED_VALUE"""),20.0)</f>
        <v>20</v>
      </c>
      <c r="F326" s="4" t="str">
        <f>IFERROR(__xludf.DUMMYFUNCTION("""COMPUTED_VALUE"""),"DigiKey")</f>
        <v>DigiKey</v>
      </c>
      <c r="G326" s="4" t="str">
        <f>IFERROR(__xludf.DUMMYFUNCTION("""COMPUTED_VALUE"""),"1655-S1GDKR-ND")</f>
        <v>1655-S1GDKR-ND</v>
      </c>
      <c r="H326" s="4"/>
      <c r="I326" s="4"/>
      <c r="J326" s="4"/>
      <c r="K326" s="4"/>
      <c r="L326" s="4"/>
      <c r="M326" s="4"/>
      <c r="N326" s="9" t="str">
        <f>IFERROR(__xludf.DUMMYFUNCTION("""COMPUTED_VALUE"""),"OEPS M10 019A")</f>
        <v>OEPS M10 019A</v>
      </c>
      <c r="O326" s="4" t="str">
        <f>IFERROR(__xludf.DUMMYFUNCTION("""COMPUTED_VALUE"""),"SSM-108-L-SV-P-TR")</f>
        <v>SSM-108-L-SV-P-TR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>
      <c r="A327" s="4" t="str">
        <f>IFERROR(__xludf.DUMMYFUNCTION("""COMPUTED_VALUE"""),"DIODE:   Standard 60V 20A   [SBRT20M60SP5-7] [	PowerDI™ 5]")</f>
        <v>DIODE:   Standard 60V 20A   [SBRT20M60SP5-7] [	PowerDI™ 5]</v>
      </c>
      <c r="B327" s="4" t="str">
        <f>IFERROR(__xludf.DUMMYFUNCTION("""COMPUTED_VALUE"""),"OEPS030015")</f>
        <v>OEPS030015</v>
      </c>
      <c r="C327" s="4" t="str">
        <f>IFERROR(__xludf.DUMMYFUNCTION("""COMPUTED_VALUE"""),"SMD")</f>
        <v>SMD</v>
      </c>
      <c r="D327" s="4" t="str">
        <f>IFERROR(__xludf.DUMMYFUNCTION("""COMPUTED_VALUE"""),"SBRT20M60SP5-7")</f>
        <v>SBRT20M60SP5-7</v>
      </c>
      <c r="E327" s="4">
        <f>IFERROR(__xludf.DUMMYFUNCTION("""COMPUTED_VALUE"""),5.0)</f>
        <v>5</v>
      </c>
      <c r="F327" s="4" t="str">
        <f>IFERROR(__xludf.DUMMYFUNCTION("""COMPUTED_VALUE"""),"DigiKey")</f>
        <v>DigiKey</v>
      </c>
      <c r="G327" s="4" t="str">
        <f>IFERROR(__xludf.DUMMYFUNCTION("""COMPUTED_VALUE"""),"SBRT20M60SP5-7DIDKR-ND")</f>
        <v>SBRT20M60SP5-7DIDKR-ND</v>
      </c>
      <c r="H327" s="4"/>
      <c r="I327" s="4"/>
      <c r="J327" s="4"/>
      <c r="K327" s="4"/>
      <c r="L327" s="4"/>
      <c r="M327" s="4"/>
      <c r="N327" s="9" t="str">
        <f>IFERROR(__xludf.DUMMYFUNCTION("""COMPUTED_VALUE"""),"OEPS M10 020")</f>
        <v>OEPS M10 020</v>
      </c>
      <c r="O327" s="4" t="str">
        <f>IFERROR(__xludf.DUMMYFUNCTION("""COMPUTED_VALUE"""),"TMCSILENTSTEPSPI")</f>
        <v>TMCSILENTSTEPSPI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>
      <c r="A328" s="4" t="str">
        <f>IFERROR(__xludf.DUMMYFUNCTION("""COMPUTED_VALUE"""),"DIODE:   Standard 75V 150mA   [1N4148WS-E3-18] [SOD-323]")</f>
        <v>DIODE:   Standard 75V 150mA   [1N4148WS-E3-18] [SOD-323]</v>
      </c>
      <c r="B328" s="4" t="str">
        <f>IFERROR(__xludf.DUMMYFUNCTION("""COMPUTED_VALUE"""),"OEPS030052")</f>
        <v>OEPS030052</v>
      </c>
      <c r="C328" s="4" t="str">
        <f>IFERROR(__xludf.DUMMYFUNCTION("""COMPUTED_VALUE"""),"SMD")</f>
        <v>SMD</v>
      </c>
      <c r="D328" s="4" t="str">
        <f>IFERROR(__xludf.DUMMYFUNCTION("""COMPUTED_VALUE"""),"1N4148WS-E3-18")</f>
        <v>1N4148WS-E3-18</v>
      </c>
      <c r="E328" s="4">
        <f>IFERROR(__xludf.DUMMYFUNCTION("""COMPUTED_VALUE"""),10.0)</f>
        <v>10</v>
      </c>
      <c r="F328" s="4" t="str">
        <f>IFERROR(__xludf.DUMMYFUNCTION("""COMPUTED_VALUE"""),"DigiKey")</f>
        <v>DigiKey</v>
      </c>
      <c r="G328" s="4" t="str">
        <f>IFERROR(__xludf.DUMMYFUNCTION("""COMPUTED_VALUE"""),"1N4148WS-E3-18GIDKR-ND")</f>
        <v>1N4148WS-E3-18GIDKR-ND</v>
      </c>
      <c r="H328" s="4"/>
      <c r="I328" s="4"/>
      <c r="J328" s="4"/>
      <c r="K328" s="4"/>
      <c r="L328" s="4"/>
      <c r="M328" s="4"/>
      <c r="N328" s="9" t="str">
        <f>IFERROR(__xludf.DUMMYFUNCTION("""COMPUTED_VALUE"""),"OEPS M10 021")</f>
        <v>OEPS M10 021</v>
      </c>
      <c r="O328" s="4" t="str">
        <f>IFERROR(__xludf.DUMMYFUNCTION("""COMPUTED_VALUE"""),"TSW-108-07-G-S")</f>
        <v>TSW-108-07-G-S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>
      <c r="A329" s="4" t="str">
        <f>IFERROR(__xludf.DUMMYFUNCTION("""COMPUTED_VALUE"""),"DIODE:   Standard 75V 150mA   [1N4148WX-TP] [SOD-323]")</f>
        <v>DIODE:   Standard 75V 150mA   [1N4148WX-TP] [SOD-323]</v>
      </c>
      <c r="B329" s="4" t="str">
        <f>IFERROR(__xludf.DUMMYFUNCTION("""COMPUTED_VALUE"""),"OEPS030017")</f>
        <v>OEPS030017</v>
      </c>
      <c r="C329" s="4" t="str">
        <f>IFERROR(__xludf.DUMMYFUNCTION("""COMPUTED_VALUE"""),"SMD")</f>
        <v>SMD</v>
      </c>
      <c r="D329" s="4" t="str">
        <f>IFERROR(__xludf.DUMMYFUNCTION("""COMPUTED_VALUE"""),"1N4148WX-TP")</f>
        <v>1N4148WX-TP</v>
      </c>
      <c r="E329" s="4">
        <f>IFERROR(__xludf.DUMMYFUNCTION("""COMPUTED_VALUE"""),10.0)</f>
        <v>10</v>
      </c>
      <c r="F329" s="4" t="str">
        <f>IFERROR(__xludf.DUMMYFUNCTION("""COMPUTED_VALUE"""),"DigiKey")</f>
        <v>DigiKey</v>
      </c>
      <c r="G329" s="4" t="str">
        <f>IFERROR(__xludf.DUMMYFUNCTION("""COMPUTED_VALUE"""),"1N4148WXTPMSDKR-ND")</f>
        <v>1N4148WXTPMSDKR-ND</v>
      </c>
      <c r="H329" s="4"/>
      <c r="I329" s="4"/>
      <c r="J329" s="4"/>
      <c r="K329" s="4"/>
      <c r="L329" s="4"/>
      <c r="M329" s="4"/>
      <c r="N329" s="9" t="str">
        <f>IFERROR(__xludf.DUMMYFUNCTION("""COMPUTED_VALUE"""),"OEPS M10 022")</f>
        <v>OEPS M10 022</v>
      </c>
      <c r="O329" s="4" t="str">
        <f>IFERROR(__xludf.DUMMYFUNCTION("""COMPUTED_VALUE"""),"SSM114LSV")</f>
        <v>SSM114LSV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>
      <c r="A330" s="4" t="str">
        <f>IFERROR(__xludf.DUMMYFUNCTION("""COMPUTED_VALUE"""),"DIODE:   TVS 15.3V 24.2A   [P6SMB18CA] [SMB]")</f>
        <v>DIODE:   TVS 15.3V 24.2A   [P6SMB18CA] [SMB]</v>
      </c>
      <c r="B330" s="4" t="str">
        <f>IFERROR(__xludf.DUMMYFUNCTION("""COMPUTED_VALUE"""),"OEPS030002")</f>
        <v>OEPS030002</v>
      </c>
      <c r="C330" s="4" t="str">
        <f>IFERROR(__xludf.DUMMYFUNCTION("""COMPUTED_VALUE"""),"SMD")</f>
        <v>SMD</v>
      </c>
      <c r="D330" s="4" t="str">
        <f>IFERROR(__xludf.DUMMYFUNCTION("""COMPUTED_VALUE"""),"P6SMB18CA")</f>
        <v>P6SMB18CA</v>
      </c>
      <c r="E330" s="4">
        <f>IFERROR(__xludf.DUMMYFUNCTION("""COMPUTED_VALUE"""),10.0)</f>
        <v>10</v>
      </c>
      <c r="F330" s="4" t="str">
        <f>IFERROR(__xludf.DUMMYFUNCTION("""COMPUTED_VALUE"""),"DigiKey")</f>
        <v>DigiKey</v>
      </c>
      <c r="G330" s="4" t="str">
        <f>IFERROR(__xludf.DUMMYFUNCTION("""COMPUTED_VALUE"""),"P6SMB18CALFDKR-ND")</f>
        <v>P6SMB18CALFDKR-ND</v>
      </c>
      <c r="H330" s="4"/>
      <c r="I330" s="4"/>
      <c r="J330" s="4"/>
      <c r="K330" s="4"/>
      <c r="L330" s="4"/>
      <c r="M330" s="4"/>
      <c r="N330" s="9" t="str">
        <f>IFERROR(__xludf.DUMMYFUNCTION("""COMPUTED_VALUE"""),"OEPS M10 023")</f>
        <v>OEPS M10 023</v>
      </c>
      <c r="O330" s="4" t="str">
        <f>IFERROR(__xludf.DUMMYFUNCTION("""COMPUTED_VALUE"""),"NPTC031KFXC-RC")</f>
        <v>NPTC031KFXC-RC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>
      <c r="A331" s="4" t="str">
        <f>IFERROR(__xludf.DUMMYFUNCTION("""COMPUTED_VALUE"""),"DIODE:   TVS 8channel 8.8V 1A   [CM1213-08MR] [10-MSOP]")</f>
        <v>DIODE:   TVS 8channel 8.8V 1A   [CM1213-08MR] [10-MSOP]</v>
      </c>
      <c r="B331" s="4" t="str">
        <f>IFERROR(__xludf.DUMMYFUNCTION("""COMPUTED_VALUE"""),"OEPS030004")</f>
        <v>OEPS030004</v>
      </c>
      <c r="C331" s="4" t="str">
        <f>IFERROR(__xludf.DUMMYFUNCTION("""COMPUTED_VALUE"""),"SMD")</f>
        <v>SMD</v>
      </c>
      <c r="D331" s="4" t="str">
        <f>IFERROR(__xludf.DUMMYFUNCTION("""COMPUTED_VALUE"""),"CM1213-08MR")</f>
        <v>CM1213-08MR</v>
      </c>
      <c r="E331" s="4">
        <f>IFERROR(__xludf.DUMMYFUNCTION("""COMPUTED_VALUE"""),5.0)</f>
        <v>5</v>
      </c>
      <c r="F331" s="4" t="str">
        <f>IFERROR(__xludf.DUMMYFUNCTION("""COMPUTED_VALUE"""),"DigiKey")</f>
        <v>DigiKey</v>
      </c>
      <c r="G331" s="4" t="str">
        <f>IFERROR(__xludf.DUMMYFUNCTION("""COMPUTED_VALUE"""),"CM1213-08MROSDKR-ND")</f>
        <v>CM1213-08MROSDKR-ND</v>
      </c>
      <c r="H331" s="4"/>
      <c r="I331" s="4"/>
      <c r="J331" s="4"/>
      <c r="K331" s="4"/>
      <c r="L331" s="4"/>
      <c r="M331" s="4"/>
      <c r="N331" s="9" t="str">
        <f>IFERROR(__xludf.DUMMYFUNCTION("""COMPUTED_VALUE"""),"OEPS M10 025")</f>
        <v>OEPS M10 025</v>
      </c>
      <c r="O331" s="4" t="str">
        <f>IFERROR(__xludf.DUMMYFUNCTION("""COMPUTED_VALUE"""),"TSW11407GS")</f>
        <v>TSW11407GS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>
      <c r="A332" s="4" t="str">
        <f>IFERROR(__xludf.DUMMYFUNCTION("""COMPUTED_VALUE"""),"DIODE:   TVS DIODE 3.3VWM 11.5VC   [ESD9B3.3ST5G] [SOD-923]")</f>
        <v>DIODE:   TVS DIODE 3.3VWM 11.5VC   [ESD9B3.3ST5G] [SOD-923]</v>
      </c>
      <c r="B332" s="4" t="str">
        <f>IFERROR(__xludf.DUMMYFUNCTION("""COMPUTED_VALUE"""),"OEPS030039")</f>
        <v>OEPS030039</v>
      </c>
      <c r="C332" s="4" t="str">
        <f>IFERROR(__xludf.DUMMYFUNCTION("""COMPUTED_VALUE"""),"SMD")</f>
        <v>SMD</v>
      </c>
      <c r="D332" s="4" t="str">
        <f>IFERROR(__xludf.DUMMYFUNCTION("""COMPUTED_VALUE"""),"ESD9B3.3ST5G")</f>
        <v>ESD9B3.3ST5G</v>
      </c>
      <c r="E332" s="4">
        <f>IFERROR(__xludf.DUMMYFUNCTION("""COMPUTED_VALUE"""),10.0)</f>
        <v>10</v>
      </c>
      <c r="F332" s="4" t="str">
        <f>IFERROR(__xludf.DUMMYFUNCTION("""COMPUTED_VALUE"""),"DigiKey")</f>
        <v>DigiKey</v>
      </c>
      <c r="G332" s="4" t="str">
        <f>IFERROR(__xludf.DUMMYFUNCTION("""COMPUTED_VALUE"""),"ESD9B3.3ST5GOSDKR-ND")</f>
        <v>ESD9B3.3ST5GOSDKR-ND</v>
      </c>
      <c r="H332" s="4"/>
      <c r="I332" s="4"/>
      <c r="J332" s="4"/>
      <c r="K332" s="4"/>
      <c r="L332" s="4"/>
      <c r="M332" s="4"/>
      <c r="N332" s="9" t="str">
        <f>IFERROR(__xludf.DUMMYFUNCTION("""COMPUTED_VALUE"""),"OEPS M10 026")</f>
        <v>OEPS M10 026</v>
      </c>
      <c r="O332" s="4" t="str">
        <f>IFERROR(__xludf.DUMMYFUNCTION("""COMPUTED_VALUE"""),"TSW-103-07-G-S")</f>
        <v>TSW-103-07-G-S</v>
      </c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>
      <c r="A333" s="4" t="str">
        <f>IFERROR(__xludf.DUMMYFUNCTION("""COMPUTED_VALUE"""),"DIODE:   TVS DIODE 5.25VWM 17VC   [USBLC6-2SC6] [SOT-23-6]")</f>
        <v>DIODE:   TVS DIODE 5.25VWM 17VC   [USBLC6-2SC6] [SOT-23-6]</v>
      </c>
      <c r="B333" s="4" t="str">
        <f>IFERROR(__xludf.DUMMYFUNCTION("""COMPUTED_VALUE"""),"OEPS030010")</f>
        <v>OEPS030010</v>
      </c>
      <c r="C333" s="4" t="str">
        <f>IFERROR(__xludf.DUMMYFUNCTION("""COMPUTED_VALUE"""),"SMD")</f>
        <v>SMD</v>
      </c>
      <c r="D333" s="4" t="str">
        <f>IFERROR(__xludf.DUMMYFUNCTION("""COMPUTED_VALUE"""),"USBLC6-2SC6")</f>
        <v>USBLC6-2SC6</v>
      </c>
      <c r="E333" s="4">
        <f>IFERROR(__xludf.DUMMYFUNCTION("""COMPUTED_VALUE"""),5.0)</f>
        <v>5</v>
      </c>
      <c r="F333" s="4" t="str">
        <f>IFERROR(__xludf.DUMMYFUNCTION("""COMPUTED_VALUE"""),"DigiKey")</f>
        <v>DigiKey</v>
      </c>
      <c r="G333" s="4" t="str">
        <f>IFERROR(__xludf.DUMMYFUNCTION("""COMPUTED_VALUE"""),"497-5235-6-ND")</f>
        <v>497-5235-6-ND</v>
      </c>
      <c r="H333" s="4"/>
      <c r="I333" s="4"/>
      <c r="J333" s="4"/>
      <c r="K333" s="4"/>
      <c r="L333" s="4"/>
      <c r="M333" s="4"/>
      <c r="N333" s="9" t="str">
        <f>IFERROR(__xludf.DUMMYFUNCTION("""COMPUTED_VALUE"""),"OEPS M10 040")</f>
        <v>OEPS M10 040</v>
      </c>
      <c r="O333" s="4" t="str">
        <f>IFERROR(__xludf.DUMMYFUNCTION("""COMPUTED_VALUE"""),"91292A191")</f>
        <v>91292A191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>
      <c r="A334" s="4" t="str">
        <f>IFERROR(__xludf.DUMMYFUNCTION("""COMPUTED_VALUE"""),"DIODE:   TVS DIODE 5.5VWM 14VC   [TPD4E05U06DQAR] [10-UFDFN]")</f>
        <v>DIODE:   TVS DIODE 5.5VWM 14VC   [TPD4E05U06DQAR] [10-UFDFN]</v>
      </c>
      <c r="B334" s="4" t="str">
        <f>IFERROR(__xludf.DUMMYFUNCTION("""COMPUTED_VALUE"""),"OEPS030037")</f>
        <v>OEPS030037</v>
      </c>
      <c r="C334" s="4" t="str">
        <f>IFERROR(__xludf.DUMMYFUNCTION("""COMPUTED_VALUE"""),"SMD")</f>
        <v>SMD</v>
      </c>
      <c r="D334" s="4" t="str">
        <f>IFERROR(__xludf.DUMMYFUNCTION("""COMPUTED_VALUE"""),"TPD4E05U06DQAR")</f>
        <v>TPD4E05U06DQAR</v>
      </c>
      <c r="E334" s="4">
        <f>IFERROR(__xludf.DUMMYFUNCTION("""COMPUTED_VALUE"""),5.0)</f>
        <v>5</v>
      </c>
      <c r="F334" s="4" t="str">
        <f>IFERROR(__xludf.DUMMYFUNCTION("""COMPUTED_VALUE"""),"Digikey")</f>
        <v>Digikey</v>
      </c>
      <c r="G334" s="4" t="str">
        <f>IFERROR(__xludf.DUMMYFUNCTION("""COMPUTED_VALUE"""),"296-35765-6-ND")</f>
        <v>296-35765-6-ND</v>
      </c>
      <c r="H334" s="4"/>
      <c r="I334" s="4"/>
      <c r="J334" s="4"/>
      <c r="K334" s="4"/>
      <c r="L334" s="4"/>
      <c r="M334" s="4"/>
      <c r="N334" s="9" t="str">
        <f>IFERROR(__xludf.DUMMYFUNCTION("""COMPUTED_VALUE"""),"OEPS NP1 001")</f>
        <v>OEPS NP1 001</v>
      </c>
      <c r="O334" s="4" t="str">
        <f>IFERROR(__xludf.DUMMYFUNCTION("""COMPUTED_VALUE"""),"CC603KRX7R9BB104")</f>
        <v>CC603KRX7R9BB104</v>
      </c>
      <c r="P334" s="4" t="str">
        <f>IFERROR(__xludf.DUMMYFUNCTION("""COMPUTED_VALUE"""),"36(R) ")</f>
        <v>36(R) </v>
      </c>
      <c r="Q334" s="4">
        <f>IFERROR(__xludf.DUMMYFUNCTION("""COMPUTED_VALUE"""),36.0)</f>
        <v>36</v>
      </c>
      <c r="R334" s="4">
        <f>IFERROR(__xludf.DUMMYFUNCTION("""COMPUTED_VALUE"""),36.0)</f>
        <v>36</v>
      </c>
      <c r="S334" s="4" t="str">
        <f>IFERROR(__xludf.DUMMYFUNCTION("""COMPUTED_VALUE"""),"Reel")</f>
        <v>Reel</v>
      </c>
      <c r="T334" s="4" t="str">
        <f>IFERROR(__xludf.DUMMYFUNCTION("""COMPUTED_VALUE"""),"0920")</f>
        <v>0920</v>
      </c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>
      <c r="A335" s="4" t="str">
        <f>IFERROR(__xludf.DUMMYFUNCTION("""COMPUTED_VALUE"""),"DIODE:   TVS DIODE 5VWM 28VC   [PESD5V0L2BT,215] [SOD-923]")</f>
        <v>DIODE:   TVS DIODE 5VWM 28VC   [PESD5V0L2BT,215] [SOD-923]</v>
      </c>
      <c r="B335" s="4" t="str">
        <f>IFERROR(__xludf.DUMMYFUNCTION("""COMPUTED_VALUE"""),"OEPS030040")</f>
        <v>OEPS030040</v>
      </c>
      <c r="C335" s="4" t="str">
        <f>IFERROR(__xludf.DUMMYFUNCTION("""COMPUTED_VALUE"""),"SMD")</f>
        <v>SMD</v>
      </c>
      <c r="D335" s="4" t="str">
        <f>IFERROR(__xludf.DUMMYFUNCTION("""COMPUTED_VALUE"""),"PESD5V0L2BT,215")</f>
        <v>PESD5V0L2BT,215</v>
      </c>
      <c r="E335" s="4">
        <f>IFERROR(__xludf.DUMMYFUNCTION("""COMPUTED_VALUE"""),10.0)</f>
        <v>10</v>
      </c>
      <c r="F335" s="4" t="str">
        <f>IFERROR(__xludf.DUMMYFUNCTION("""COMPUTED_VALUE"""),"DigiKey")</f>
        <v>DigiKey</v>
      </c>
      <c r="G335" s="4" t="str">
        <f>IFERROR(__xludf.DUMMYFUNCTION("""COMPUTED_VALUE"""),"1727-3834-6-ND")</f>
        <v>1727-3834-6-ND</v>
      </c>
      <c r="H335" s="4"/>
      <c r="I335" s="4"/>
      <c r="J335" s="4"/>
      <c r="K335" s="4"/>
      <c r="L335" s="4"/>
      <c r="M335" s="4"/>
      <c r="N335" s="9" t="str">
        <f>IFERROR(__xludf.DUMMYFUNCTION("""COMPUTED_VALUE"""),"OEPS NP1 003")</f>
        <v>OEPS NP1 003</v>
      </c>
      <c r="O335" s="4" t="str">
        <f>IFERROR(__xludf.DUMMYFUNCTION("""COMPUTED_VALUE"""),"GRM18871E184KA8D")</f>
        <v>GRM18871E184KA8D</v>
      </c>
      <c r="P335" s="4" t="str">
        <f>IFERROR(__xludf.DUMMYFUNCTION("""COMPUTED_VALUE"""),"22(R) ")</f>
        <v>22(R) </v>
      </c>
      <c r="Q335" s="4">
        <f>IFERROR(__xludf.DUMMYFUNCTION("""COMPUTED_VALUE"""),22.0)</f>
        <v>22</v>
      </c>
      <c r="R335" s="4">
        <f>IFERROR(__xludf.DUMMYFUNCTION("""COMPUTED_VALUE"""),22.0)</f>
        <v>22</v>
      </c>
      <c r="S335" s="4" t="str">
        <f>IFERROR(__xludf.DUMMYFUNCTION("""COMPUTED_VALUE"""),"Reel")</f>
        <v>Reel</v>
      </c>
      <c r="T335" s="4" t="str">
        <f>IFERROR(__xludf.DUMMYFUNCTION("""COMPUTED_VALUE"""),"0920")</f>
        <v>0920</v>
      </c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>
      <c r="A336" s="4" t="str">
        <f>IFERROR(__xludf.DUMMYFUNCTION("""COMPUTED_VALUE"""),"DIODE:   TVS DIODE 7VWM 13VC   [SESD0402X1UN-0030-088] [0402/2DFN]")</f>
        <v>DIODE:   TVS DIODE 7VWM 13VC   [SESD0402X1UN-0030-088] [0402/2DFN]</v>
      </c>
      <c r="B336" s="4" t="str">
        <f>IFERROR(__xludf.DUMMYFUNCTION("""COMPUTED_VALUE"""),"OEPS030049")</f>
        <v>OEPS030049</v>
      </c>
      <c r="C336" s="4" t="str">
        <f>IFERROR(__xludf.DUMMYFUNCTION("""COMPUTED_VALUE"""),"SMD")</f>
        <v>SMD</v>
      </c>
      <c r="D336" s="4" t="str">
        <f>IFERROR(__xludf.DUMMYFUNCTION("""COMPUTED_VALUE"""),"SESD0402X1UN-0030-088")</f>
        <v>SESD0402X1UN-0030-088</v>
      </c>
      <c r="E336" s="4">
        <f>IFERROR(__xludf.DUMMYFUNCTION("""COMPUTED_VALUE"""),10.0)</f>
        <v>10</v>
      </c>
      <c r="F336" s="4" t="str">
        <f>IFERROR(__xludf.DUMMYFUNCTION("""COMPUTED_VALUE"""),"DigiKey")</f>
        <v>DigiKey</v>
      </c>
      <c r="G336" s="4" t="str">
        <f>IFERROR(__xludf.DUMMYFUNCTION("""COMPUTED_VALUE"""),"SESD0402X1UN-0030-088DKR-ND")</f>
        <v>SESD0402X1UN-0030-088DKR-ND</v>
      </c>
      <c r="H336" s="4"/>
      <c r="I336" s="4"/>
      <c r="J336" s="4"/>
      <c r="K336" s="4"/>
      <c r="L336" s="4"/>
      <c r="M336" s="4"/>
      <c r="N336" s="9" t="str">
        <f>IFERROR(__xludf.DUMMYFUNCTION("""COMPUTED_VALUE"""),"OEPS NP1 004")</f>
        <v>OEPS NP1 004</v>
      </c>
      <c r="O336" s="4" t="str">
        <f>IFERROR(__xludf.DUMMYFUNCTION("""COMPUTED_VALUE"""),"C0603C222K3R")</f>
        <v>C0603C222K3R</v>
      </c>
      <c r="P336" s="4" t="str">
        <f>IFERROR(__xludf.DUMMYFUNCTION("""COMPUTED_VALUE"""),"11(R) ")</f>
        <v>11(R) </v>
      </c>
      <c r="Q336" s="4">
        <f>IFERROR(__xludf.DUMMYFUNCTION("""COMPUTED_VALUE"""),11.0)</f>
        <v>11</v>
      </c>
      <c r="R336" s="4">
        <f>IFERROR(__xludf.DUMMYFUNCTION("""COMPUTED_VALUE"""),11.0)</f>
        <v>11</v>
      </c>
      <c r="S336" s="4" t="str">
        <f>IFERROR(__xludf.DUMMYFUNCTION("""COMPUTED_VALUE"""),"Reel")</f>
        <v>Reel</v>
      </c>
      <c r="T336" s="4" t="str">
        <f>IFERROR(__xludf.DUMMYFUNCTION("""COMPUTED_VALUE"""),"XX20")</f>
        <v>XX20</v>
      </c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>
      <c r="A337" s="4" t="str">
        <f>IFERROR(__xludf.DUMMYFUNCTION("""COMPUTED_VALUE"""),"DIODE:   TVS DIODE 7VWM 9.2VC   [SESD0402X1UN-0020-090] [0402]")</f>
        <v>DIODE:   TVS DIODE 7VWM 9.2VC   [SESD0402X1UN-0020-090] [0402]</v>
      </c>
      <c r="B337" s="4" t="str">
        <f>IFERROR(__xludf.DUMMYFUNCTION("""COMPUTED_VALUE"""),"OEPS030041")</f>
        <v>OEPS030041</v>
      </c>
      <c r="C337" s="4" t="str">
        <f>IFERROR(__xludf.DUMMYFUNCTION("""COMPUTED_VALUE"""),"SMD")</f>
        <v>SMD</v>
      </c>
      <c r="D337" s="4" t="str">
        <f>IFERROR(__xludf.DUMMYFUNCTION("""COMPUTED_VALUE"""),"SESD0402X1UN-0020-090")</f>
        <v>SESD0402X1UN-0020-090</v>
      </c>
      <c r="E337" s="4">
        <f>IFERROR(__xludf.DUMMYFUNCTION("""COMPUTED_VALUE"""),10.0)</f>
        <v>10</v>
      </c>
      <c r="F337" s="4" t="str">
        <f>IFERROR(__xludf.DUMMYFUNCTION("""COMPUTED_VALUE"""),"DigiKey")</f>
        <v>DigiKey</v>
      </c>
      <c r="G337" s="4" t="str">
        <f>IFERROR(__xludf.DUMMYFUNCTION("""COMPUTED_VALUE"""),"SESD0402X1UN-0020-090DKR-ND")</f>
        <v>SESD0402X1UN-0020-090DKR-ND</v>
      </c>
      <c r="H337" s="4"/>
      <c r="I337" s="4"/>
      <c r="J337" s="4"/>
      <c r="K337" s="4"/>
      <c r="L337" s="4"/>
      <c r="M337" s="4"/>
      <c r="N337" s="9" t="str">
        <f>IFERROR(__xludf.DUMMYFUNCTION("""COMPUTED_VALUE"""),"OEPS NP1 006")</f>
        <v>OEPS NP1 006</v>
      </c>
      <c r="O337" s="4" t="str">
        <f>IFERROR(__xludf.DUMMYFUNCTION("""COMPUTED_VALUE"""),"C0603C181J5G")</f>
        <v>C0603C181J5G</v>
      </c>
      <c r="P337" s="4" t="str">
        <f>IFERROR(__xludf.DUMMYFUNCTION("""COMPUTED_VALUE"""),"22(R) ")</f>
        <v>22(R) </v>
      </c>
      <c r="Q337" s="4">
        <f>IFERROR(__xludf.DUMMYFUNCTION("""COMPUTED_VALUE"""),22.0)</f>
        <v>22</v>
      </c>
      <c r="R337" s="4">
        <f>IFERROR(__xludf.DUMMYFUNCTION("""COMPUTED_VALUE"""),22.0)</f>
        <v>22</v>
      </c>
      <c r="S337" s="4" t="str">
        <f>IFERROR(__xludf.DUMMYFUNCTION("""COMPUTED_VALUE"""),"Reel")</f>
        <v>Reel</v>
      </c>
      <c r="T337" s="4" t="str">
        <f>IFERROR(__xludf.DUMMYFUNCTION("""COMPUTED_VALUE"""),"0520")</f>
        <v>0520</v>
      </c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>
      <c r="A338" s="4" t="str">
        <f>IFERROR(__xludf.DUMMYFUNCTION("""COMPUTED_VALUE"""),"DNP: Do Not Populate (DNI)")</f>
        <v>DNP: Do Not Populate (DNI)</v>
      </c>
      <c r="B338" s="4" t="str">
        <f>IFERROR(__xludf.DUMMYFUNCTION("""COMPUTED_VALUE"""),"OEPS000000")</f>
        <v>OEPS000000</v>
      </c>
      <c r="C338" s="4" t="str">
        <f>IFERROR(__xludf.DUMMYFUNCTION("""COMPUTED_VALUE"""),"-")</f>
        <v>-</v>
      </c>
      <c r="D338" s="4" t="str">
        <f>IFERROR(__xludf.DUMMYFUNCTION("""COMPUTED_VALUE"""),"DNP")</f>
        <v>DNP</v>
      </c>
      <c r="E338" s="4">
        <f>IFERROR(__xludf.DUMMYFUNCTION("""COMPUTED_VALUE"""),0.0)</f>
        <v>0</v>
      </c>
      <c r="F338" s="4" t="str">
        <f>IFERROR(__xludf.DUMMYFUNCTION("""COMPUTED_VALUE"""),"-")</f>
        <v>-</v>
      </c>
      <c r="G338" s="4" t="str">
        <f>IFERROR(__xludf.DUMMYFUNCTION("""COMPUTED_VALUE"""),"DNP")</f>
        <v>DNP</v>
      </c>
      <c r="H338" s="4"/>
      <c r="I338" s="4"/>
      <c r="J338" s="4"/>
      <c r="K338" s="4"/>
      <c r="L338" s="4"/>
      <c r="M338" s="4"/>
      <c r="N338" s="9" t="str">
        <f>IFERROR(__xludf.DUMMYFUNCTION("""COMPUTED_VALUE"""),"OEPS NP1 007")</f>
        <v>OEPS NP1 007</v>
      </c>
      <c r="O338" s="4" t="str">
        <f>IFERROR(__xludf.DUMMYFUNCTION("""COMPUTED_VALUE"""),"CGA3E1X7R1V334K080AC")</f>
        <v>CGA3E1X7R1V334K080AC</v>
      </c>
      <c r="P338" s="4" t="str">
        <f>IFERROR(__xludf.DUMMYFUNCTION("""COMPUTED_VALUE"""),"11(R) ")</f>
        <v>11(R) </v>
      </c>
      <c r="Q338" s="4">
        <f>IFERROR(__xludf.DUMMYFUNCTION("""COMPUTED_VALUE"""),11.0)</f>
        <v>11</v>
      </c>
      <c r="R338" s="4">
        <f>IFERROR(__xludf.DUMMYFUNCTION("""COMPUTED_VALUE"""),11.0)</f>
        <v>11</v>
      </c>
      <c r="S338" s="4" t="str">
        <f>IFERROR(__xludf.DUMMYFUNCTION("""COMPUTED_VALUE"""),"Reel")</f>
        <v>Reel</v>
      </c>
      <c r="T338" s="4" t="str">
        <f>IFERROR(__xludf.DUMMYFUNCTION("""COMPUTED_VALUE"""),"0320")</f>
        <v>0320</v>
      </c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>
      <c r="A339" s="4" t="str">
        <f>IFERROR(__xludf.DUMMYFUNCTION("""COMPUTED_VALUE"""),"IC:   1/1 TRANSCEIVER HALF RS485   [THVD1450D] [8-SOIC]")</f>
        <v>IC:   1/1 TRANSCEIVER HALF RS485   [THVD1450D] [8-SOIC]</v>
      </c>
      <c r="B339" s="4" t="str">
        <f>IFERROR(__xludf.DUMMYFUNCTION("""COMPUTED_VALUE"""),"OEPS080171")</f>
        <v>OEPS080171</v>
      </c>
      <c r="C339" s="4" t="str">
        <f>IFERROR(__xludf.DUMMYFUNCTION("""COMPUTED_VALUE"""),"SMD")</f>
        <v>SMD</v>
      </c>
      <c r="D339" s="4" t="str">
        <f>IFERROR(__xludf.DUMMYFUNCTION("""COMPUTED_VALUE"""),"THVD1450D")</f>
        <v>THVD1450D</v>
      </c>
      <c r="E339" s="4">
        <f>IFERROR(__xludf.DUMMYFUNCTION("""COMPUTED_VALUE"""),3.0)</f>
        <v>3</v>
      </c>
      <c r="F339" s="4" t="str">
        <f>IFERROR(__xludf.DUMMYFUNCTION("""COMPUTED_VALUE"""),"Digikey")</f>
        <v>Digikey</v>
      </c>
      <c r="G339" s="4" t="str">
        <f>IFERROR(__xludf.DUMMYFUNCTION("""COMPUTED_VALUE"""),"296-49500-ND")</f>
        <v>296-49500-ND</v>
      </c>
      <c r="H339" s="4"/>
      <c r="I339" s="4"/>
      <c r="J339" s="4"/>
      <c r="K339" s="4"/>
      <c r="L339" s="4"/>
      <c r="M339" s="4"/>
      <c r="N339" s="9" t="str">
        <f>IFERROR(__xludf.DUMMYFUNCTION("""COMPUTED_VALUE"""),"OEPS NP1 008")</f>
        <v>OEPS NP1 008</v>
      </c>
      <c r="O339" s="4" t="str">
        <f>IFERROR(__xludf.DUMMYFUNCTION("""COMPUTED_VALUE"""),"06035A470J")</f>
        <v>06035A470J</v>
      </c>
      <c r="P339" s="4" t="str">
        <f>IFERROR(__xludf.DUMMYFUNCTION("""COMPUTED_VALUE"""),"42(R) ")</f>
        <v>42(R) </v>
      </c>
      <c r="Q339" s="4">
        <f>IFERROR(__xludf.DUMMYFUNCTION("""COMPUTED_VALUE"""),42.0)</f>
        <v>42</v>
      </c>
      <c r="R339" s="4">
        <f>IFERROR(__xludf.DUMMYFUNCTION("""COMPUTED_VALUE"""),42.0)</f>
        <v>42</v>
      </c>
      <c r="S339" s="4" t="str">
        <f>IFERROR(__xludf.DUMMYFUNCTION("""COMPUTED_VALUE"""),"Reel")</f>
        <v>Reel</v>
      </c>
      <c r="T339" s="4" t="str">
        <f>IFERROR(__xludf.DUMMYFUNCTION("""COMPUTED_VALUE"""),"0520")</f>
        <v>0520</v>
      </c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>
      <c r="A340" s="4" t="str">
        <f>IFERROR(__xludf.DUMMYFUNCTION("""COMPUTED_VALUE"""),"IC:   2-CHANNEL SWITCH SPDT   [TMUX136RSER] [10-UQFN]")</f>
        <v>IC:   2-CHANNEL SWITCH SPDT   [TMUX136RSER] [10-UQFN]</v>
      </c>
      <c r="B340" s="4" t="str">
        <f>IFERROR(__xludf.DUMMYFUNCTION("""COMPUTED_VALUE"""),"OEPS080110")</f>
        <v>OEPS080110</v>
      </c>
      <c r="C340" s="4" t="str">
        <f>IFERROR(__xludf.DUMMYFUNCTION("""COMPUTED_VALUE"""),"SMD")</f>
        <v>SMD</v>
      </c>
      <c r="D340" s="4" t="str">
        <f>IFERROR(__xludf.DUMMYFUNCTION("""COMPUTED_VALUE"""),"TMUX136RSER")</f>
        <v>TMUX136RSER</v>
      </c>
      <c r="E340" s="4">
        <f>IFERROR(__xludf.DUMMYFUNCTION("""COMPUTED_VALUE"""),5.0)</f>
        <v>5</v>
      </c>
      <c r="F340" s="4" t="str">
        <f>IFERROR(__xludf.DUMMYFUNCTION("""COMPUTED_VALUE"""),"DigiKey")</f>
        <v>DigiKey</v>
      </c>
      <c r="G340" s="4" t="str">
        <f>IFERROR(__xludf.DUMMYFUNCTION("""COMPUTED_VALUE"""),"296-47397-6-ND")</f>
        <v>296-47397-6-ND</v>
      </c>
      <c r="H340" s="4"/>
      <c r="I340" s="4"/>
      <c r="J340" s="4"/>
      <c r="K340" s="4"/>
      <c r="L340" s="4"/>
      <c r="M340" s="4"/>
      <c r="N340" s="9" t="str">
        <f>IFERROR(__xludf.DUMMYFUNCTION("""COMPUTED_VALUE"""),"OEPS NP1 010")</f>
        <v>OEPS NP1 010</v>
      </c>
      <c r="O340" s="4" t="str">
        <f>IFERROR(__xludf.DUMMYFUNCTION("""COMPUTED_VALUE"""),"GRM188R6E225MA2D")</f>
        <v>GRM188R6E225MA2D</v>
      </c>
      <c r="P340" s="4" t="str">
        <f>IFERROR(__xludf.DUMMYFUNCTION("""COMPUTED_VALUE"""),"19(R) ")</f>
        <v>19(R) </v>
      </c>
      <c r="Q340" s="4">
        <f>IFERROR(__xludf.DUMMYFUNCTION("""COMPUTED_VALUE"""),19.0)</f>
        <v>19</v>
      </c>
      <c r="R340" s="4">
        <f>IFERROR(__xludf.DUMMYFUNCTION("""COMPUTED_VALUE"""),19.0)</f>
        <v>19</v>
      </c>
      <c r="S340" s="4" t="str">
        <f>IFERROR(__xludf.DUMMYFUNCTION("""COMPUTED_VALUE"""),"Reel")</f>
        <v>Reel</v>
      </c>
      <c r="T340" s="4" t="str">
        <f>IFERROR(__xludf.DUMMYFUNCTION("""COMPUTED_VALUE"""),"0520")</f>
        <v>0520</v>
      </c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>
      <c r="A341" s="4" t="str">
        <f>IFERROR(__xludf.DUMMYFUNCTION("""COMPUTED_VALUE"""),"IC:   8-BIT SHIFT REGISTER   [SN74HC595PWR] [16-TSSOP]")</f>
        <v>IC:   8-BIT SHIFT REGISTER   [SN74HC595PWR] [16-TSSOP]</v>
      </c>
      <c r="B341" s="4" t="str">
        <f>IFERROR(__xludf.DUMMYFUNCTION("""COMPUTED_VALUE"""),"OEPS080200")</f>
        <v>OEPS080200</v>
      </c>
      <c r="C341" s="4" t="str">
        <f>IFERROR(__xludf.DUMMYFUNCTION("""COMPUTED_VALUE"""),"SMD")</f>
        <v>SMD</v>
      </c>
      <c r="D341" s="4" t="str">
        <f>IFERROR(__xludf.DUMMYFUNCTION("""COMPUTED_VALUE"""),"SN74HC595PWR")</f>
        <v>SN74HC595PWR</v>
      </c>
      <c r="E341" s="4">
        <f>IFERROR(__xludf.DUMMYFUNCTION("""COMPUTED_VALUE"""),3.0)</f>
        <v>3</v>
      </c>
      <c r="F341" s="4" t="str">
        <f>IFERROR(__xludf.DUMMYFUNCTION("""COMPUTED_VALUE"""),"Digikey")</f>
        <v>Digikey</v>
      </c>
      <c r="G341" s="4" t="str">
        <f>IFERROR(__xludf.DUMMYFUNCTION("""COMPUTED_VALUE"""),"296-23258-6-ND")</f>
        <v>296-23258-6-ND</v>
      </c>
      <c r="H341" s="4"/>
      <c r="I341" s="4"/>
      <c r="J341" s="4"/>
      <c r="K341" s="4"/>
      <c r="L341" s="4"/>
      <c r="M341" s="4"/>
      <c r="N341" s="9" t="str">
        <f>IFERROR(__xludf.DUMMYFUNCTION("""COMPUTED_VALUE"""),"OEPS NP1 012A")</f>
        <v>OEPS NP1 012A</v>
      </c>
      <c r="O341" s="4" t="str">
        <f>IFERROR(__xludf.DUMMYFUNCTION("""COMPUTED_VALUE"""),"TPSR105K025R4000")</f>
        <v>TPSR105K025R4000</v>
      </c>
      <c r="P341" s="4" t="str">
        <f>IFERROR(__xludf.DUMMYFUNCTION("""COMPUTED_VALUE"""),"111(R) ")</f>
        <v>111(R) </v>
      </c>
      <c r="Q341" s="4">
        <f>IFERROR(__xludf.DUMMYFUNCTION("""COMPUTED_VALUE"""),111.0)</f>
        <v>111</v>
      </c>
      <c r="R341" s="4">
        <f>IFERROR(__xludf.DUMMYFUNCTION("""COMPUTED_VALUE"""),111.0)</f>
        <v>111</v>
      </c>
      <c r="S341" s="4" t="str">
        <f>IFERROR(__xludf.DUMMYFUNCTION("""COMPUTED_VALUE"""),"Reel")</f>
        <v>Reel</v>
      </c>
      <c r="T341" s="4" t="str">
        <f>IFERROR(__xludf.DUMMYFUNCTION("""COMPUTED_VALUE"""),"0920")</f>
        <v>0920</v>
      </c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>
      <c r="A342" s="4" t="str">
        <f>IFERROR(__xludf.DUMMYFUNCTION("""COMPUTED_VALUE"""),"IC:   8-BIT SHIFT REGISTER Schmitt-Trigger   [SN74HCS595PWR] [16-TSSOP]")</f>
        <v>IC:   8-BIT SHIFT REGISTER Schmitt-Trigger   [SN74HCS595PWR] [16-TSSOP]</v>
      </c>
      <c r="B342" s="4" t="str">
        <f>IFERROR(__xludf.DUMMYFUNCTION("""COMPUTED_VALUE"""),"OEPS080159")</f>
        <v>OEPS080159</v>
      </c>
      <c r="C342" s="4" t="str">
        <f>IFERROR(__xludf.DUMMYFUNCTION("""COMPUTED_VALUE"""),"SMD")</f>
        <v>SMD</v>
      </c>
      <c r="D342" s="4" t="str">
        <f>IFERROR(__xludf.DUMMYFUNCTION("""COMPUTED_VALUE"""),"SN74HCS595PWR")</f>
        <v>SN74HCS595PWR</v>
      </c>
      <c r="E342" s="4">
        <f>IFERROR(__xludf.DUMMYFUNCTION("""COMPUTED_VALUE"""),3.0)</f>
        <v>3</v>
      </c>
      <c r="F342" s="4" t="str">
        <f>IFERROR(__xludf.DUMMYFUNCTION("""COMPUTED_VALUE"""),"Digikey")</f>
        <v>Digikey</v>
      </c>
      <c r="G342" s="4" t="str">
        <f>IFERROR(__xludf.DUMMYFUNCTION("""COMPUTED_VALUE"""),"296-SN74HCS595PWRDKR-ND")</f>
        <v>296-SN74HCS595PWRDKR-ND</v>
      </c>
      <c r="H342" s="4"/>
      <c r="I342" s="4"/>
      <c r="J342" s="4"/>
      <c r="K342" s="4"/>
      <c r="L342" s="4"/>
      <c r="M342" s="4"/>
      <c r="N342" s="9" t="str">
        <f>IFERROR(__xludf.DUMMYFUNCTION("""COMPUTED_VALUE"""),"OEPS NP1 013")</f>
        <v>OEPS NP1 013</v>
      </c>
      <c r="O342" s="4" t="str">
        <f>IFERROR(__xludf.DUMMYFUNCTION("""COMPUTED_VALUE"""),"06035C472K")</f>
        <v>06035C472K</v>
      </c>
      <c r="P342" s="4" t="str">
        <f>IFERROR(__xludf.DUMMYFUNCTION("""COMPUTED_VALUE"""),"11 ")</f>
        <v>11 </v>
      </c>
      <c r="Q342" s="4">
        <f>IFERROR(__xludf.DUMMYFUNCTION("""COMPUTED_VALUE"""),11.0)</f>
        <v>11</v>
      </c>
      <c r="R342" s="4">
        <f>IFERROR(__xludf.DUMMYFUNCTION("""COMPUTED_VALUE"""),11.0)</f>
        <v>11</v>
      </c>
      <c r="S342" s="4" t="str">
        <f>IFERROR(__xludf.DUMMYFUNCTION("""COMPUTED_VALUE"""),"Bag")</f>
        <v>Bag</v>
      </c>
      <c r="T342" s="4" t="str">
        <f>IFERROR(__xludf.DUMMYFUNCTION("""COMPUTED_VALUE"""),"N/A")</f>
        <v>N/A</v>
      </c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>
      <c r="A343" s="4" t="str">
        <f>IFERROR(__xludf.DUMMYFUNCTION("""COMPUTED_VALUE"""),"IC:   ACCELEROMETER 3G ANALOG (OEPS H1 009)   [ADXL335BCPZ-RL7] [16-LQFN Exposed Pad]")</f>
        <v>IC:   ACCELEROMETER 3G ANALOG (OEPS H1 009)   [ADXL335BCPZ-RL7] [16-LQFN Exposed Pad]</v>
      </c>
      <c r="B343" s="4" t="str">
        <f>IFERROR(__xludf.DUMMYFUNCTION("""COMPUTED_VALUE"""),"OEPS080123")</f>
        <v>OEPS080123</v>
      </c>
      <c r="C343" s="4" t="str">
        <f>IFERROR(__xludf.DUMMYFUNCTION("""COMPUTED_VALUE"""),"SMD")</f>
        <v>SMD</v>
      </c>
      <c r="D343" s="4" t="str">
        <f>IFERROR(__xludf.DUMMYFUNCTION("""COMPUTED_VALUE"""),"ADXL335BCPZ-RL7")</f>
        <v>ADXL335BCPZ-RL7</v>
      </c>
      <c r="E343" s="4">
        <f>IFERROR(__xludf.DUMMYFUNCTION("""COMPUTED_VALUE"""),1.0)</f>
        <v>1</v>
      </c>
      <c r="F343" s="4" t="str">
        <f>IFERROR(__xludf.DUMMYFUNCTION("""COMPUTED_VALUE"""),"DigiKey")</f>
        <v>DigiKey</v>
      </c>
      <c r="G343" s="4" t="str">
        <f>IFERROR(__xludf.DUMMYFUNCTION("""COMPUTED_VALUE"""),"ADXL335BCPZ-RL7DKR-ND")</f>
        <v>ADXL335BCPZ-RL7DKR-ND</v>
      </c>
      <c r="H343" s="4"/>
      <c r="I343" s="4"/>
      <c r="J343" s="4"/>
      <c r="K343" s="4"/>
      <c r="L343" s="4"/>
      <c r="M343" s="4"/>
      <c r="N343" s="9" t="str">
        <f>IFERROR(__xludf.DUMMYFUNCTION("""COMPUTED_VALUE"""),"OEPS NP1 015")</f>
        <v>OEPS NP1 015</v>
      </c>
      <c r="O343" s="4" t="str">
        <f>IFERROR(__xludf.DUMMYFUNCTION("""COMPUTED_VALUE"""),"EMK212ABJ106MG-T")</f>
        <v>EMK212ABJ106MG-T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>
      <c r="A344" s="4" t="str">
        <f>IFERROR(__xludf.DUMMYFUNCTION("""COMPUTED_VALUE"""),"IC:   ADC 12BIT SAR   [ADC121S021CIMFX/NOPB] [SOT-23-6]")</f>
        <v>IC:   ADC 12BIT SAR   [ADC121S021CIMFX/NOPB] [SOT-23-6]</v>
      </c>
      <c r="B344" s="4" t="str">
        <f>IFERROR(__xludf.DUMMYFUNCTION("""COMPUTED_VALUE"""),"OEPS080120")</f>
        <v>OEPS080120</v>
      </c>
      <c r="C344" s="4" t="str">
        <f>IFERROR(__xludf.DUMMYFUNCTION("""COMPUTED_VALUE"""),"SMD")</f>
        <v>SMD</v>
      </c>
      <c r="D344" s="4" t="str">
        <f>IFERROR(__xludf.DUMMYFUNCTION("""COMPUTED_VALUE"""),"ADC121S021CIMFX/NOPB")</f>
        <v>ADC121S021CIMFX/NOPB</v>
      </c>
      <c r="E344" s="4">
        <f>IFERROR(__xludf.DUMMYFUNCTION("""COMPUTED_VALUE"""),4.0)</f>
        <v>4</v>
      </c>
      <c r="F344" s="4" t="str">
        <f>IFERROR(__xludf.DUMMYFUNCTION("""COMPUTED_VALUE"""),"DigiKey")</f>
        <v>DigiKey</v>
      </c>
      <c r="G344" s="4" t="str">
        <f>IFERROR(__xludf.DUMMYFUNCTION("""COMPUTED_VALUE"""),"296-37316-6-ND")</f>
        <v>296-37316-6-ND</v>
      </c>
      <c r="H344" s="4"/>
      <c r="I344" s="4"/>
      <c r="J344" s="4"/>
      <c r="K344" s="4"/>
      <c r="L344" s="4"/>
      <c r="M344" s="4"/>
      <c r="N344" s="9" t="str">
        <f>IFERROR(__xludf.DUMMYFUNCTION("""COMPUTED_VALUE"""),"OEPS NP1 020")</f>
        <v>OEPS NP1 020</v>
      </c>
      <c r="O344" s="4" t="str">
        <f>IFERROR(__xludf.DUMMYFUNCTION("""COMPUTED_VALUE"""),"ESD9X3.3ST5G")</f>
        <v>ESD9X3.3ST5G</v>
      </c>
      <c r="P344" s="4" t="str">
        <f>IFERROR(__xludf.DUMMYFUNCTION("""COMPUTED_VALUE"""),"205(R) ")</f>
        <v>205(R) </v>
      </c>
      <c r="Q344" s="4">
        <f>IFERROR(__xludf.DUMMYFUNCTION("""COMPUTED_VALUE"""),205.0)</f>
        <v>205</v>
      </c>
      <c r="R344" s="4">
        <f>IFERROR(__xludf.DUMMYFUNCTION("""COMPUTED_VALUE"""),205.0)</f>
        <v>205</v>
      </c>
      <c r="S344" s="4" t="str">
        <f>IFERROR(__xludf.DUMMYFUNCTION("""COMPUTED_VALUE"""),"Reel")</f>
        <v>Reel</v>
      </c>
      <c r="T344" s="4" t="str">
        <f>IFERROR(__xludf.DUMMYFUNCTION("""COMPUTED_VALUE"""),"0623")</f>
        <v>0623</v>
      </c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>
      <c r="A345" s="4" t="str">
        <f>IFERROR(__xludf.DUMMYFUNCTION("""COMPUTED_VALUE"""),"IC:   ADC 14BIT SAR   [MCP33151D-10-E/MS] [10-MSOP]")</f>
        <v>IC:   ADC 14BIT SAR   [MCP33151D-10-E/MS] [10-MSOP]</v>
      </c>
      <c r="B345" s="4" t="str">
        <f>IFERROR(__xludf.DUMMYFUNCTION("""COMPUTED_VALUE"""),"OEPS080023")</f>
        <v>OEPS080023</v>
      </c>
      <c r="C345" s="4" t="str">
        <f>IFERROR(__xludf.DUMMYFUNCTION("""COMPUTED_VALUE"""),"SMD")</f>
        <v>SMD</v>
      </c>
      <c r="D345" s="4" t="str">
        <f>IFERROR(__xludf.DUMMYFUNCTION("""COMPUTED_VALUE"""),"MCP33151D-10-E/MS")</f>
        <v>MCP33151D-10-E/MS</v>
      </c>
      <c r="E345" s="4">
        <f>IFERROR(__xludf.DUMMYFUNCTION("""COMPUTED_VALUE"""),2.0)</f>
        <v>2</v>
      </c>
      <c r="F345" s="4" t="str">
        <f>IFERROR(__xludf.DUMMYFUNCTION("""COMPUTED_VALUE"""),"DigiKey")</f>
        <v>DigiKey</v>
      </c>
      <c r="G345" s="4" t="str">
        <f>IFERROR(__xludf.DUMMYFUNCTION("""COMPUTED_VALUE"""),"MCP33151D-10-E/MS-ND")</f>
        <v>MCP33151D-10-E/MS-ND</v>
      </c>
      <c r="H345" s="4"/>
      <c r="I345" s="4"/>
      <c r="J345" s="4"/>
      <c r="K345" s="4"/>
      <c r="L345" s="4"/>
      <c r="M345" s="4"/>
      <c r="N345" s="9" t="str">
        <f>IFERROR(__xludf.DUMMYFUNCTION("""COMPUTED_VALUE"""),"OEPS NP1 024")</f>
        <v>OEPS NP1 024</v>
      </c>
      <c r="O345" s="4" t="str">
        <f>IFERROR(__xludf.DUMMYFUNCTION("""COMPUTED_VALUE"""),"1N4148W-E3-18")</f>
        <v>1N4148W-E3-18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>
      <c r="A346" s="4" t="str">
        <f>IFERROR(__xludf.DUMMYFUNCTION("""COMPUTED_VALUE"""),"IC:   ADC 14BIT SAR 2 channels   [AD7321BRUZ-REEL7] [14-TSSOP]")</f>
        <v>IC:   ADC 14BIT SAR 2 channels   [AD7321BRUZ-REEL7] [14-TSSOP]</v>
      </c>
      <c r="B346" s="4" t="str">
        <f>IFERROR(__xludf.DUMMYFUNCTION("""COMPUTED_VALUE"""),"OEPS080225")</f>
        <v>OEPS080225</v>
      </c>
      <c r="C346" s="4" t="str">
        <f>IFERROR(__xludf.DUMMYFUNCTION("""COMPUTED_VALUE"""),"SMD")</f>
        <v>SMD</v>
      </c>
      <c r="D346" s="4" t="str">
        <f>IFERROR(__xludf.DUMMYFUNCTION("""COMPUTED_VALUE"""),"AD7321BRUZ-REEL7")</f>
        <v>AD7321BRUZ-REEL7</v>
      </c>
      <c r="E346" s="4">
        <f>IFERROR(__xludf.DUMMYFUNCTION("""COMPUTED_VALUE"""),0.0)</f>
        <v>0</v>
      </c>
      <c r="F346" s="4" t="str">
        <f>IFERROR(__xludf.DUMMYFUNCTION("""COMPUTED_VALUE"""),"Digikey")</f>
        <v>Digikey</v>
      </c>
      <c r="G346" s="4" t="str">
        <f>IFERROR(__xludf.DUMMYFUNCTION("""COMPUTED_VALUE"""),"AD7321BRUZ-REEL7DKR-ND")</f>
        <v>AD7321BRUZ-REEL7DKR-ND</v>
      </c>
      <c r="H346" s="4"/>
      <c r="I346" s="4"/>
      <c r="J346" s="4"/>
      <c r="K346" s="4"/>
      <c r="L346" s="4"/>
      <c r="M346" s="4"/>
      <c r="N346" s="9" t="str">
        <f>IFERROR(__xludf.DUMMYFUNCTION("""COMPUTED_VALUE"""),"OEPS NP1 025")</f>
        <v>OEPS NP1 025</v>
      </c>
      <c r="O346" s="4" t="str">
        <f>IFERROR(__xludf.DUMMYFUNCTION("""COMPUTED_VALUE"""),"1424198")</f>
        <v>1424198</v>
      </c>
      <c r="P346" s="4" t="str">
        <f>IFERROR(__xludf.DUMMYFUNCTION("""COMPUTED_VALUE"""),"2 1 ")</f>
        <v>2 1 </v>
      </c>
      <c r="Q346" s="4">
        <f>IFERROR(__xludf.DUMMYFUNCTION("""COMPUTED_VALUE"""),3.0)</f>
        <v>3</v>
      </c>
      <c r="R346" s="4">
        <f>IFERROR(__xludf.DUMMYFUNCTION("""COMPUTED_VALUE"""),2.0)</f>
        <v>2</v>
      </c>
      <c r="S346" s="4" t="str">
        <f>IFERROR(__xludf.DUMMYFUNCTION("""COMPUTED_VALUE"""),"Bag")</f>
        <v>Bag</v>
      </c>
      <c r="T346" s="4" t="str">
        <f>IFERROR(__xludf.DUMMYFUNCTION("""COMPUTED_VALUE"""),"XXXX")</f>
        <v>XXXX</v>
      </c>
      <c r="U346" s="4">
        <f>IFERROR(__xludf.DUMMYFUNCTION("""COMPUTED_VALUE"""),1.0)</f>
        <v>1</v>
      </c>
      <c r="V346" s="4" t="str">
        <f>IFERROR(__xludf.DUMMYFUNCTION("""COMPUTED_VALUE"""),"Bag")</f>
        <v>Bag</v>
      </c>
      <c r="W346" s="4" t="str">
        <f>IFERROR(__xludf.DUMMYFUNCTION("""COMPUTED_VALUE"""),"XXXX")</f>
        <v>XXXX</v>
      </c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>
      <c r="A347" s="4" t="str">
        <f>IFERROR(__xludf.DUMMYFUNCTION("""COMPUTED_VALUE"""),"IC:   ADC 16BIT 16 channels   [AD7616BSTZ] [80-LQFP]")</f>
        <v>IC:   ADC 16BIT 16 channels   [AD7616BSTZ] [80-LQFP]</v>
      </c>
      <c r="B347" s="4" t="str">
        <f>IFERROR(__xludf.DUMMYFUNCTION("""COMPUTED_VALUE"""),"OEPS080205")</f>
        <v>OEPS080205</v>
      </c>
      <c r="C347" s="4" t="str">
        <f>IFERROR(__xludf.DUMMYFUNCTION("""COMPUTED_VALUE"""),"SMD")</f>
        <v>SMD</v>
      </c>
      <c r="D347" s="4" t="str">
        <f>IFERROR(__xludf.DUMMYFUNCTION("""COMPUTED_VALUE"""),"AD7616BSTZ")</f>
        <v>AD7616BSTZ</v>
      </c>
      <c r="E347" s="4">
        <f>IFERROR(__xludf.DUMMYFUNCTION("""COMPUTED_VALUE"""),0.0)</f>
        <v>0</v>
      </c>
      <c r="F347" s="4" t="str">
        <f>IFERROR(__xludf.DUMMYFUNCTION("""COMPUTED_VALUE"""),"Digikey")</f>
        <v>Digikey</v>
      </c>
      <c r="G347" s="4" t="str">
        <f>IFERROR(__xludf.DUMMYFUNCTION("""COMPUTED_VALUE"""),"505-AD7616BSTZ-ND")</f>
        <v>505-AD7616BSTZ-ND</v>
      </c>
      <c r="H347" s="4"/>
      <c r="I347" s="4"/>
      <c r="J347" s="4"/>
      <c r="K347" s="4"/>
      <c r="L347" s="4"/>
      <c r="M347" s="4"/>
      <c r="N347" s="9" t="str">
        <f>IFERROR(__xludf.DUMMYFUNCTION("""COMPUTED_VALUE"""),"OEPS NP1 026")</f>
        <v>OEPS NP1 026</v>
      </c>
      <c r="O347" s="4" t="str">
        <f>IFERROR(__xludf.DUMMYFUNCTION("""COMPUTED_VALUE"""),"BLM18SG331TN1D")</f>
        <v>BLM18SG331TN1D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>
      <c r="A348" s="4" t="str">
        <f>IFERROR(__xludf.DUMMYFUNCTION("""COMPUTED_VALUE"""),"IC:   Analog Switch SP3T X 2   [STG3856QTR] [12-QFN]")</f>
        <v>IC:   Analog Switch SP3T X 2   [STG3856QTR] [12-QFN]</v>
      </c>
      <c r="B348" s="4" t="str">
        <f>IFERROR(__xludf.DUMMYFUNCTION("""COMPUTED_VALUE"""),"OEPS080088")</f>
        <v>OEPS080088</v>
      </c>
      <c r="C348" s="4" t="str">
        <f>IFERROR(__xludf.DUMMYFUNCTION("""COMPUTED_VALUE"""),"SMD")</f>
        <v>SMD</v>
      </c>
      <c r="D348" s="4" t="str">
        <f>IFERROR(__xludf.DUMMYFUNCTION("""COMPUTED_VALUE"""),"STG3856QTR")</f>
        <v>STG3856QTR</v>
      </c>
      <c r="E348" s="4">
        <f>IFERROR(__xludf.DUMMYFUNCTION("""COMPUTED_VALUE"""),3.0)</f>
        <v>3</v>
      </c>
      <c r="F348" s="4" t="str">
        <f>IFERROR(__xludf.DUMMYFUNCTION("""COMPUTED_VALUE"""),"DigiKey")</f>
        <v>DigiKey</v>
      </c>
      <c r="G348" s="4" t="str">
        <f>IFERROR(__xludf.DUMMYFUNCTION("""COMPUTED_VALUE"""),"497-6174-6-ND")</f>
        <v>497-6174-6-ND</v>
      </c>
      <c r="H348" s="4"/>
      <c r="I348" s="4"/>
      <c r="J348" s="4"/>
      <c r="K348" s="4"/>
      <c r="L348" s="4"/>
      <c r="M348" s="4"/>
      <c r="N348" s="9" t="str">
        <f>IFERROR(__xludf.DUMMYFUNCTION("""COMPUTED_VALUE"""),"OEPS NP1 027")</f>
        <v>OEPS NP1 027</v>
      </c>
      <c r="O348" s="4" t="str">
        <f>IFERROR(__xludf.DUMMYFUNCTION("""COMPUTED_VALUE"""),"MI0805K400R-10")</f>
        <v>MI0805K400R-10</v>
      </c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>
      <c r="A349" s="4" t="str">
        <f>IFERROR(__xludf.DUMMYFUNCTION("""COMPUTED_VALUE"""),"IC:   Analog Switch SPDT   [TS5A3159AYZPR] [6-DSBGA]")</f>
        <v>IC:   Analog Switch SPDT   [TS5A3159AYZPR] [6-DSBGA]</v>
      </c>
      <c r="B349" s="4" t="str">
        <f>IFERROR(__xludf.DUMMYFUNCTION("""COMPUTED_VALUE"""),"OEPS080078")</f>
        <v>OEPS080078</v>
      </c>
      <c r="C349" s="4" t="str">
        <f>IFERROR(__xludf.DUMMYFUNCTION("""COMPUTED_VALUE"""),"SMD")</f>
        <v>SMD</v>
      </c>
      <c r="D349" s="4" t="str">
        <f>IFERROR(__xludf.DUMMYFUNCTION("""COMPUTED_VALUE"""),"TS5A3159AYZPR")</f>
        <v>TS5A3159AYZPR</v>
      </c>
      <c r="E349" s="4">
        <f>IFERROR(__xludf.DUMMYFUNCTION("""COMPUTED_VALUE"""),10.0)</f>
        <v>10</v>
      </c>
      <c r="F349" s="4" t="str">
        <f>IFERROR(__xludf.DUMMYFUNCTION("""COMPUTED_VALUE"""),"DigiKey")</f>
        <v>DigiKey</v>
      </c>
      <c r="G349" s="4" t="str">
        <f>IFERROR(__xludf.DUMMYFUNCTION("""COMPUTED_VALUE"""),"296-18671-6-ND")</f>
        <v>296-18671-6-ND</v>
      </c>
      <c r="H349" s="4"/>
      <c r="I349" s="4"/>
      <c r="J349" s="4"/>
      <c r="K349" s="4"/>
      <c r="L349" s="4"/>
      <c r="M349" s="4"/>
      <c r="N349" s="9" t="str">
        <f>IFERROR(__xludf.DUMMYFUNCTION("""COMPUTED_VALUE"""),"OEPS NP1 028 ")</f>
        <v>OEPS NP1 028 </v>
      </c>
      <c r="O349" s="4" t="str">
        <f>IFERROR(__xludf.DUMMYFUNCTION("""COMPUTED_VALUE"""),"BLM18KG601SN1D")</f>
        <v>BLM18KG601SN1D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>
      <c r="A350" s="4" t="str">
        <f>IFERROR(__xludf.DUMMYFUNCTION("""COMPUTED_VALUE"""),"IC:   AUDIO POWER AMPLIFIER MONO CLASS AB 1.5W   [NCS2211DR2G] [8-SOIC]")</f>
        <v>IC:   AUDIO POWER AMPLIFIER MONO CLASS AB 1.5W   [NCS2211DR2G] [8-SOIC]</v>
      </c>
      <c r="B350" s="4" t="str">
        <f>IFERROR(__xludf.DUMMYFUNCTION("""COMPUTED_VALUE"""),"OEPS080145")</f>
        <v>OEPS080145</v>
      </c>
      <c r="C350" s="4" t="str">
        <f>IFERROR(__xludf.DUMMYFUNCTION("""COMPUTED_VALUE"""),"SMD")</f>
        <v>SMD</v>
      </c>
      <c r="D350" s="4" t="str">
        <f>IFERROR(__xludf.DUMMYFUNCTION("""COMPUTED_VALUE"""),"NCS2211DR2G")</f>
        <v>NCS2211DR2G</v>
      </c>
      <c r="E350" s="4">
        <f>IFERROR(__xludf.DUMMYFUNCTION("""COMPUTED_VALUE"""),2.0)</f>
        <v>2</v>
      </c>
      <c r="F350" s="4" t="str">
        <f>IFERROR(__xludf.DUMMYFUNCTION("""COMPUTED_VALUE"""),"Digikey")</f>
        <v>Digikey</v>
      </c>
      <c r="G350" s="4" t="str">
        <f>IFERROR(__xludf.DUMMYFUNCTION("""COMPUTED_VALUE"""),"NCS2211DR2GOSDKR-ND")</f>
        <v>NCS2211DR2GOSDKR-ND</v>
      </c>
      <c r="H350" s="4"/>
      <c r="I350" s="4"/>
      <c r="J350" s="4"/>
      <c r="K350" s="4"/>
      <c r="L350" s="4"/>
      <c r="M350" s="4"/>
      <c r="N350" s="9" t="str">
        <f>IFERROR(__xludf.DUMMYFUNCTION("""COMPUTED_VALUE"""),"OEPS NP1 029")</f>
        <v>OEPS NP1 029</v>
      </c>
      <c r="O350" s="4" t="str">
        <f>IFERROR(__xludf.DUMMYFUNCTION("""COMPUTED_VALUE"""),"61729-1011BLF")</f>
        <v>61729-1011BLF</v>
      </c>
      <c r="P350" s="4" t="str">
        <f>IFERROR(__xludf.DUMMYFUNCTION("""COMPUTED_VALUE"""),"1 1(Tb) ")</f>
        <v>1 1(Tb) </v>
      </c>
      <c r="Q350" s="4">
        <f>IFERROR(__xludf.DUMMYFUNCTION("""COMPUTED_VALUE"""),2.0)</f>
        <v>2</v>
      </c>
      <c r="R350" s="4">
        <f>IFERROR(__xludf.DUMMYFUNCTION("""COMPUTED_VALUE"""),1.0)</f>
        <v>1</v>
      </c>
      <c r="S350" s="4" t="str">
        <f>IFERROR(__xludf.DUMMYFUNCTION("""COMPUTED_VALUE"""),"Bag")</f>
        <v>Bag</v>
      </c>
      <c r="T350" s="4" t="str">
        <f>IFERROR(__xludf.DUMMYFUNCTION("""COMPUTED_VALUE"""),"XX20")</f>
        <v>XX20</v>
      </c>
      <c r="U350" s="4">
        <f>IFERROR(__xludf.DUMMYFUNCTION("""COMPUTED_VALUE"""),1.0)</f>
        <v>1</v>
      </c>
      <c r="V350" s="4" t="str">
        <f>IFERROR(__xludf.DUMMYFUNCTION("""COMPUTED_VALUE"""),"Tube")</f>
        <v>Tube</v>
      </c>
      <c r="W350" s="4" t="str">
        <f>IFERROR(__xludf.DUMMYFUNCTION("""COMPUTED_VALUE"""),"XXXX")</f>
        <v>XXXX</v>
      </c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>
      <c r="A351" s="4" t="str">
        <f>IFERROR(__xludf.DUMMYFUNCTION("""COMPUTED_VALUE"""),"IC:   AUDIO SWITCH   [FSA553UCX] [9-WLCSP]")</f>
        <v>IC:   AUDIO SWITCH   [FSA553UCX] [9-WLCSP]</v>
      </c>
      <c r="B351" s="4" t="str">
        <f>IFERROR(__xludf.DUMMYFUNCTION("""COMPUTED_VALUE"""),"OEPS080198")</f>
        <v>OEPS080198</v>
      </c>
      <c r="C351" s="4" t="str">
        <f>IFERROR(__xludf.DUMMYFUNCTION("""COMPUTED_VALUE"""),"SMD")</f>
        <v>SMD</v>
      </c>
      <c r="D351" s="4" t="str">
        <f>IFERROR(__xludf.DUMMYFUNCTION("""COMPUTED_VALUE"""),"FSA553UCX")</f>
        <v>FSA553UCX</v>
      </c>
      <c r="E351" s="4">
        <f>IFERROR(__xludf.DUMMYFUNCTION("""COMPUTED_VALUE"""),1.0)</f>
        <v>1</v>
      </c>
      <c r="F351" s="4" t="str">
        <f>IFERROR(__xludf.DUMMYFUNCTION("""COMPUTED_VALUE"""),"DigiKey")</f>
        <v>DigiKey</v>
      </c>
      <c r="G351" s="4" t="str">
        <f>IFERROR(__xludf.DUMMYFUNCTION("""COMPUTED_VALUE"""),"FSA553UCXDKR-ND")</f>
        <v>FSA553UCXDKR-ND</v>
      </c>
      <c r="H351" s="4"/>
      <c r="I351" s="4"/>
      <c r="J351" s="4"/>
      <c r="K351" s="4"/>
      <c r="L351" s="4"/>
      <c r="M351" s="4"/>
      <c r="N351" s="9" t="str">
        <f>IFERROR(__xludf.DUMMYFUNCTION("""COMPUTED_VALUE"""),"OEPS NP1 030")</f>
        <v>OEPS NP1 030</v>
      </c>
      <c r="O351" s="4" t="str">
        <f>IFERROR(__xludf.DUMMYFUNCTION("""COMPUTED_VALUE"""),"B2B-XH-A-GU")</f>
        <v>B2B-XH-A-GU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>
      <c r="A352" s="4" t="str">
        <f>IFERROR(__xludf.DUMMYFUNCTION("""COMPUTED_VALUE"""),"IC:   AUTOSWITCHING POWER MUX   [TPS2114APW] [	8-TSSOP]")</f>
        <v>IC:   AUTOSWITCHING POWER MUX   [TPS2114APW] [	8-TSSOP]</v>
      </c>
      <c r="B352" s="4" t="str">
        <f>IFERROR(__xludf.DUMMYFUNCTION("""COMPUTED_VALUE"""),"OEPS080039")</f>
        <v>OEPS080039</v>
      </c>
      <c r="C352" s="4" t="str">
        <f>IFERROR(__xludf.DUMMYFUNCTION("""COMPUTED_VALUE"""),"SMD")</f>
        <v>SMD</v>
      </c>
      <c r="D352" s="4" t="str">
        <f>IFERROR(__xludf.DUMMYFUNCTION("""COMPUTED_VALUE"""),"TPS2114APW")</f>
        <v>TPS2114APW</v>
      </c>
      <c r="E352" s="4">
        <f>IFERROR(__xludf.DUMMYFUNCTION("""COMPUTED_VALUE"""),3.0)</f>
        <v>3</v>
      </c>
      <c r="F352" s="4" t="str">
        <f>IFERROR(__xludf.DUMMYFUNCTION("""COMPUTED_VALUE"""),"DigiKey")</f>
        <v>DigiKey</v>
      </c>
      <c r="G352" s="4" t="str">
        <f>IFERROR(__xludf.DUMMYFUNCTION("""COMPUTED_VALUE"""),"296-16939-6-ND")</f>
        <v>296-16939-6-ND</v>
      </c>
      <c r="H352" s="4"/>
      <c r="I352" s="4"/>
      <c r="J352" s="4"/>
      <c r="K352" s="4"/>
      <c r="L352" s="4"/>
      <c r="M352" s="4"/>
      <c r="N352" s="9" t="str">
        <f>IFERROR(__xludf.DUMMYFUNCTION("""COMPUTED_VALUE"""),"OEPS NP1 031")</f>
        <v>OEPS NP1 031</v>
      </c>
      <c r="O352" s="4" t="str">
        <f>IFERROR(__xludf.DUMMYFUNCTION("""COMPUTED_VALUE"""),"M80-8530642")</f>
        <v>M80-8530642</v>
      </c>
      <c r="P352" s="4" t="str">
        <f>IFERROR(__xludf.DUMMYFUNCTION("""COMPUTED_VALUE"""),"1 2 3(Tb) ")</f>
        <v>1 2 3(Tb) </v>
      </c>
      <c r="Q352" s="4">
        <f>IFERROR(__xludf.DUMMYFUNCTION("""COMPUTED_VALUE"""),6.0)</f>
        <v>6</v>
      </c>
      <c r="R352" s="4">
        <f>IFERROR(__xludf.DUMMYFUNCTION("""COMPUTED_VALUE"""),1.0)</f>
        <v>1</v>
      </c>
      <c r="S352" s="4" t="str">
        <f>IFERROR(__xludf.DUMMYFUNCTION("""COMPUTED_VALUE"""),"Bag")</f>
        <v>Bag</v>
      </c>
      <c r="T352" s="4" t="str">
        <f>IFERROR(__xludf.DUMMYFUNCTION("""COMPUTED_VALUE"""),"N/A")</f>
        <v>N/A</v>
      </c>
      <c r="U352" s="4">
        <f>IFERROR(__xludf.DUMMYFUNCTION("""COMPUTED_VALUE"""),2.0)</f>
        <v>2</v>
      </c>
      <c r="V352" s="4" t="str">
        <f>IFERROR(__xludf.DUMMYFUNCTION("""COMPUTED_VALUE"""),"Box")</f>
        <v>Box</v>
      </c>
      <c r="W352" s="4" t="str">
        <f>IFERROR(__xludf.DUMMYFUNCTION("""COMPUTED_VALUE"""),"XX21")</f>
        <v>XX21</v>
      </c>
      <c r="X352" s="4">
        <f>IFERROR(__xludf.DUMMYFUNCTION("""COMPUTED_VALUE"""),3.0)</f>
        <v>3</v>
      </c>
      <c r="Y352" s="4" t="str">
        <f>IFERROR(__xludf.DUMMYFUNCTION("""COMPUTED_VALUE"""),"Tube")</f>
        <v>Tube</v>
      </c>
      <c r="Z352" s="4" t="str">
        <f>IFERROR(__xludf.DUMMYFUNCTION("""COMPUTED_VALUE"""),"XXXX")</f>
        <v>XXXX</v>
      </c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>
      <c r="A353" s="4" t="str">
        <f>IFERROR(__xludf.DUMMYFUNCTION("""COMPUTED_VALUE"""),"IC:   BATT CNTL LI-ION 1CEL   [MCP73831T-2ACI/OT] [SOT-23-5]")</f>
        <v>IC:   BATT CNTL LI-ION 1CEL   [MCP73831T-2ACI/OT] [SOT-23-5]</v>
      </c>
      <c r="B353" s="4" t="str">
        <f>IFERROR(__xludf.DUMMYFUNCTION("""COMPUTED_VALUE"""),"OEPS080157")</f>
        <v>OEPS080157</v>
      </c>
      <c r="C353" s="4" t="str">
        <f>IFERROR(__xludf.DUMMYFUNCTION("""COMPUTED_VALUE"""),"SMD")</f>
        <v>SMD</v>
      </c>
      <c r="D353" s="4" t="str">
        <f>IFERROR(__xludf.DUMMYFUNCTION("""COMPUTED_VALUE"""),"MCP73831T-2ACI/OT")</f>
        <v>MCP73831T-2ACI/OT</v>
      </c>
      <c r="E353" s="4">
        <f>IFERROR(__xludf.DUMMYFUNCTION("""COMPUTED_VALUE"""),5.0)</f>
        <v>5</v>
      </c>
      <c r="F353" s="4" t="str">
        <f>IFERROR(__xludf.DUMMYFUNCTION("""COMPUTED_VALUE"""),"Digikey")</f>
        <v>Digikey</v>
      </c>
      <c r="G353" s="4" t="str">
        <f>IFERROR(__xludf.DUMMYFUNCTION("""COMPUTED_VALUE"""),"MCP73831T-2ACI/OTDKR-ND")</f>
        <v>MCP73831T-2ACI/OTDKR-ND</v>
      </c>
      <c r="H353" s="4"/>
      <c r="I353" s="4"/>
      <c r="J353" s="4"/>
      <c r="K353" s="4"/>
      <c r="L353" s="4"/>
      <c r="M353" s="4"/>
      <c r="N353" s="9" t="str">
        <f>IFERROR(__xludf.DUMMYFUNCTION("""COMPUTED_VALUE"""),"OEPS NP1 032")</f>
        <v>OEPS NP1 032</v>
      </c>
      <c r="O353" s="4" t="str">
        <f>IFERROR(__xludf.DUMMYFUNCTION("""COMPUTED_VALUE"""),"N2514-6002RB")</f>
        <v>N2514-6002RB</v>
      </c>
      <c r="P353" s="4" t="str">
        <f>IFERROR(__xludf.DUMMYFUNCTION("""COMPUTED_VALUE"""),"1 1 ")</f>
        <v>1 1 </v>
      </c>
      <c r="Q353" s="4">
        <f>IFERROR(__xludf.DUMMYFUNCTION("""COMPUTED_VALUE"""),2.0)</f>
        <v>2</v>
      </c>
      <c r="R353" s="4">
        <f>IFERROR(__xludf.DUMMYFUNCTION("""COMPUTED_VALUE"""),1.0)</f>
        <v>1</v>
      </c>
      <c r="S353" s="4" t="str">
        <f>IFERROR(__xludf.DUMMYFUNCTION("""COMPUTED_VALUE"""),"Box")</f>
        <v>Box</v>
      </c>
      <c r="T353" s="4" t="str">
        <f>IFERROR(__xludf.DUMMYFUNCTION("""COMPUTED_VALUE"""),"0920")</f>
        <v>0920</v>
      </c>
      <c r="U353" s="4">
        <f>IFERROR(__xludf.DUMMYFUNCTION("""COMPUTED_VALUE"""),1.0)</f>
        <v>1</v>
      </c>
      <c r="V353" s="4" t="str">
        <f>IFERROR(__xludf.DUMMYFUNCTION("""COMPUTED_VALUE"""),"Bag")</f>
        <v>Bag</v>
      </c>
      <c r="W353" s="4" t="str">
        <f>IFERROR(__xludf.DUMMYFUNCTION("""COMPUTED_VALUE"""),"XXXX")</f>
        <v>XXXX</v>
      </c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>
      <c r="A354" s="4" t="str">
        <f>IFERROR(__xludf.DUMMYFUNCTION("""COMPUTED_VALUE"""),"IC:   BATT PROT LI-ION 1CELL   [BQ29700DSER] [6-WFDFN]")</f>
        <v>IC:   BATT PROT LI-ION 1CELL   [BQ29700DSER] [6-WFDFN]</v>
      </c>
      <c r="B354" s="4" t="str">
        <f>IFERROR(__xludf.DUMMYFUNCTION("""COMPUTED_VALUE"""),"OEPS080156")</f>
        <v>OEPS080156</v>
      </c>
      <c r="C354" s="4" t="str">
        <f>IFERROR(__xludf.DUMMYFUNCTION("""COMPUTED_VALUE"""),"SMD")</f>
        <v>SMD</v>
      </c>
      <c r="D354" s="4" t="str">
        <f>IFERROR(__xludf.DUMMYFUNCTION("""COMPUTED_VALUE"""),"BQ29700DSER")</f>
        <v>BQ29700DSER</v>
      </c>
      <c r="E354" s="4">
        <f>IFERROR(__xludf.DUMMYFUNCTION("""COMPUTED_VALUE"""),5.0)</f>
        <v>5</v>
      </c>
      <c r="F354" s="4" t="str">
        <f>IFERROR(__xludf.DUMMYFUNCTION("""COMPUTED_VALUE"""),"Digikey")</f>
        <v>Digikey</v>
      </c>
      <c r="G354" s="4" t="str">
        <f>IFERROR(__xludf.DUMMYFUNCTION("""COMPUTED_VALUE"""),"296-43985-6-ND")</f>
        <v>296-43985-6-ND</v>
      </c>
      <c r="H354" s="4"/>
      <c r="I354" s="4"/>
      <c r="J354" s="4"/>
      <c r="K354" s="4"/>
      <c r="L354" s="4"/>
      <c r="M354" s="4"/>
      <c r="N354" s="9" t="str">
        <f>IFERROR(__xludf.DUMMYFUNCTION("""COMPUTED_VALUE"""),"OEPS NP1 033")</f>
        <v>OEPS NP1 033</v>
      </c>
      <c r="O354" s="4" t="str">
        <f>IFERROR(__xludf.DUMMYFUNCTION("""COMPUTED_VALUE"""),"90325-3006")</f>
        <v>90325-3006</v>
      </c>
      <c r="P354" s="4" t="str">
        <f>IFERROR(__xludf.DUMMYFUNCTION("""COMPUTED_VALUE"""),"1 ")</f>
        <v>1 </v>
      </c>
      <c r="Q354" s="4">
        <f>IFERROR(__xludf.DUMMYFUNCTION("""COMPUTED_VALUE"""),1.0)</f>
        <v>1</v>
      </c>
      <c r="R354" s="4">
        <f>IFERROR(__xludf.DUMMYFUNCTION("""COMPUTED_VALUE"""),1.0)</f>
        <v>1</v>
      </c>
      <c r="S354" s="4" t="str">
        <f>IFERROR(__xludf.DUMMYFUNCTION("""COMPUTED_VALUE"""),"Bag")</f>
        <v>Bag</v>
      </c>
      <c r="T354" s="4" t="str">
        <f>IFERROR(__xludf.DUMMYFUNCTION("""COMPUTED_VALUE"""),"0920")</f>
        <v>0920</v>
      </c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>
      <c r="A355" s="4" t="str">
        <f>IFERROR(__xludf.DUMMYFUNCTION("""COMPUTED_VALUE"""),"IC:   BATTERY BACKUP SWITCH   [ICL7673CBAZA-T] [8-SOIC]")</f>
        <v>IC:   BATTERY BACKUP SWITCH   [ICL7673CBAZA-T] [8-SOIC]</v>
      </c>
      <c r="B355" s="4" t="str">
        <f>IFERROR(__xludf.DUMMYFUNCTION("""COMPUTED_VALUE"""),"OEPS080034")</f>
        <v>OEPS080034</v>
      </c>
      <c r="C355" s="4" t="str">
        <f>IFERROR(__xludf.DUMMYFUNCTION("""COMPUTED_VALUE"""),"SMD")</f>
        <v>SMD</v>
      </c>
      <c r="D355" s="4" t="str">
        <f>IFERROR(__xludf.DUMMYFUNCTION("""COMPUTED_VALUE"""),"ICL7673CBAZA-T")</f>
        <v>ICL7673CBAZA-T</v>
      </c>
      <c r="E355" s="4">
        <f>IFERROR(__xludf.DUMMYFUNCTION("""COMPUTED_VALUE"""),2.0)</f>
        <v>2</v>
      </c>
      <c r="F355" s="4" t="str">
        <f>IFERROR(__xludf.DUMMYFUNCTION("""COMPUTED_VALUE"""),"DigiKey")</f>
        <v>DigiKey</v>
      </c>
      <c r="G355" s="4" t="str">
        <f>IFERROR(__xludf.DUMMYFUNCTION("""COMPUTED_VALUE"""),"ICL7673CBAZA-TDKR-ND")</f>
        <v>ICL7673CBAZA-TDKR-ND</v>
      </c>
      <c r="H355" s="4"/>
      <c r="I355" s="4"/>
      <c r="J355" s="4"/>
      <c r="K355" s="4"/>
      <c r="L355" s="4"/>
      <c r="M355" s="4"/>
      <c r="N355" s="9" t="str">
        <f>IFERROR(__xludf.DUMMYFUNCTION("""COMPUTED_VALUE"""),"OEPS NP1 034")</f>
        <v>OEPS NP1 034</v>
      </c>
      <c r="O355" s="4" t="str">
        <f>IFERROR(__xludf.DUMMYFUNCTION("""COMPUTED_VALUE"""),"30310-6002")</f>
        <v>30310-6002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>
      <c r="A356" s="4" t="str">
        <f>IFERROR(__xludf.DUMMYFUNCTION("""COMPUTED_VALUE"""),"IC:   BATTERY LI-ION CHARGER   [MCP73834-CNI/MF] [10-VFDFN Exposed Pad]")</f>
        <v>IC:   BATTERY LI-ION CHARGER   [MCP73834-CNI/MF] [10-VFDFN Exposed Pad]</v>
      </c>
      <c r="B356" s="4" t="str">
        <f>IFERROR(__xludf.DUMMYFUNCTION("""COMPUTED_VALUE"""),"OEPS080177")</f>
        <v>OEPS080177</v>
      </c>
      <c r="C356" s="4" t="str">
        <f>IFERROR(__xludf.DUMMYFUNCTION("""COMPUTED_VALUE"""),"SMD")</f>
        <v>SMD</v>
      </c>
      <c r="D356" s="4" t="str">
        <f>IFERROR(__xludf.DUMMYFUNCTION("""COMPUTED_VALUE"""),"MCP73834-CNI/MF")</f>
        <v>MCP73834-CNI/MF</v>
      </c>
      <c r="E356" s="4">
        <f>IFERROR(__xludf.DUMMYFUNCTION("""COMPUTED_VALUE"""),4.0)</f>
        <v>4</v>
      </c>
      <c r="F356" s="4" t="str">
        <f>IFERROR(__xludf.DUMMYFUNCTION("""COMPUTED_VALUE"""),"Digikey")</f>
        <v>Digikey</v>
      </c>
      <c r="G356" s="4" t="str">
        <f>IFERROR(__xludf.DUMMYFUNCTION("""COMPUTED_VALUE"""),"MCP73834-CNI/MF-ND")</f>
        <v>MCP73834-CNI/MF-ND</v>
      </c>
      <c r="H356" s="4"/>
      <c r="I356" s="4"/>
      <c r="J356" s="4"/>
      <c r="K356" s="4"/>
      <c r="L356" s="4"/>
      <c r="M356" s="4"/>
      <c r="N356" s="9" t="str">
        <f>IFERROR(__xludf.DUMMYFUNCTION("""COMPUTED_VALUE"""),"OEPS NP1 035")</f>
        <v>OEPS NP1 035</v>
      </c>
      <c r="O356" s="4" t="str">
        <f>IFERROR(__xludf.DUMMYFUNCTION("""COMPUTED_VALUE"""),"M80-8820242")</f>
        <v>M80-8820242</v>
      </c>
      <c r="P356" s="4" t="str">
        <f>IFERROR(__xludf.DUMMYFUNCTION("""COMPUTED_VALUE"""),"2(Tb) ")</f>
        <v>2(Tb) </v>
      </c>
      <c r="Q356" s="4">
        <f>IFERROR(__xludf.DUMMYFUNCTION("""COMPUTED_VALUE"""),2.0)</f>
        <v>2</v>
      </c>
      <c r="R356" s="4">
        <f>IFERROR(__xludf.DUMMYFUNCTION("""COMPUTED_VALUE"""),2.0)</f>
        <v>2</v>
      </c>
      <c r="S356" s="4" t="str">
        <f>IFERROR(__xludf.DUMMYFUNCTION("""COMPUTED_VALUE"""),"Tube")</f>
        <v>Tube</v>
      </c>
      <c r="T356" s="4" t="str">
        <f>IFERROR(__xludf.DUMMYFUNCTION("""COMPUTED_VALUE"""),"0920")</f>
        <v>0920</v>
      </c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>
      <c r="A357" s="4" t="str">
        <f>IFERROR(__xludf.DUMMYFUNCTION("""COMPUTED_VALUE"""),"IC:   BATTERY LI-POLYMER CHARGER   [MCP73831T-2ATI/OT] [SOT-23-5]")</f>
        <v>IC:   BATTERY LI-POLYMER CHARGER   [MCP73831T-2ATI/OT] [SOT-23-5]</v>
      </c>
      <c r="B357" s="4" t="str">
        <f>IFERROR(__xludf.DUMMYFUNCTION("""COMPUTED_VALUE"""),"OEPS080035")</f>
        <v>OEPS080035</v>
      </c>
      <c r="C357" s="4" t="str">
        <f>IFERROR(__xludf.DUMMYFUNCTION("""COMPUTED_VALUE"""),"SMD")</f>
        <v>SMD</v>
      </c>
      <c r="D357" s="4" t="str">
        <f>IFERROR(__xludf.DUMMYFUNCTION("""COMPUTED_VALUE"""),"MCP73831T-2ATI/OT")</f>
        <v>MCP73831T-2ATI/OT</v>
      </c>
      <c r="E357" s="4">
        <f>IFERROR(__xludf.DUMMYFUNCTION("""COMPUTED_VALUE"""),5.0)</f>
        <v>5</v>
      </c>
      <c r="F357" s="4" t="str">
        <f>IFERROR(__xludf.DUMMYFUNCTION("""COMPUTED_VALUE"""),"DigiKey")</f>
        <v>DigiKey</v>
      </c>
      <c r="G357" s="4" t="str">
        <f>IFERROR(__xludf.DUMMYFUNCTION("""COMPUTED_VALUE"""),"MCP73831T-2ATI/OTDKR-ND")</f>
        <v>MCP73831T-2ATI/OTDKR-ND</v>
      </c>
      <c r="H357" s="4"/>
      <c r="I357" s="4"/>
      <c r="J357" s="4"/>
      <c r="K357" s="4"/>
      <c r="L357" s="4"/>
      <c r="M357" s="4"/>
      <c r="N357" s="9" t="str">
        <f>IFERROR(__xludf.DUMMYFUNCTION("""COMPUTED_VALUE"""),"OEPS NP1 036")</f>
        <v>OEPS NP1 036</v>
      </c>
      <c r="O357" s="4" t="str">
        <f>IFERROR(__xludf.DUMMYFUNCTION("""COMPUTED_VALUE"""),"35RASMT2BHNTRX")</f>
        <v>35RASMT2BHNTRX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>
      <c r="A358" s="4" t="str">
        <f>IFERROR(__xludf.DUMMYFUNCTION("""COMPUTED_VALUE"""),"IC:   BUFFER INVERT 1CH   [M74VHC1GT04DTT1G] [TSOP-5]")</f>
        <v>IC:   BUFFER INVERT 1CH   [M74VHC1GT04DTT1G] [TSOP-5]</v>
      </c>
      <c r="B358" s="4" t="str">
        <f>IFERROR(__xludf.DUMMYFUNCTION("""COMPUTED_VALUE"""),"OEPS080036")</f>
        <v>OEPS080036</v>
      </c>
      <c r="C358" s="4" t="str">
        <f>IFERROR(__xludf.DUMMYFUNCTION("""COMPUTED_VALUE"""),"SMD")</f>
        <v>SMD</v>
      </c>
      <c r="D358" s="4" t="str">
        <f>IFERROR(__xludf.DUMMYFUNCTION("""COMPUTED_VALUE"""),"M74VHC1GT04DTT1G")</f>
        <v>M74VHC1GT04DTT1G</v>
      </c>
      <c r="E358" s="4">
        <f>IFERROR(__xludf.DUMMYFUNCTION("""COMPUTED_VALUE"""),5.0)</f>
        <v>5</v>
      </c>
      <c r="F358" s="4" t="str">
        <f>IFERROR(__xludf.DUMMYFUNCTION("""COMPUTED_VALUE"""),"DigiKey")</f>
        <v>DigiKey</v>
      </c>
      <c r="G358" s="4" t="str">
        <f>IFERROR(__xludf.DUMMYFUNCTION("""COMPUTED_VALUE"""),"M74VHC1GT04DTT1GOSDKR-ND")</f>
        <v>M74VHC1GT04DTT1GOSDKR-ND</v>
      </c>
      <c r="H358" s="4"/>
      <c r="I358" s="4"/>
      <c r="J358" s="4"/>
      <c r="K358" s="4"/>
      <c r="L358" s="4"/>
      <c r="M358" s="4"/>
      <c r="N358" s="9" t="str">
        <f>IFERROR(__xludf.DUMMYFUNCTION("""COMPUTED_VALUE"""),"OEPS NP1 037")</f>
        <v>OEPS NP1 037</v>
      </c>
      <c r="O358" s="4" t="str">
        <f>IFERROR(__xludf.DUMMYFUNCTION("""COMPUTED_VALUE"""),"031-6575")</f>
        <v>031-6575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>
      <c r="A359" s="4" t="str">
        <f>IFERROR(__xludf.DUMMYFUNCTION("""COMPUTED_VALUE"""),"IC:   BUFFER INVERT 1CH 3-STATE   [SN74LVC1G14DBVR] [SOT-23-5]")</f>
        <v>IC:   BUFFER INVERT 1CH 3-STATE   [SN74LVC1G14DBVR] [SOT-23-5]</v>
      </c>
      <c r="B359" s="4" t="str">
        <f>IFERROR(__xludf.DUMMYFUNCTION("""COMPUTED_VALUE"""),"OEPS080160")</f>
        <v>OEPS080160</v>
      </c>
      <c r="C359" s="4" t="str">
        <f>IFERROR(__xludf.DUMMYFUNCTION("""COMPUTED_VALUE"""),"SMD")</f>
        <v>SMD</v>
      </c>
      <c r="D359" s="4" t="str">
        <f>IFERROR(__xludf.DUMMYFUNCTION("""COMPUTED_VALUE"""),"SN74LVC1G14DBVR")</f>
        <v>SN74LVC1G14DBVR</v>
      </c>
      <c r="E359" s="4">
        <f>IFERROR(__xludf.DUMMYFUNCTION("""COMPUTED_VALUE"""),5.0)</f>
        <v>5</v>
      </c>
      <c r="F359" s="4" t="str">
        <f>IFERROR(__xludf.DUMMYFUNCTION("""COMPUTED_VALUE"""),"Digikey")</f>
        <v>Digikey</v>
      </c>
      <c r="G359" s="4" t="str">
        <f>IFERROR(__xludf.DUMMYFUNCTION("""COMPUTED_VALUE"""),"4518-SN74LVC1G14DBVRDKR-ND")</f>
        <v>4518-SN74LVC1G14DBVRDKR-ND</v>
      </c>
      <c r="H359" s="4"/>
      <c r="I359" s="4"/>
      <c r="J359" s="4"/>
      <c r="K359" s="4"/>
      <c r="L359" s="4"/>
      <c r="M359" s="4"/>
      <c r="N359" s="9" t="str">
        <f>IFERROR(__xludf.DUMMYFUNCTION("""COMPUTED_VALUE"""),"OEPS NP1 040")</f>
        <v>OEPS NP1 040</v>
      </c>
      <c r="O359" s="4" t="str">
        <f>IFERROR(__xludf.DUMMYFUNCTION("""COMPUTED_VALUE"""),"1843606")</f>
        <v>1843606</v>
      </c>
      <c r="P359" s="4" t="str">
        <f>IFERROR(__xludf.DUMMYFUNCTION("""COMPUTED_VALUE"""),"1 1 ")</f>
        <v>1 1 </v>
      </c>
      <c r="Q359" s="4">
        <f>IFERROR(__xludf.DUMMYFUNCTION("""COMPUTED_VALUE"""),2.0)</f>
        <v>2</v>
      </c>
      <c r="R359" s="4">
        <f>IFERROR(__xludf.DUMMYFUNCTION("""COMPUTED_VALUE"""),1.0)</f>
        <v>1</v>
      </c>
      <c r="S359" s="4" t="str">
        <f>IFERROR(__xludf.DUMMYFUNCTION("""COMPUTED_VALUE"""),"Bag")</f>
        <v>Bag</v>
      </c>
      <c r="T359" s="4" t="str">
        <f>IFERROR(__xludf.DUMMYFUNCTION("""COMPUTED_VALUE"""),"0920")</f>
        <v>0920</v>
      </c>
      <c r="U359" s="4">
        <f>IFERROR(__xludf.DUMMYFUNCTION("""COMPUTED_VALUE"""),1.0)</f>
        <v>1</v>
      </c>
      <c r="V359" s="4" t="str">
        <f>IFERROR(__xludf.DUMMYFUNCTION("""COMPUTED_VALUE"""),"Bag")</f>
        <v>Bag</v>
      </c>
      <c r="W359" s="4" t="str">
        <f>IFERROR(__xludf.DUMMYFUNCTION("""COMPUTED_VALUE"""),"0721")</f>
        <v>0721</v>
      </c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>
      <c r="A360" s="4" t="str">
        <f>IFERROR(__xludf.DUMMYFUNCTION("""COMPUTED_VALUE"""),"IC:   BUFFER INVERT 1CH 3-STATE   [SN74LVC1G240DBVR] [SOT-23-5]")</f>
        <v>IC:   BUFFER INVERT 1CH 3-STATE   [SN74LVC1G240DBVR] [SOT-23-5]</v>
      </c>
      <c r="B360" s="4" t="str">
        <f>IFERROR(__xludf.DUMMYFUNCTION("""COMPUTED_VALUE"""),"OEPS080028")</f>
        <v>OEPS080028</v>
      </c>
      <c r="C360" s="4" t="str">
        <f>IFERROR(__xludf.DUMMYFUNCTION("""COMPUTED_VALUE"""),"SMD")</f>
        <v>SMD</v>
      </c>
      <c r="D360" s="4" t="str">
        <f>IFERROR(__xludf.DUMMYFUNCTION("""COMPUTED_VALUE"""),"SN74LVC1G240DBVR")</f>
        <v>SN74LVC1G240DBVR</v>
      </c>
      <c r="E360" s="4">
        <f>IFERROR(__xludf.DUMMYFUNCTION("""COMPUTED_VALUE"""),5.0)</f>
        <v>5</v>
      </c>
      <c r="F360" s="4" t="str">
        <f>IFERROR(__xludf.DUMMYFUNCTION("""COMPUTED_VALUE"""),"DigiKey")</f>
        <v>DigiKey</v>
      </c>
      <c r="G360" s="4" t="str">
        <f>IFERROR(__xludf.DUMMYFUNCTION("""COMPUTED_VALUE"""),"296-11609-6-ND")</f>
        <v>296-11609-6-ND</v>
      </c>
      <c r="H360" s="4"/>
      <c r="I360" s="4"/>
      <c r="J360" s="4"/>
      <c r="K360" s="4"/>
      <c r="L360" s="4"/>
      <c r="M360" s="4"/>
      <c r="N360" s="9" t="str">
        <f>IFERROR(__xludf.DUMMYFUNCTION("""COMPUTED_VALUE"""),"OEPS NP1 042")</f>
        <v>OEPS NP1 042</v>
      </c>
      <c r="O360" s="4" t="str">
        <f>IFERROR(__xludf.DUMMYFUNCTION("""COMPUTED_VALUE"""),"BCP56T1G")</f>
        <v>BCP56T1G</v>
      </c>
      <c r="P360" s="4" t="str">
        <f>IFERROR(__xludf.DUMMYFUNCTION("""COMPUTED_VALUE"""),"6 ")</f>
        <v>6 </v>
      </c>
      <c r="Q360" s="4">
        <f>IFERROR(__xludf.DUMMYFUNCTION("""COMPUTED_VALUE"""),6.0)</f>
        <v>6</v>
      </c>
      <c r="R360" s="4">
        <f>IFERROR(__xludf.DUMMYFUNCTION("""COMPUTED_VALUE"""),6.0)</f>
        <v>6</v>
      </c>
      <c r="S360" s="4" t="str">
        <f>IFERROR(__xludf.DUMMYFUNCTION("""COMPUTED_VALUE"""),"Bag")</f>
        <v>Bag</v>
      </c>
      <c r="T360" s="4" t="str">
        <f>IFERROR(__xludf.DUMMYFUNCTION("""COMPUTED_VALUE"""),"N/A")</f>
        <v>N/A</v>
      </c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>
      <c r="A361" s="4" t="str">
        <f>IFERROR(__xludf.DUMMYFUNCTION("""COMPUTED_VALUE"""),"IC:   BUFFER INVERT 1CH SCHMITT-TRIGGER   [M74VHC1GT14DTT1G] [TSOP-5]")</f>
        <v>IC:   BUFFER INVERT 1CH SCHMITT-TRIGGER   [M74VHC1GT14DTT1G] [TSOP-5]</v>
      </c>
      <c r="B361" s="4" t="str">
        <f>IFERROR(__xludf.DUMMYFUNCTION("""COMPUTED_VALUE"""),"OEPS080037")</f>
        <v>OEPS080037</v>
      </c>
      <c r="C361" s="4" t="str">
        <f>IFERROR(__xludf.DUMMYFUNCTION("""COMPUTED_VALUE"""),"SMD")</f>
        <v>SMD</v>
      </c>
      <c r="D361" s="4" t="str">
        <f>IFERROR(__xludf.DUMMYFUNCTION("""COMPUTED_VALUE"""),"M74VHC1GT14DTT1G")</f>
        <v>M74VHC1GT14DTT1G</v>
      </c>
      <c r="E361" s="4">
        <f>IFERROR(__xludf.DUMMYFUNCTION("""COMPUTED_VALUE"""),5.0)</f>
        <v>5</v>
      </c>
      <c r="F361" s="4" t="str">
        <f>IFERROR(__xludf.DUMMYFUNCTION("""COMPUTED_VALUE"""),"DigiKey")</f>
        <v>DigiKey</v>
      </c>
      <c r="G361" s="4" t="str">
        <f>IFERROR(__xludf.DUMMYFUNCTION("""COMPUTED_VALUE"""),"M74VHC1GT14DTT1GOSDKR-ND")</f>
        <v>M74VHC1GT14DTT1GOSDKR-ND</v>
      </c>
      <c r="H361" s="4"/>
      <c r="I361" s="4"/>
      <c r="J361" s="4"/>
      <c r="K361" s="4"/>
      <c r="L361" s="4"/>
      <c r="M361" s="4"/>
      <c r="N361" s="9" t="str">
        <f>IFERROR(__xludf.DUMMYFUNCTION("""COMPUTED_VALUE"""),"OEPS NP1 043")</f>
        <v>OEPS NP1 043</v>
      </c>
      <c r="O361" s="4" t="str">
        <f>IFERROR(__xludf.DUMMYFUNCTION("""COMPUTED_VALUE"""),"RC0603FR-071KL")</f>
        <v>RC0603FR-071KL</v>
      </c>
      <c r="P361" s="4" t="str">
        <f>IFERROR(__xludf.DUMMYFUNCTION("""COMPUTED_VALUE"""),"470(R) ")</f>
        <v>470(R) </v>
      </c>
      <c r="Q361" s="4">
        <f>IFERROR(__xludf.DUMMYFUNCTION("""COMPUTED_VALUE"""),470.0)</f>
        <v>470</v>
      </c>
      <c r="R361" s="4">
        <f>IFERROR(__xludf.DUMMYFUNCTION("""COMPUTED_VALUE"""),470.0)</f>
        <v>470</v>
      </c>
      <c r="S361" s="4" t="str">
        <f>IFERROR(__xludf.DUMMYFUNCTION("""COMPUTED_VALUE"""),"Reel")</f>
        <v>Reel</v>
      </c>
      <c r="T361" s="4" t="str">
        <f>IFERROR(__xludf.DUMMYFUNCTION("""COMPUTED_VALUE"""),"XX21")</f>
        <v>XX21</v>
      </c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>
      <c r="A362" s="4" t="str">
        <f>IFERROR(__xludf.DUMMYFUNCTION("""COMPUTED_VALUE"""),"IC:   BUFFER NON-INVERT 1CH 3-STATE   [74LVC1G125GV,125] [SC-74A]")</f>
        <v>IC:   BUFFER NON-INVERT 1CH 3-STATE   [74LVC1G125GV,125] [SC-74A]</v>
      </c>
      <c r="B362" s="4" t="str">
        <f>IFERROR(__xludf.DUMMYFUNCTION("""COMPUTED_VALUE"""),"OEPS080087")</f>
        <v>OEPS080087</v>
      </c>
      <c r="C362" s="4" t="str">
        <f>IFERROR(__xludf.DUMMYFUNCTION("""COMPUTED_VALUE"""),"SMD")</f>
        <v>SMD</v>
      </c>
      <c r="D362" s="4" t="str">
        <f>IFERROR(__xludf.DUMMYFUNCTION("""COMPUTED_VALUE"""),"74LVC1G125GV,125")</f>
        <v>74LVC1G125GV,125</v>
      </c>
      <c r="E362" s="4">
        <f>IFERROR(__xludf.DUMMYFUNCTION("""COMPUTED_VALUE"""),5.0)</f>
        <v>5</v>
      </c>
      <c r="F362" s="4" t="str">
        <f>IFERROR(__xludf.DUMMYFUNCTION("""COMPUTED_VALUE"""),"DigiKey")</f>
        <v>DigiKey</v>
      </c>
      <c r="G362" s="4" t="str">
        <f>IFERROR(__xludf.DUMMYFUNCTION("""COMPUTED_VALUE"""),"1727-3100-6-ND")</f>
        <v>1727-3100-6-ND</v>
      </c>
      <c r="H362" s="4"/>
      <c r="I362" s="4"/>
      <c r="J362" s="4"/>
      <c r="K362" s="4"/>
      <c r="L362" s="4"/>
      <c r="M362" s="4"/>
      <c r="N362" s="9" t="str">
        <f>IFERROR(__xludf.DUMMYFUNCTION("""COMPUTED_VALUE"""),"OEPS NP1 044")</f>
        <v>OEPS NP1 044</v>
      </c>
      <c r="O362" s="4" t="str">
        <f>IFERROR(__xludf.DUMMYFUNCTION("""COMPUTED_VALUE"""),"RC0603FR-075K76L")</f>
        <v>RC0603FR-075K76L</v>
      </c>
      <c r="P362" s="4" t="str">
        <f>IFERROR(__xludf.DUMMYFUNCTION("""COMPUTED_VALUE"""),"11(R) 444(R) ")</f>
        <v>11(R) 444(R) </v>
      </c>
      <c r="Q362" s="4">
        <f>IFERROR(__xludf.DUMMYFUNCTION("""COMPUTED_VALUE"""),455.0)</f>
        <v>455</v>
      </c>
      <c r="R362" s="4">
        <f>IFERROR(__xludf.DUMMYFUNCTION("""COMPUTED_VALUE"""),11.0)</f>
        <v>11</v>
      </c>
      <c r="S362" s="4" t="str">
        <f>IFERROR(__xludf.DUMMYFUNCTION("""COMPUTED_VALUE"""),"Reel")</f>
        <v>Reel</v>
      </c>
      <c r="T362" s="4" t="str">
        <f>IFERROR(__xludf.DUMMYFUNCTION("""COMPUTED_VALUE"""),"0520")</f>
        <v>0520</v>
      </c>
      <c r="U362" s="4">
        <f>IFERROR(__xludf.DUMMYFUNCTION("""COMPUTED_VALUE"""),444.0)</f>
        <v>444</v>
      </c>
      <c r="V362" s="4" t="str">
        <f>IFERROR(__xludf.DUMMYFUNCTION("""COMPUTED_VALUE"""),"Reel")</f>
        <v>Reel</v>
      </c>
      <c r="W362" s="4" t="str">
        <f>IFERROR(__xludf.DUMMYFUNCTION("""COMPUTED_VALUE"""),"XX21")</f>
        <v>XX21</v>
      </c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>
      <c r="A363" s="4" t="str">
        <f>IFERROR(__xludf.DUMMYFUNCTION("""COMPUTED_VALUE"""),"IC:   BUFFER NON-INVERT 1CH 3-STATE   [M74VHC1GT126DF1G] [SC-70-5]")</f>
        <v>IC:   BUFFER NON-INVERT 1CH 3-STATE   [M74VHC1GT126DF1G] [SC-70-5]</v>
      </c>
      <c r="B363" s="4" t="str">
        <f>IFERROR(__xludf.DUMMYFUNCTION("""COMPUTED_VALUE"""),"OEPS080033")</f>
        <v>OEPS080033</v>
      </c>
      <c r="C363" s="4" t="str">
        <f>IFERROR(__xludf.DUMMYFUNCTION("""COMPUTED_VALUE"""),"SMD")</f>
        <v>SMD</v>
      </c>
      <c r="D363" s="4" t="str">
        <f>IFERROR(__xludf.DUMMYFUNCTION("""COMPUTED_VALUE"""),"M74VHC1GT126DF1G")</f>
        <v>M74VHC1GT126DF1G</v>
      </c>
      <c r="E363" s="4">
        <f>IFERROR(__xludf.DUMMYFUNCTION("""COMPUTED_VALUE"""),5.0)</f>
        <v>5</v>
      </c>
      <c r="F363" s="4" t="str">
        <f>IFERROR(__xludf.DUMMYFUNCTION("""COMPUTED_VALUE"""),"DigiKey")</f>
        <v>DigiKey</v>
      </c>
      <c r="G363" s="4" t="str">
        <f>IFERROR(__xludf.DUMMYFUNCTION("""COMPUTED_VALUE"""),"M74VHC1GT126DF1GOSDKR-ND")</f>
        <v>M74VHC1GT126DF1GOSDKR-ND</v>
      </c>
      <c r="H363" s="4"/>
      <c r="I363" s="4"/>
      <c r="J363" s="4"/>
      <c r="K363" s="4"/>
      <c r="L363" s="4"/>
      <c r="M363" s="4"/>
      <c r="N363" s="9" t="str">
        <f>IFERROR(__xludf.DUMMYFUNCTION("""COMPUTED_VALUE"""),"OEPS NP1 045")</f>
        <v>OEPS NP1 045</v>
      </c>
      <c r="O363" s="4" t="str">
        <f>IFERROR(__xludf.DUMMYFUNCTION("""COMPUTED_VALUE"""),"ERJ-3EKF2801V")</f>
        <v>ERJ-3EKF2801V</v>
      </c>
      <c r="P363" s="4" t="str">
        <f>IFERROR(__xludf.DUMMYFUNCTION("""COMPUTED_VALUE"""),"144(R) 25(R) ")</f>
        <v>144(R) 25(R) </v>
      </c>
      <c r="Q363" s="4">
        <f>IFERROR(__xludf.DUMMYFUNCTION("""COMPUTED_VALUE"""),169.0)</f>
        <v>169</v>
      </c>
      <c r="R363" s="4">
        <f>IFERROR(__xludf.DUMMYFUNCTION("""COMPUTED_VALUE"""),144.0)</f>
        <v>144</v>
      </c>
      <c r="S363" s="4" t="str">
        <f>IFERROR(__xludf.DUMMYFUNCTION("""COMPUTED_VALUE"""),"Reel")</f>
        <v>Reel</v>
      </c>
      <c r="T363" s="4" t="str">
        <f>IFERROR(__xludf.DUMMYFUNCTION("""COMPUTED_VALUE"""),"XX21")</f>
        <v>XX21</v>
      </c>
      <c r="U363" s="4">
        <f>IFERROR(__xludf.DUMMYFUNCTION("""COMPUTED_VALUE"""),25.0)</f>
        <v>25</v>
      </c>
      <c r="V363" s="4" t="str">
        <f>IFERROR(__xludf.DUMMYFUNCTION("""COMPUTED_VALUE"""),"Reel")</f>
        <v>Reel</v>
      </c>
      <c r="W363" s="4" t="str">
        <f>IFERROR(__xludf.DUMMYFUNCTION("""COMPUTED_VALUE"""),"0920")</f>
        <v>0920</v>
      </c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>
      <c r="A364" s="4" t="str">
        <f>IFERROR(__xludf.DUMMYFUNCTION("""COMPUTED_VALUE"""),"IC:   BUFFER NON-INVERT 1CH 3-STATE   [M74VHC1GT126DT1G] [TSOP-5]")</f>
        <v>IC:   BUFFER NON-INVERT 1CH 3-STATE   [M74VHC1GT126DT1G] [TSOP-5]</v>
      </c>
      <c r="B364" s="4" t="str">
        <f>IFERROR(__xludf.DUMMYFUNCTION("""COMPUTED_VALUE"""),"OEPS080017")</f>
        <v>OEPS080017</v>
      </c>
      <c r="C364" s="4" t="str">
        <f>IFERROR(__xludf.DUMMYFUNCTION("""COMPUTED_VALUE"""),"SMD")</f>
        <v>SMD</v>
      </c>
      <c r="D364" s="4" t="str">
        <f>IFERROR(__xludf.DUMMYFUNCTION("""COMPUTED_VALUE"""),"M74VHC1GT126DT1G")</f>
        <v>M74VHC1GT126DT1G</v>
      </c>
      <c r="E364" s="4">
        <f>IFERROR(__xludf.DUMMYFUNCTION("""COMPUTED_VALUE"""),5.0)</f>
        <v>5</v>
      </c>
      <c r="F364" s="4" t="str">
        <f>IFERROR(__xludf.DUMMYFUNCTION("""COMPUTED_VALUE"""),"DigiKey")</f>
        <v>DigiKey</v>
      </c>
      <c r="G364" s="4" t="str">
        <f>IFERROR(__xludf.DUMMYFUNCTION("""COMPUTED_VALUE"""),"M74VHC1GT126DT1GOSDKR-ND")</f>
        <v>M74VHC1GT126DT1GOSDKR-ND</v>
      </c>
      <c r="H364" s="4"/>
      <c r="I364" s="4"/>
      <c r="J364" s="4"/>
      <c r="K364" s="4"/>
      <c r="L364" s="4"/>
      <c r="M364" s="4"/>
      <c r="N364" s="9" t="str">
        <f>IFERROR(__xludf.DUMMYFUNCTION("""COMPUTED_VALUE"""),"OEPS NP1 046")</f>
        <v>OEPS NP1 046</v>
      </c>
      <c r="O364" s="4" t="str">
        <f>IFERROR(__xludf.DUMMYFUNCTION("""COMPUTED_VALUE"""),"RC0603JR-070RL")</f>
        <v>RC0603JR-070RL</v>
      </c>
      <c r="P364" s="4" t="str">
        <f>IFERROR(__xludf.DUMMYFUNCTION("""COMPUTED_VALUE"""),"1774(R) 10(R) 1765(R) ")</f>
        <v>1774(R) 10(R) 1765(R) </v>
      </c>
      <c r="Q364" s="4">
        <f>IFERROR(__xludf.DUMMYFUNCTION("""COMPUTED_VALUE"""),3549.0)</f>
        <v>3549</v>
      </c>
      <c r="R364" s="4">
        <f>IFERROR(__xludf.DUMMYFUNCTION("""COMPUTED_VALUE"""),1774.0)</f>
        <v>1774</v>
      </c>
      <c r="S364" s="4" t="str">
        <f>IFERROR(__xludf.DUMMYFUNCTION("""COMPUTED_VALUE"""),"Reel")</f>
        <v>Reel</v>
      </c>
      <c r="T364" s="4" t="str">
        <f>IFERROR(__xludf.DUMMYFUNCTION("""COMPUTED_VALUE"""),"XX21")</f>
        <v>XX21</v>
      </c>
      <c r="U364" s="4">
        <f>IFERROR(__xludf.DUMMYFUNCTION("""COMPUTED_VALUE"""),10.0)</f>
        <v>10</v>
      </c>
      <c r="V364" s="4" t="str">
        <f>IFERROR(__xludf.DUMMYFUNCTION("""COMPUTED_VALUE"""),"Reel")</f>
        <v>Reel</v>
      </c>
      <c r="W364" s="4" t="str">
        <f>IFERROR(__xludf.DUMMYFUNCTION("""COMPUTED_VALUE"""),"0520")</f>
        <v>0520</v>
      </c>
      <c r="X364" s="4">
        <f>IFERROR(__xludf.DUMMYFUNCTION("""COMPUTED_VALUE"""),1765.0)</f>
        <v>1765</v>
      </c>
      <c r="Y364" s="4" t="str">
        <f>IFERROR(__xludf.DUMMYFUNCTION("""COMPUTED_VALUE"""),"Reel")</f>
        <v>Reel</v>
      </c>
      <c r="Z364" s="4" t="str">
        <f>IFERROR(__xludf.DUMMYFUNCTION("""COMPUTED_VALUE"""),"0721")</f>
        <v>0721</v>
      </c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>
      <c r="A365" s="4" t="str">
        <f>IFERROR(__xludf.DUMMYFUNCTION("""COMPUTED_VALUE"""),"IC:   BUFFER NON-INVERT 1CH 3-STATE   [MC74VHC1GT125DBVT1G] [SC-74A]")</f>
        <v>IC:   BUFFER NON-INVERT 1CH 3-STATE   [MC74VHC1GT125DBVT1G] [SC-74A]</v>
      </c>
      <c r="B365" s="4" t="str">
        <f>IFERROR(__xludf.DUMMYFUNCTION("""COMPUTED_VALUE"""),"OEPS080169")</f>
        <v>OEPS080169</v>
      </c>
      <c r="C365" s="4" t="str">
        <f>IFERROR(__xludf.DUMMYFUNCTION("""COMPUTED_VALUE"""),"SMD")</f>
        <v>SMD</v>
      </c>
      <c r="D365" s="4" t="str">
        <f>IFERROR(__xludf.DUMMYFUNCTION("""COMPUTED_VALUE"""),"MC74VHC1GT125DBVT1G")</f>
        <v>MC74VHC1GT125DBVT1G</v>
      </c>
      <c r="E365" s="4">
        <f>IFERROR(__xludf.DUMMYFUNCTION("""COMPUTED_VALUE"""),10.0)</f>
        <v>10</v>
      </c>
      <c r="F365" s="4" t="str">
        <f>IFERROR(__xludf.DUMMYFUNCTION("""COMPUTED_VALUE"""),"Digikey")</f>
        <v>Digikey</v>
      </c>
      <c r="G365" s="4" t="str">
        <f>IFERROR(__xludf.DUMMYFUNCTION("""COMPUTED_VALUE"""),"488-MC74VHC1GT125DBVT1GDKR-ND")</f>
        <v>488-MC74VHC1GT125DBVT1GDKR-ND</v>
      </c>
      <c r="H365" s="4"/>
      <c r="I365" s="4"/>
      <c r="J365" s="4"/>
      <c r="K365" s="4"/>
      <c r="L365" s="4"/>
      <c r="M365" s="4"/>
      <c r="N365" s="9" t="str">
        <f>IFERROR(__xludf.DUMMYFUNCTION("""COMPUTED_VALUE"""),"OEPS NP1 047")</f>
        <v>OEPS NP1 047</v>
      </c>
      <c r="O365" s="4" t="str">
        <f>IFERROR(__xludf.DUMMYFUNCTION("""COMPUTED_VALUE"""),"RC0603FR-071ML")</f>
        <v>RC0603FR-071ML</v>
      </c>
      <c r="P365" s="4" t="str">
        <f>IFERROR(__xludf.DUMMYFUNCTION("""COMPUTED_VALUE"""),"167(R) ")</f>
        <v>167(R) </v>
      </c>
      <c r="Q365" s="4">
        <f>IFERROR(__xludf.DUMMYFUNCTION("""COMPUTED_VALUE"""),167.0)</f>
        <v>167</v>
      </c>
      <c r="R365" s="4">
        <f>IFERROR(__xludf.DUMMYFUNCTION("""COMPUTED_VALUE"""),167.0)</f>
        <v>167</v>
      </c>
      <c r="S365" s="4" t="str">
        <f>IFERROR(__xludf.DUMMYFUNCTION("""COMPUTED_VALUE"""),"Reel")</f>
        <v>Reel</v>
      </c>
      <c r="T365" s="4" t="str">
        <f>IFERROR(__xludf.DUMMYFUNCTION("""COMPUTED_VALUE"""),"XX21")</f>
        <v>XX21</v>
      </c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>
      <c r="A366" s="4" t="str">
        <f>IFERROR(__xludf.DUMMYFUNCTION("""COMPUTED_VALUE"""),"IC:   BUFFER NON-INVERT 1CH 3-STATE   [SN74LVC1G125DBVT] [SOT-23-5]")</f>
        <v>IC:   BUFFER NON-INVERT 1CH 3-STATE   [SN74LVC1G125DBVT] [SOT-23-5]</v>
      </c>
      <c r="B366" s="4" t="str">
        <f>IFERROR(__xludf.DUMMYFUNCTION("""COMPUTED_VALUE"""),"OEPS080029")</f>
        <v>OEPS080029</v>
      </c>
      <c r="C366" s="4" t="str">
        <f>IFERROR(__xludf.DUMMYFUNCTION("""COMPUTED_VALUE"""),"SMD")</f>
        <v>SMD</v>
      </c>
      <c r="D366" s="4" t="str">
        <f>IFERROR(__xludf.DUMMYFUNCTION("""COMPUTED_VALUE"""),"SN74LVC1G125DBVT")</f>
        <v>SN74LVC1G125DBVT</v>
      </c>
      <c r="E366" s="4">
        <f>IFERROR(__xludf.DUMMYFUNCTION("""COMPUTED_VALUE"""),3.0)</f>
        <v>3</v>
      </c>
      <c r="F366" s="4" t="str">
        <f>IFERROR(__xludf.DUMMYFUNCTION("""COMPUTED_VALUE"""),"DigiKey")</f>
        <v>DigiKey</v>
      </c>
      <c r="G366" s="4" t="str">
        <f>IFERROR(__xludf.DUMMYFUNCTION("""COMPUTED_VALUE"""),"296-26595-6-ND")</f>
        <v>296-26595-6-ND</v>
      </c>
      <c r="H366" s="4"/>
      <c r="I366" s="4"/>
      <c r="J366" s="4"/>
      <c r="K366" s="4"/>
      <c r="L366" s="4"/>
      <c r="M366" s="4"/>
      <c r="N366" s="9" t="str">
        <f>IFERROR(__xludf.DUMMYFUNCTION("""COMPUTED_VALUE"""),"OEPS NP1 048")</f>
        <v>OEPS NP1 048</v>
      </c>
      <c r="O366" s="4" t="str">
        <f>IFERROR(__xludf.DUMMYFUNCTION("""COMPUTED_VALUE"""),"ERJ-3EKF8662V")</f>
        <v>ERJ-3EKF8662V</v>
      </c>
      <c r="P366" s="4" t="str">
        <f>IFERROR(__xludf.DUMMYFUNCTION("""COMPUTED_VALUE"""),"19(R) 150(R) ")</f>
        <v>19(R) 150(R) </v>
      </c>
      <c r="Q366" s="4">
        <f>IFERROR(__xludf.DUMMYFUNCTION("""COMPUTED_VALUE"""),169.0)</f>
        <v>169</v>
      </c>
      <c r="R366" s="4">
        <f>IFERROR(__xludf.DUMMYFUNCTION("""COMPUTED_VALUE"""),19.0)</f>
        <v>19</v>
      </c>
      <c r="S366" s="4" t="str">
        <f>IFERROR(__xludf.DUMMYFUNCTION("""COMPUTED_VALUE"""),"Reel")</f>
        <v>Reel</v>
      </c>
      <c r="T366" s="4" t="str">
        <f>IFERROR(__xludf.DUMMYFUNCTION("""COMPUTED_VALUE"""),"0420")</f>
        <v>0420</v>
      </c>
      <c r="U366" s="4">
        <f>IFERROR(__xludf.DUMMYFUNCTION("""COMPUTED_VALUE"""),150.0)</f>
        <v>150</v>
      </c>
      <c r="V366" s="4" t="str">
        <f>IFERROR(__xludf.DUMMYFUNCTION("""COMPUTED_VALUE"""),"Reel")</f>
        <v>Reel</v>
      </c>
      <c r="W366" s="4" t="str">
        <f>IFERROR(__xludf.DUMMYFUNCTION("""COMPUTED_VALUE"""),"XX21")</f>
        <v>XX21</v>
      </c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>
      <c r="A367" s="4" t="str">
        <f>IFERROR(__xludf.DUMMYFUNCTION("""COMPUTED_VALUE"""),"IC:   BUFFER NON-INVERT 2CH   [SN74LVC2G34DCKR] [SC-70-6]")</f>
        <v>IC:   BUFFER NON-INVERT 2CH   [SN74LVC2G34DCKR] [SC-70-6]</v>
      </c>
      <c r="B367" s="4" t="str">
        <f>IFERROR(__xludf.DUMMYFUNCTION("""COMPUTED_VALUE"""),"OEPS080207")</f>
        <v>OEPS080207</v>
      </c>
      <c r="C367" s="4" t="str">
        <f>IFERROR(__xludf.DUMMYFUNCTION("""COMPUTED_VALUE"""),"SMD")</f>
        <v>SMD</v>
      </c>
      <c r="D367" s="4" t="str">
        <f>IFERROR(__xludf.DUMMYFUNCTION("""COMPUTED_VALUE"""),"SN74LVC2G34DCKR")</f>
        <v>SN74LVC2G34DCKR</v>
      </c>
      <c r="E367" s="4">
        <f>IFERROR(__xludf.DUMMYFUNCTION("""COMPUTED_VALUE"""),3.0)</f>
        <v>3</v>
      </c>
      <c r="F367" s="4" t="str">
        <f>IFERROR(__xludf.DUMMYFUNCTION("""COMPUTED_VALUE"""),"Digikey")</f>
        <v>Digikey</v>
      </c>
      <c r="G367" s="4" t="str">
        <f>IFERROR(__xludf.DUMMYFUNCTION("""COMPUTED_VALUE"""),"296-13497-6-ND")</f>
        <v>296-13497-6-ND</v>
      </c>
      <c r="H367" s="4"/>
      <c r="I367" s="4"/>
      <c r="J367" s="4"/>
      <c r="K367" s="4"/>
      <c r="L367" s="4"/>
      <c r="M367" s="4"/>
      <c r="N367" s="9" t="str">
        <f>IFERROR(__xludf.DUMMYFUNCTION("""COMPUTED_VALUE"""),"OEPS NP1 049")</f>
        <v>OEPS NP1 049</v>
      </c>
      <c r="O367" s="4" t="str">
        <f>IFERROR(__xludf.DUMMYFUNCTION("""COMPUTED_VALUE"""),"CRCW0603330RFKEAC")</f>
        <v>CRCW0603330RFKEAC</v>
      </c>
      <c r="P367" s="4" t="str">
        <f>IFERROR(__xludf.DUMMYFUNCTION("""COMPUTED_VALUE"""),"245(R) 28(R) ")</f>
        <v>245(R) 28(R) </v>
      </c>
      <c r="Q367" s="4">
        <f>IFERROR(__xludf.DUMMYFUNCTION("""COMPUTED_VALUE"""),273.0)</f>
        <v>273</v>
      </c>
      <c r="R367" s="4">
        <f>IFERROR(__xludf.DUMMYFUNCTION("""COMPUTED_VALUE"""),245.0)</f>
        <v>245</v>
      </c>
      <c r="S367" s="4" t="str">
        <f>IFERROR(__xludf.DUMMYFUNCTION("""COMPUTED_VALUE"""),"Reel")</f>
        <v>Reel</v>
      </c>
      <c r="T367" s="4" t="str">
        <f>IFERROR(__xludf.DUMMYFUNCTION("""COMPUTED_VALUE"""),"XX21")</f>
        <v>XX21</v>
      </c>
      <c r="U367" s="4">
        <f>IFERROR(__xludf.DUMMYFUNCTION("""COMPUTED_VALUE"""),28.0)</f>
        <v>28</v>
      </c>
      <c r="V367" s="4" t="str">
        <f>IFERROR(__xludf.DUMMYFUNCTION("""COMPUTED_VALUE"""),"Reel")</f>
        <v>Reel</v>
      </c>
      <c r="W367" s="4" t="str">
        <f>IFERROR(__xludf.DUMMYFUNCTION("""COMPUTED_VALUE"""),"0520")</f>
        <v>0520</v>
      </c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>
      <c r="A368" s="4" t="str">
        <f>IFERROR(__xludf.DUMMYFUNCTION("""COMPUTED_VALUE"""),"IC:   BUFFER NON-INVERT 4+4CH 3-STATE   [SN74ACT241DWR] [SOIC-20]")</f>
        <v>IC:   BUFFER NON-INVERT 4+4CH 3-STATE   [SN74ACT241DWR] [SOIC-20]</v>
      </c>
      <c r="B368" s="4" t="str">
        <f>IFERROR(__xludf.DUMMYFUNCTION("""COMPUTED_VALUE"""),"OEPS080022")</f>
        <v>OEPS080022</v>
      </c>
      <c r="C368" s="4" t="str">
        <f>IFERROR(__xludf.DUMMYFUNCTION("""COMPUTED_VALUE"""),"SMD")</f>
        <v>SMD</v>
      </c>
      <c r="D368" s="4" t="str">
        <f>IFERROR(__xludf.DUMMYFUNCTION("""COMPUTED_VALUE"""),"SN74ACT241DWR")</f>
        <v>SN74ACT241DWR</v>
      </c>
      <c r="E368" s="4">
        <f>IFERROR(__xludf.DUMMYFUNCTION("""COMPUTED_VALUE"""),3.0)</f>
        <v>3</v>
      </c>
      <c r="F368" s="4" t="str">
        <f>IFERROR(__xludf.DUMMYFUNCTION("""COMPUTED_VALUE"""),"DigiKey")</f>
        <v>DigiKey</v>
      </c>
      <c r="G368" s="4" t="str">
        <f>IFERROR(__xludf.DUMMYFUNCTION("""COMPUTED_VALUE"""),"296-SN74ACT241DWRDKR-ND")</f>
        <v>296-SN74ACT241DWRDKR-ND</v>
      </c>
      <c r="H368" s="4"/>
      <c r="I368" s="4"/>
      <c r="J368" s="4"/>
      <c r="K368" s="4"/>
      <c r="L368" s="4"/>
      <c r="M368" s="4"/>
      <c r="N368" s="9" t="str">
        <f>IFERROR(__xludf.DUMMYFUNCTION("""COMPUTED_VALUE"""),"OEPS NP1 050")</f>
        <v>OEPS NP1 050</v>
      </c>
      <c r="O368" s="4" t="str">
        <f>IFERROR(__xludf.DUMMYFUNCTION("""COMPUTED_VALUE"""),"ERJ-3EKF3602V")</f>
        <v>ERJ-3EKF3602V</v>
      </c>
      <c r="P368" s="4" t="str">
        <f>IFERROR(__xludf.DUMMYFUNCTION("""COMPUTED_VALUE"""),"21(R) 145(R) 1 ")</f>
        <v>21(R) 145(R) 1 </v>
      </c>
      <c r="Q368" s="4">
        <f>IFERROR(__xludf.DUMMYFUNCTION("""COMPUTED_VALUE"""),167.0)</f>
        <v>167</v>
      </c>
      <c r="R368" s="4">
        <f>IFERROR(__xludf.DUMMYFUNCTION("""COMPUTED_VALUE"""),21.0)</f>
        <v>21</v>
      </c>
      <c r="S368" s="4" t="str">
        <f>IFERROR(__xludf.DUMMYFUNCTION("""COMPUTED_VALUE"""),"Reel")</f>
        <v>Reel</v>
      </c>
      <c r="T368" s="4" t="str">
        <f>IFERROR(__xludf.DUMMYFUNCTION("""COMPUTED_VALUE"""),"0520")</f>
        <v>0520</v>
      </c>
      <c r="U368" s="4">
        <f>IFERROR(__xludf.DUMMYFUNCTION("""COMPUTED_VALUE"""),145.0)</f>
        <v>145</v>
      </c>
      <c r="V368" s="4" t="str">
        <f>IFERROR(__xludf.DUMMYFUNCTION("""COMPUTED_VALUE"""),"Reel")</f>
        <v>Reel</v>
      </c>
      <c r="W368" s="4" t="str">
        <f>IFERROR(__xludf.DUMMYFUNCTION("""COMPUTED_VALUE"""),"XX21")</f>
        <v>XX21</v>
      </c>
      <c r="X368" s="4">
        <f>IFERROR(__xludf.DUMMYFUNCTION("""COMPUTED_VALUE"""),1.0)</f>
        <v>1</v>
      </c>
      <c r="Y368" s="4" t="str">
        <f>IFERROR(__xludf.DUMMYFUNCTION("""COMPUTED_VALUE"""),"Bag")</f>
        <v>Bag</v>
      </c>
      <c r="Z368" s="4" t="str">
        <f>IFERROR(__xludf.DUMMYFUNCTION("""COMPUTED_VALUE"""),"XXXX")</f>
        <v>XXXX</v>
      </c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>
      <c r="A369" s="4" t="str">
        <f>IFERROR(__xludf.DUMMYFUNCTION("""COMPUTED_VALUE"""),"IC:   BUFFER NON-INVERT 4CH 3-STATE   [74HCT125D,653] [SOIC-14]")</f>
        <v>IC:   BUFFER NON-INVERT 4CH 3-STATE   [74HCT125D,653] [SOIC-14]</v>
      </c>
      <c r="B369" s="4" t="str">
        <f>IFERROR(__xludf.DUMMYFUNCTION("""COMPUTED_VALUE"""),"OEPS080024")</f>
        <v>OEPS080024</v>
      </c>
      <c r="C369" s="4" t="str">
        <f>IFERROR(__xludf.DUMMYFUNCTION("""COMPUTED_VALUE"""),"SMD")</f>
        <v>SMD</v>
      </c>
      <c r="D369" s="4" t="str">
        <f>IFERROR(__xludf.DUMMYFUNCTION("""COMPUTED_VALUE"""),"74HCT125D,653")</f>
        <v>74HCT125D,653</v>
      </c>
      <c r="E369" s="4">
        <f>IFERROR(__xludf.DUMMYFUNCTION("""COMPUTED_VALUE"""),3.0)</f>
        <v>3</v>
      </c>
      <c r="F369" s="4" t="str">
        <f>IFERROR(__xludf.DUMMYFUNCTION("""COMPUTED_VALUE"""),"DigiKey")</f>
        <v>DigiKey</v>
      </c>
      <c r="G369" s="4" t="str">
        <f>IFERROR(__xludf.DUMMYFUNCTION("""COMPUTED_VALUE"""),"1727-2834-6-ND")</f>
        <v>1727-2834-6-ND</v>
      </c>
      <c r="H369" s="4"/>
      <c r="I369" s="4"/>
      <c r="J369" s="4"/>
      <c r="K369" s="4"/>
      <c r="L369" s="4"/>
      <c r="M369" s="4"/>
      <c r="N369" s="9" t="str">
        <f>IFERROR(__xludf.DUMMYFUNCTION("""COMPUTED_VALUE"""),"OEPS NP1 051")</f>
        <v>OEPS NP1 051</v>
      </c>
      <c r="O369" s="4" t="str">
        <f>IFERROR(__xludf.DUMMYFUNCTION("""COMPUTED_VALUE"""),"RC0603FR-07100KL")</f>
        <v>RC0603FR-07100KL</v>
      </c>
      <c r="P369" s="4" t="str">
        <f>IFERROR(__xludf.DUMMYFUNCTION("""COMPUTED_VALUE"""),"11(R) 1805(R) 1118(R) ")</f>
        <v>11(R) 1805(R) 1118(R) </v>
      </c>
      <c r="Q369" s="4">
        <f>IFERROR(__xludf.DUMMYFUNCTION("""COMPUTED_VALUE"""),2934.0)</f>
        <v>2934</v>
      </c>
      <c r="R369" s="4">
        <f>IFERROR(__xludf.DUMMYFUNCTION("""COMPUTED_VALUE"""),11.0)</f>
        <v>11</v>
      </c>
      <c r="S369" s="4" t="str">
        <f>IFERROR(__xludf.DUMMYFUNCTION("""COMPUTED_VALUE"""),"Reel")</f>
        <v>Reel</v>
      </c>
      <c r="T369" s="4" t="str">
        <f>IFERROR(__xludf.DUMMYFUNCTION("""COMPUTED_VALUE"""),"XX21")</f>
        <v>XX21</v>
      </c>
      <c r="U369" s="4">
        <f>IFERROR(__xludf.DUMMYFUNCTION("""COMPUTED_VALUE"""),1805.0)</f>
        <v>1805</v>
      </c>
      <c r="V369" s="4" t="str">
        <f>IFERROR(__xludf.DUMMYFUNCTION("""COMPUTED_VALUE"""),"Reel")</f>
        <v>Reel</v>
      </c>
      <c r="W369" s="4" t="str">
        <f>IFERROR(__xludf.DUMMYFUNCTION("""COMPUTED_VALUE"""),"XX21")</f>
        <v>XX21</v>
      </c>
      <c r="X369" s="4">
        <f>IFERROR(__xludf.DUMMYFUNCTION("""COMPUTED_VALUE"""),1118.0)</f>
        <v>1118</v>
      </c>
      <c r="Y369" s="4" t="str">
        <f>IFERROR(__xludf.DUMMYFUNCTION("""COMPUTED_VALUE"""),"Reel")</f>
        <v>Reel</v>
      </c>
      <c r="Z369" s="4" t="str">
        <f>IFERROR(__xludf.DUMMYFUNCTION("""COMPUTED_VALUE"""),"0721")</f>
        <v>0721</v>
      </c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>
      <c r="A370" s="4" t="str">
        <f>IFERROR(__xludf.DUMMYFUNCTION("""COMPUTED_VALUE"""),"IC:   BUFFER NON-INVERT 4CH 3-STATE   [74LVC126AD,118] [SOIC-14]")</f>
        <v>IC:   BUFFER NON-INVERT 4CH 3-STATE   [74LVC126AD,118] [SOIC-14]</v>
      </c>
      <c r="B370" s="4" t="str">
        <f>IFERROR(__xludf.DUMMYFUNCTION("""COMPUTED_VALUE"""),"OEPS080027")</f>
        <v>OEPS080027</v>
      </c>
      <c r="C370" s="4" t="str">
        <f>IFERROR(__xludf.DUMMYFUNCTION("""COMPUTED_VALUE"""),"SMD")</f>
        <v>SMD</v>
      </c>
      <c r="D370" s="4" t="str">
        <f>IFERROR(__xludf.DUMMYFUNCTION("""COMPUTED_VALUE"""),"74LVC126AD,118")</f>
        <v>74LVC126AD,118</v>
      </c>
      <c r="E370" s="4">
        <f>IFERROR(__xludf.DUMMYFUNCTION("""COMPUTED_VALUE"""),3.0)</f>
        <v>3</v>
      </c>
      <c r="F370" s="4" t="str">
        <f>IFERROR(__xludf.DUMMYFUNCTION("""COMPUTED_VALUE"""),"DigiKey")</f>
        <v>DigiKey</v>
      </c>
      <c r="G370" s="4" t="str">
        <f>IFERROR(__xludf.DUMMYFUNCTION("""COMPUTED_VALUE"""),"1727-6365-6-ND")</f>
        <v>1727-6365-6-ND</v>
      </c>
      <c r="H370" s="4"/>
      <c r="I370" s="4"/>
      <c r="J370" s="4"/>
      <c r="K370" s="4"/>
      <c r="L370" s="4"/>
      <c r="M370" s="4"/>
      <c r="N370" s="9" t="str">
        <f>IFERROR(__xludf.DUMMYFUNCTION("""COMPUTED_VALUE"""),"OEPS NP1 052")</f>
        <v>OEPS NP1 052</v>
      </c>
      <c r="O370" s="4" t="str">
        <f>IFERROR(__xludf.DUMMYFUNCTION("""COMPUTED_VALUE"""),"ERJ-3EKF10R0V")</f>
        <v>ERJ-3EKF10R0V</v>
      </c>
      <c r="P370" s="4" t="str">
        <f>IFERROR(__xludf.DUMMYFUNCTION("""COMPUTED_VALUE"""),"10(R) 1245(R) ")</f>
        <v>10(R) 1245(R) </v>
      </c>
      <c r="Q370" s="4">
        <f>IFERROR(__xludf.DUMMYFUNCTION("""COMPUTED_VALUE"""),1255.0)</f>
        <v>1255</v>
      </c>
      <c r="R370" s="4">
        <f>IFERROR(__xludf.DUMMYFUNCTION("""COMPUTED_VALUE"""),10.0)</f>
        <v>10</v>
      </c>
      <c r="S370" s="4" t="str">
        <f>IFERROR(__xludf.DUMMYFUNCTION("""COMPUTED_VALUE"""),"Reel")</f>
        <v>Reel</v>
      </c>
      <c r="T370" s="4" t="str">
        <f>IFERROR(__xludf.DUMMYFUNCTION("""COMPUTED_VALUE"""),"0920")</f>
        <v>0920</v>
      </c>
      <c r="U370" s="4">
        <f>IFERROR(__xludf.DUMMYFUNCTION("""COMPUTED_VALUE"""),1245.0)</f>
        <v>1245</v>
      </c>
      <c r="V370" s="4" t="str">
        <f>IFERROR(__xludf.DUMMYFUNCTION("""COMPUTED_VALUE"""),"Reel")</f>
        <v>Reel</v>
      </c>
      <c r="W370" s="4" t="str">
        <f>IFERROR(__xludf.DUMMYFUNCTION("""COMPUTED_VALUE"""),"XX21")</f>
        <v>XX21</v>
      </c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>
      <c r="A371" s="4" t="str">
        <f>IFERROR(__xludf.DUMMYFUNCTION("""COMPUTED_VALUE"""),"IC:   BUFFER NON-INVERT 6CH    [SN74LVC07APW] [14-TSSOP]")</f>
        <v>IC:   BUFFER NON-INVERT 6CH    [SN74LVC07APW] [14-TSSOP]</v>
      </c>
      <c r="B371" s="4" t="str">
        <f>IFERROR(__xludf.DUMMYFUNCTION("""COMPUTED_VALUE"""),"OEPS080059")</f>
        <v>OEPS080059</v>
      </c>
      <c r="C371" s="4" t="str">
        <f>IFERROR(__xludf.DUMMYFUNCTION("""COMPUTED_VALUE"""),"SMD")</f>
        <v>SMD</v>
      </c>
      <c r="D371" s="4" t="str">
        <f>IFERROR(__xludf.DUMMYFUNCTION("""COMPUTED_VALUE"""),"SN74LVC07APW")</f>
        <v>SN74LVC07APW</v>
      </c>
      <c r="E371" s="4">
        <f>IFERROR(__xludf.DUMMYFUNCTION("""COMPUTED_VALUE"""),2.0)</f>
        <v>2</v>
      </c>
      <c r="F371" s="4" t="str">
        <f>IFERROR(__xludf.DUMMYFUNCTION("""COMPUTED_VALUE"""),"DigiKey")</f>
        <v>DigiKey</v>
      </c>
      <c r="G371" s="4" t="str">
        <f>IFERROR(__xludf.DUMMYFUNCTION("""COMPUTED_VALUE"""),"296-26575-5-ND")</f>
        <v>296-26575-5-ND</v>
      </c>
      <c r="H371" s="4"/>
      <c r="I371" s="4"/>
      <c r="J371" s="4"/>
      <c r="K371" s="4"/>
      <c r="L371" s="4"/>
      <c r="M371" s="4"/>
      <c r="N371" s="9" t="str">
        <f>IFERROR(__xludf.DUMMYFUNCTION("""COMPUTED_VALUE"""),"OEPS NP1 053")</f>
        <v>OEPS NP1 053</v>
      </c>
      <c r="O371" s="4" t="str">
        <f>IFERROR(__xludf.DUMMYFUNCTION("""COMPUTED_VALUE"""),"RC0603FR-0752K3L")</f>
        <v>RC0603FR-0752K3L</v>
      </c>
      <c r="P371" s="4" t="str">
        <f>IFERROR(__xludf.DUMMYFUNCTION("""COMPUTED_VALUE"""),"13(R) 147(R) ")</f>
        <v>13(R) 147(R) </v>
      </c>
      <c r="Q371" s="4">
        <f>IFERROR(__xludf.DUMMYFUNCTION("""COMPUTED_VALUE"""),160.0)</f>
        <v>160</v>
      </c>
      <c r="R371" s="4">
        <f>IFERROR(__xludf.DUMMYFUNCTION("""COMPUTED_VALUE"""),13.0)</f>
        <v>13</v>
      </c>
      <c r="S371" s="4" t="str">
        <f>IFERROR(__xludf.DUMMYFUNCTION("""COMPUTED_VALUE"""),"Reel")</f>
        <v>Reel</v>
      </c>
      <c r="T371" s="4" t="str">
        <f>IFERROR(__xludf.DUMMYFUNCTION("""COMPUTED_VALUE"""),"0520")</f>
        <v>0520</v>
      </c>
      <c r="U371" s="4">
        <f>IFERROR(__xludf.DUMMYFUNCTION("""COMPUTED_VALUE"""),147.0)</f>
        <v>147</v>
      </c>
      <c r="V371" s="4" t="str">
        <f>IFERROR(__xludf.DUMMYFUNCTION("""COMPUTED_VALUE"""),"Reel")</f>
        <v>Reel</v>
      </c>
      <c r="W371" s="4" t="str">
        <f>IFERROR(__xludf.DUMMYFUNCTION("""COMPUTED_VALUE"""),"XX21")</f>
        <v>XX21</v>
      </c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>
      <c r="A372" s="4" t="str">
        <f>IFERROR(__xludf.DUMMYFUNCTION("""COMPUTED_VALUE"""),"IC:   CAPACITIVE TOUCH SENSOR 6CH   [CAP1296-1-AIA-TR] [10-DFN-EP]")</f>
        <v>IC:   CAPACITIVE TOUCH SENSOR 6CH   [CAP1296-1-AIA-TR] [10-DFN-EP]</v>
      </c>
      <c r="B372" s="4" t="str">
        <f>IFERROR(__xludf.DUMMYFUNCTION("""COMPUTED_VALUE"""),"OEPS080233")</f>
        <v>OEPS080233</v>
      </c>
      <c r="C372" s="4" t="str">
        <f>IFERROR(__xludf.DUMMYFUNCTION("""COMPUTED_VALUE"""),"SMD")</f>
        <v>SMD</v>
      </c>
      <c r="D372" s="4" t="str">
        <f>IFERROR(__xludf.DUMMYFUNCTION("""COMPUTED_VALUE"""),"CAP1296-1-AIA-TR")</f>
        <v>CAP1296-1-AIA-TR</v>
      </c>
      <c r="E372" s="4">
        <f>IFERROR(__xludf.DUMMYFUNCTION("""COMPUTED_VALUE"""),3.0)</f>
        <v>3</v>
      </c>
      <c r="F372" s="4" t="str">
        <f>IFERROR(__xludf.DUMMYFUNCTION("""COMPUTED_VALUE"""),"DigiKey")</f>
        <v>DigiKey</v>
      </c>
      <c r="G372" s="4" t="str">
        <f>IFERROR(__xludf.DUMMYFUNCTION("""COMPUTED_VALUE"""),"CAP1296-1-AIA-TRDKR-ND")</f>
        <v>CAP1296-1-AIA-TRDKR-ND</v>
      </c>
      <c r="H372" s="4"/>
      <c r="I372" s="4"/>
      <c r="J372" s="4"/>
      <c r="K372" s="4"/>
      <c r="L372" s="4"/>
      <c r="M372" s="4"/>
      <c r="N372" s="9" t="str">
        <f>IFERROR(__xludf.DUMMYFUNCTION("""COMPUTED_VALUE"""),"OEPS NP1 054")</f>
        <v>OEPS NP1 054</v>
      </c>
      <c r="O372" s="4" t="str">
        <f>IFERROR(__xludf.DUMMYFUNCTION("""COMPUTED_VALUE"""),"RC0603FR-0710KL")</f>
        <v>RC0603FR-0710KL</v>
      </c>
      <c r="P372" s="4" t="str">
        <f>IFERROR(__xludf.DUMMYFUNCTION("""COMPUTED_VALUE"""),"655(R) ")</f>
        <v>655(R) </v>
      </c>
      <c r="Q372" s="4">
        <f>IFERROR(__xludf.DUMMYFUNCTION("""COMPUTED_VALUE"""),655.0)</f>
        <v>655</v>
      </c>
      <c r="R372" s="4">
        <f>IFERROR(__xludf.DUMMYFUNCTION("""COMPUTED_VALUE"""),655.0)</f>
        <v>655</v>
      </c>
      <c r="S372" s="4" t="str">
        <f>IFERROR(__xludf.DUMMYFUNCTION("""COMPUTED_VALUE"""),"Reel")</f>
        <v>Reel</v>
      </c>
      <c r="T372" s="4" t="str">
        <f>IFERROR(__xludf.DUMMYFUNCTION("""COMPUTED_VALUE"""),"XX21")</f>
        <v>XX21</v>
      </c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>
      <c r="A373" s="4" t="str">
        <f>IFERROR(__xludf.DUMMYFUNCTION("""COMPUTED_VALUE"""),"IC:   CHARGE PUMP Dual-Rail   [LTC3265EDHC#TRPBF] [18-DFN (5x3)]")</f>
        <v>IC:   CHARGE PUMP Dual-Rail   [LTC3265EDHC#TRPBF] [18-DFN (5x3)]</v>
      </c>
      <c r="B373" s="4" t="str">
        <f>IFERROR(__xludf.DUMMYFUNCTION("""COMPUTED_VALUE"""),"OEPS080103")</f>
        <v>OEPS080103</v>
      </c>
      <c r="C373" s="4" t="str">
        <f>IFERROR(__xludf.DUMMYFUNCTION("""COMPUTED_VALUE"""),"SMD")</f>
        <v>SMD</v>
      </c>
      <c r="D373" s="4" t="str">
        <f>IFERROR(__xludf.DUMMYFUNCTION("""COMPUTED_VALUE"""),"LTC3265EDHC#TRPBF")</f>
        <v>LTC3265EDHC#TRPBF</v>
      </c>
      <c r="E373" s="4">
        <f>IFERROR(__xludf.DUMMYFUNCTION("""COMPUTED_VALUE"""),0.0)</f>
        <v>0</v>
      </c>
      <c r="F373" s="4" t="str">
        <f>IFERROR(__xludf.DUMMYFUNCTION("""COMPUTED_VALUE"""),"DigiKey")</f>
        <v>DigiKey</v>
      </c>
      <c r="G373" s="4" t="str">
        <f>IFERROR(__xludf.DUMMYFUNCTION("""COMPUTED_VALUE"""),"505-LTC3265EDHC#TRPBFDKR-ND")</f>
        <v>505-LTC3265EDHC#TRPBFDKR-ND</v>
      </c>
      <c r="H373" s="4"/>
      <c r="I373" s="4"/>
      <c r="J373" s="4"/>
      <c r="K373" s="4"/>
      <c r="L373" s="4"/>
      <c r="M373" s="4"/>
      <c r="N373" s="9" t="str">
        <f>IFERROR(__xludf.DUMMYFUNCTION("""COMPUTED_VALUE"""),"OEPS NP1 055")</f>
        <v>OEPS NP1 055</v>
      </c>
      <c r="O373" s="4" t="str">
        <f>IFERROR(__xludf.DUMMYFUNCTION("""COMPUTED_VALUE"""),"AC0603FR-13100RL")</f>
        <v>AC0603FR-13100RL</v>
      </c>
      <c r="P373" s="4" t="str">
        <f>IFERROR(__xludf.DUMMYFUNCTION("""COMPUTED_VALUE"""),"146(R) 11(R) ")</f>
        <v>146(R) 11(R) </v>
      </c>
      <c r="Q373" s="4">
        <f>IFERROR(__xludf.DUMMYFUNCTION("""COMPUTED_VALUE"""),157.0)</f>
        <v>157</v>
      </c>
      <c r="R373" s="4">
        <f>IFERROR(__xludf.DUMMYFUNCTION("""COMPUTED_VALUE"""),146.0)</f>
        <v>146</v>
      </c>
      <c r="S373" s="4" t="str">
        <f>IFERROR(__xludf.DUMMYFUNCTION("""COMPUTED_VALUE"""),"Reel")</f>
        <v>Reel</v>
      </c>
      <c r="T373" s="4" t="str">
        <f>IFERROR(__xludf.DUMMYFUNCTION("""COMPUTED_VALUE"""),"XX21")</f>
        <v>XX21</v>
      </c>
      <c r="U373" s="4">
        <f>IFERROR(__xludf.DUMMYFUNCTION("""COMPUTED_VALUE"""),11.0)</f>
        <v>11</v>
      </c>
      <c r="V373" s="4" t="str">
        <f>IFERROR(__xludf.DUMMYFUNCTION("""COMPUTED_VALUE"""),"Reel")</f>
        <v>Reel</v>
      </c>
      <c r="W373" s="4" t="str">
        <f>IFERROR(__xludf.DUMMYFUNCTION("""COMPUTED_VALUE"""),"0520")</f>
        <v>0520</v>
      </c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>
      <c r="A374" s="4" t="str">
        <f>IFERROR(__xludf.DUMMYFUNCTION("""COMPUTED_VALUE"""),"IC:   Common mode filter with ESD protection 2 CHAN   [ECMF2-40A100N6] [8-SOIC]")</f>
        <v>IC:   Common mode filter with ESD protection 2 CHAN   [ECMF2-40A100N6] [8-SOIC]</v>
      </c>
      <c r="B374" s="4" t="str">
        <f>IFERROR(__xludf.DUMMYFUNCTION("""COMPUTED_VALUE"""),"OEPS080194")</f>
        <v>OEPS080194</v>
      </c>
      <c r="C374" s="4" t="str">
        <f>IFERROR(__xludf.DUMMYFUNCTION("""COMPUTED_VALUE"""),"SMD")</f>
        <v>SMD</v>
      </c>
      <c r="D374" s="4" t="str">
        <f>IFERROR(__xludf.DUMMYFUNCTION("""COMPUTED_VALUE"""),"ECMF2-40A100N6")</f>
        <v>ECMF2-40A100N6</v>
      </c>
      <c r="E374" s="4">
        <f>IFERROR(__xludf.DUMMYFUNCTION("""COMPUTED_VALUE"""),5.0)</f>
        <v>5</v>
      </c>
      <c r="F374" s="4" t="str">
        <f>IFERROR(__xludf.DUMMYFUNCTION("""COMPUTED_VALUE"""),"DigiKey")</f>
        <v>DigiKey</v>
      </c>
      <c r="G374" s="4" t="str">
        <f>IFERROR(__xludf.DUMMYFUNCTION("""COMPUTED_VALUE"""),"497-ECMF2-40A100N6DKR-ND")</f>
        <v>497-ECMF2-40A100N6DKR-ND</v>
      </c>
      <c r="H374" s="4"/>
      <c r="I374" s="4"/>
      <c r="J374" s="4"/>
      <c r="K374" s="4"/>
      <c r="L374" s="4"/>
      <c r="M374" s="4"/>
      <c r="N374" s="9" t="str">
        <f>IFERROR(__xludf.DUMMYFUNCTION("""COMPUTED_VALUE"""),"OEPS NP1 056")</f>
        <v>OEPS NP1 056</v>
      </c>
      <c r="O374" s="4" t="str">
        <f>IFERROR(__xludf.DUMMYFUNCTION("""COMPUTED_VALUE"""),"AC0603FR-1318KL")</f>
        <v>AC0603FR-1318KL</v>
      </c>
      <c r="P374" s="4" t="str">
        <f>IFERROR(__xludf.DUMMYFUNCTION("""COMPUTED_VALUE"""),"520(R) ")</f>
        <v>520(R) </v>
      </c>
      <c r="Q374" s="4">
        <f>IFERROR(__xludf.DUMMYFUNCTION("""COMPUTED_VALUE"""),520.0)</f>
        <v>520</v>
      </c>
      <c r="R374" s="4">
        <f>IFERROR(__xludf.DUMMYFUNCTION("""COMPUTED_VALUE"""),520.0)</f>
        <v>520</v>
      </c>
      <c r="S374" s="4" t="str">
        <f>IFERROR(__xludf.DUMMYFUNCTION("""COMPUTED_VALUE"""),"Reel")</f>
        <v>Reel</v>
      </c>
      <c r="T374" s="4" t="str">
        <f>IFERROR(__xludf.DUMMYFUNCTION("""COMPUTED_VALUE"""),"XX21")</f>
        <v>XX21</v>
      </c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>
      <c r="A375" s="4" t="str">
        <f>IFERROR(__xludf.DUMMYFUNCTION("""COMPUTED_VALUE"""),"IC:   Common mode filter with ESD protection 4 CHAN   [ECMF4-40A100N10] [8-SOIC]")</f>
        <v>IC:   Common mode filter with ESD protection 4 CHAN   [ECMF4-40A100N10] [8-SOIC]</v>
      </c>
      <c r="B375" s="4" t="str">
        <f>IFERROR(__xludf.DUMMYFUNCTION("""COMPUTED_VALUE"""),"OEPS080195")</f>
        <v>OEPS080195</v>
      </c>
      <c r="C375" s="4" t="str">
        <f>IFERROR(__xludf.DUMMYFUNCTION("""COMPUTED_VALUE"""),"SMD")</f>
        <v>SMD</v>
      </c>
      <c r="D375" s="4" t="str">
        <f>IFERROR(__xludf.DUMMYFUNCTION("""COMPUTED_VALUE"""),"ECMF4-40A100N10")</f>
        <v>ECMF4-40A100N10</v>
      </c>
      <c r="E375" s="4">
        <f>IFERROR(__xludf.DUMMYFUNCTION("""COMPUTED_VALUE"""),5.0)</f>
        <v>5</v>
      </c>
      <c r="F375" s="4" t="str">
        <f>IFERROR(__xludf.DUMMYFUNCTION("""COMPUTED_VALUE"""),"DigiKey")</f>
        <v>DigiKey</v>
      </c>
      <c r="G375" s="4" t="str">
        <f>IFERROR(__xludf.DUMMYFUNCTION("""COMPUTED_VALUE"""),"497-ECMF4-40A100N10DKR-ND")</f>
        <v>497-ECMF4-40A100N10DKR-ND</v>
      </c>
      <c r="H375" s="4"/>
      <c r="I375" s="4"/>
      <c r="J375" s="4"/>
      <c r="K375" s="4"/>
      <c r="L375" s="4"/>
      <c r="M375" s="4"/>
      <c r="N375" s="9" t="str">
        <f>IFERROR(__xludf.DUMMYFUNCTION("""COMPUTED_VALUE"""),"OEPS NP1 057")</f>
        <v>OEPS NP1 057</v>
      </c>
      <c r="O375" s="4" t="str">
        <f>IFERROR(__xludf.DUMMYFUNCTION("""COMPUTED_VALUE"""),"RC0603FR-074K7L")</f>
        <v>RC0603FR-074K7L</v>
      </c>
      <c r="P375" s="4" t="str">
        <f>IFERROR(__xludf.DUMMYFUNCTION("""COMPUTED_VALUE"""),"251(R) 998(R) 2575(R) ")</f>
        <v>251(R) 998(R) 2575(R) </v>
      </c>
      <c r="Q375" s="4">
        <f>IFERROR(__xludf.DUMMYFUNCTION("""COMPUTED_VALUE"""),3824.0)</f>
        <v>3824</v>
      </c>
      <c r="R375" s="4">
        <f>IFERROR(__xludf.DUMMYFUNCTION("""COMPUTED_VALUE"""),251.0)</f>
        <v>251</v>
      </c>
      <c r="S375" s="4" t="str">
        <f>IFERROR(__xludf.DUMMYFUNCTION("""COMPUTED_VALUE"""),"Reel")</f>
        <v>Reel</v>
      </c>
      <c r="T375" s="4" t="str">
        <f>IFERROR(__xludf.DUMMYFUNCTION("""COMPUTED_VALUE"""),"0920")</f>
        <v>0920</v>
      </c>
      <c r="U375" s="4">
        <f>IFERROR(__xludf.DUMMYFUNCTION("""COMPUTED_VALUE"""),998.0)</f>
        <v>998</v>
      </c>
      <c r="V375" s="4" t="str">
        <f>IFERROR(__xludf.DUMMYFUNCTION("""COMPUTED_VALUE"""),"Reel")</f>
        <v>Reel</v>
      </c>
      <c r="W375" s="4" t="str">
        <f>IFERROR(__xludf.DUMMYFUNCTION("""COMPUTED_VALUE"""),"XX21")</f>
        <v>XX21</v>
      </c>
      <c r="X375" s="4">
        <f>IFERROR(__xludf.DUMMYFUNCTION("""COMPUTED_VALUE"""),2575.0)</f>
        <v>2575</v>
      </c>
      <c r="Y375" s="4" t="str">
        <f>IFERROR(__xludf.DUMMYFUNCTION("""COMPUTED_VALUE"""),"Reel")</f>
        <v>Reel</v>
      </c>
      <c r="Z375" s="4" t="str">
        <f>IFERROR(__xludf.DUMMYFUNCTION("""COMPUTED_VALUE"""),"0721")</f>
        <v>0721</v>
      </c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>
      <c r="A376" s="4" t="str">
        <f>IFERROR(__xludf.DUMMYFUNCTION("""COMPUTED_VALUE"""),"IC:   COMPARATOR 1 GP   [ADCMP600BRJZ-R2] [SOT23-5]")</f>
        <v>IC:   COMPARATOR 1 GP   [ADCMP600BRJZ-R2] [SOT23-5]</v>
      </c>
      <c r="B376" s="4" t="str">
        <f>IFERROR(__xludf.DUMMYFUNCTION("""COMPUTED_VALUE"""),"OEPS080208")</f>
        <v>OEPS080208</v>
      </c>
      <c r="C376" s="4" t="str">
        <f>IFERROR(__xludf.DUMMYFUNCTION("""COMPUTED_VALUE"""),"SMD")</f>
        <v>SMD</v>
      </c>
      <c r="D376" s="4" t="str">
        <f>IFERROR(__xludf.DUMMYFUNCTION("""COMPUTED_VALUE"""),"ADCMP600BRJZ-R2")</f>
        <v>ADCMP600BRJZ-R2</v>
      </c>
      <c r="E376" s="4">
        <f>IFERROR(__xludf.DUMMYFUNCTION("""COMPUTED_VALUE"""),1.0)</f>
        <v>1</v>
      </c>
      <c r="F376" s="4" t="str">
        <f>IFERROR(__xludf.DUMMYFUNCTION("""COMPUTED_VALUE"""),"Digikey")</f>
        <v>Digikey</v>
      </c>
      <c r="G376" s="4" t="str">
        <f>IFERROR(__xludf.DUMMYFUNCTION("""COMPUTED_VALUE"""),"505-ADCMP600BRJZ-R2DKR-ND")</f>
        <v>505-ADCMP600BRJZ-R2DKR-ND</v>
      </c>
      <c r="H376" s="4"/>
      <c r="I376" s="4"/>
      <c r="J376" s="4"/>
      <c r="K376" s="4"/>
      <c r="L376" s="4"/>
      <c r="M376" s="4"/>
      <c r="N376" s="9" t="str">
        <f>IFERROR(__xludf.DUMMYFUNCTION("""COMPUTED_VALUE"""),"OEPS NP1 059")</f>
        <v>OEPS NP1 059</v>
      </c>
      <c r="O376" s="4" t="str">
        <f>IFERROR(__xludf.DUMMYFUNCTION("""COMPUTED_VALUE"""),"67996-206HLF")</f>
        <v>67996-206HLF</v>
      </c>
      <c r="P376" s="4" t="str">
        <f>IFERROR(__xludf.DUMMYFUNCTION("""COMPUTED_VALUE"""),"1 ")</f>
        <v>1 </v>
      </c>
      <c r="Q376" s="4">
        <f>IFERROR(__xludf.DUMMYFUNCTION("""COMPUTED_VALUE"""),1.0)</f>
        <v>1</v>
      </c>
      <c r="R376" s="4">
        <f>IFERROR(__xludf.DUMMYFUNCTION("""COMPUTED_VALUE"""),1.0)</f>
        <v>1</v>
      </c>
      <c r="S376" s="4" t="str">
        <f>IFERROR(__xludf.DUMMYFUNCTION("""COMPUTED_VALUE"""),"Bag")</f>
        <v>Bag</v>
      </c>
      <c r="T376" s="4" t="str">
        <f>IFERROR(__xludf.DUMMYFUNCTION("""COMPUTED_VALUE"""),"0920")</f>
        <v>0920</v>
      </c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>
      <c r="A377" s="4" t="str">
        <f>IFERROR(__xludf.DUMMYFUNCTION("""COMPUTED_VALUE"""),"IC:   CURRENT MONITOR 2%   [ZXCT1082QE5TA] [SOT-25]")</f>
        <v>IC:   CURRENT MONITOR 2%   [ZXCT1082QE5TA] [SOT-25]</v>
      </c>
      <c r="B377" s="4" t="str">
        <f>IFERROR(__xludf.DUMMYFUNCTION("""COMPUTED_VALUE"""),"OEPS080109")</f>
        <v>OEPS080109</v>
      </c>
      <c r="C377" s="4" t="str">
        <f>IFERROR(__xludf.DUMMYFUNCTION("""COMPUTED_VALUE"""),"SMD")</f>
        <v>SMD</v>
      </c>
      <c r="D377" s="4" t="str">
        <f>IFERROR(__xludf.DUMMYFUNCTION("""COMPUTED_VALUE"""),"ZXCT1082QE5TA")</f>
        <v>ZXCT1082QE5TA</v>
      </c>
      <c r="E377" s="4">
        <f>IFERROR(__xludf.DUMMYFUNCTION("""COMPUTED_VALUE"""),5.0)</f>
        <v>5</v>
      </c>
      <c r="F377" s="4" t="str">
        <f>IFERROR(__xludf.DUMMYFUNCTION("""COMPUTED_VALUE"""),"DigiKey")</f>
        <v>DigiKey</v>
      </c>
      <c r="G377" s="4" t="str">
        <f>IFERROR(__xludf.DUMMYFUNCTION("""COMPUTED_VALUE"""),"31-ZXCT1082QE5TADKR-ND")</f>
        <v>31-ZXCT1082QE5TADKR-ND</v>
      </c>
      <c r="H377" s="4"/>
      <c r="I377" s="4"/>
      <c r="J377" s="4"/>
      <c r="K377" s="4"/>
      <c r="L377" s="4"/>
      <c r="M377" s="4"/>
      <c r="N377" s="9" t="str">
        <f>IFERROR(__xludf.DUMMYFUNCTION("""COMPUTED_VALUE"""),"OEPS NP1 060")</f>
        <v>OEPS NP1 060</v>
      </c>
      <c r="O377" s="4" t="str">
        <f>IFERROR(__xludf.DUMMYFUNCTION("""COMPUTED_VALUE"""),"B3U-1000P")</f>
        <v>B3U-1000P</v>
      </c>
      <c r="P377" s="4" t="str">
        <f>IFERROR(__xludf.DUMMYFUNCTION("""COMPUTED_VALUE"""),"8(Tp) ")</f>
        <v>8(Tp) </v>
      </c>
      <c r="Q377" s="4">
        <f>IFERROR(__xludf.DUMMYFUNCTION("""COMPUTED_VALUE"""),8.0)</f>
        <v>8</v>
      </c>
      <c r="R377" s="4">
        <f>IFERROR(__xludf.DUMMYFUNCTION("""COMPUTED_VALUE"""),8.0)</f>
        <v>8</v>
      </c>
      <c r="S377" s="4" t="str">
        <f>IFERROR(__xludf.DUMMYFUNCTION("""COMPUTED_VALUE"""),"Tape")</f>
        <v>Tape</v>
      </c>
      <c r="T377" s="4" t="str">
        <f>IFERROR(__xludf.DUMMYFUNCTION("""COMPUTED_VALUE"""),"XXXX")</f>
        <v>XXXX</v>
      </c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>
      <c r="A378" s="4" t="str">
        <f>IFERROR(__xludf.DUMMYFUNCTION("""COMPUTED_VALUE"""),"IC:   CURRENT SENSE 1 CIRCUIT   [INA214AIDCKR] [SC-70-6]")</f>
        <v>IC:   CURRENT SENSE 1 CIRCUIT   [INA214AIDCKR] [SC-70-6]</v>
      </c>
      <c r="B378" s="4" t="str">
        <f>IFERROR(__xludf.DUMMYFUNCTION("""COMPUTED_VALUE"""),"OEPS080234")</f>
        <v>OEPS080234</v>
      </c>
      <c r="C378" s="4" t="str">
        <f>IFERROR(__xludf.DUMMYFUNCTION("""COMPUTED_VALUE"""),"SMD")</f>
        <v>SMD</v>
      </c>
      <c r="D378" s="4" t="str">
        <f>IFERROR(__xludf.DUMMYFUNCTION("""COMPUTED_VALUE"""),"INA214AIDCKR")</f>
        <v>INA214AIDCKR</v>
      </c>
      <c r="E378" s="4">
        <f>IFERROR(__xludf.DUMMYFUNCTION("""COMPUTED_VALUE"""),3.0)</f>
        <v>3</v>
      </c>
      <c r="F378" s="4" t="str">
        <f>IFERROR(__xludf.DUMMYFUNCTION("""COMPUTED_VALUE"""),"DigiKey")</f>
        <v>DigiKey</v>
      </c>
      <c r="G378" s="4" t="str">
        <f>IFERROR(__xludf.DUMMYFUNCTION("""COMPUTED_VALUE"""),"296-38956-6-ND")</f>
        <v>296-38956-6-ND</v>
      </c>
      <c r="H378" s="4"/>
      <c r="I378" s="4"/>
      <c r="J378" s="4"/>
      <c r="K378" s="4"/>
      <c r="L378" s="4"/>
      <c r="M378" s="4"/>
      <c r="N378" s="9" t="str">
        <f>IFERROR(__xludf.DUMMYFUNCTION("""COMPUTED_VALUE"""),"OEPS NP1 062")</f>
        <v>OEPS NP1 062</v>
      </c>
      <c r="O378" s="4" t="str">
        <f>IFERROR(__xludf.DUMMYFUNCTION("""COMPUTED_VALUE"""),"SI7060-B-02-IVR")</f>
        <v>SI7060-B-02-IVR</v>
      </c>
      <c r="P378" s="4" t="str">
        <f>IFERROR(__xludf.DUMMYFUNCTION("""COMPUTED_VALUE"""),"69(R) ")</f>
        <v>69(R) </v>
      </c>
      <c r="Q378" s="4">
        <f>IFERROR(__xludf.DUMMYFUNCTION("""COMPUTED_VALUE"""),69.0)</f>
        <v>69</v>
      </c>
      <c r="R378" s="4">
        <f>IFERROR(__xludf.DUMMYFUNCTION("""COMPUTED_VALUE"""),69.0)</f>
        <v>69</v>
      </c>
      <c r="S378" s="4" t="str">
        <f>IFERROR(__xludf.DUMMYFUNCTION("""COMPUTED_VALUE"""),"Reel")</f>
        <v>Reel</v>
      </c>
      <c r="T378" s="4" t="str">
        <f>IFERROR(__xludf.DUMMYFUNCTION("""COMPUTED_VALUE"""),"0721")</f>
        <v>0721</v>
      </c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>
      <c r="A379" s="4" t="str">
        <f>IFERROR(__xludf.DUMMYFUNCTION("""COMPUTED_VALUE"""),"IC:   DAC 12BIT   [MCP4921T-E/MS] [8-MSOP]")</f>
        <v>IC:   DAC 12BIT   [MCP4921T-E/MS] [8-MSOP]</v>
      </c>
      <c r="B379" s="4" t="str">
        <f>IFERROR(__xludf.DUMMYFUNCTION("""COMPUTED_VALUE"""),"OEPS080121")</f>
        <v>OEPS080121</v>
      </c>
      <c r="C379" s="4" t="str">
        <f>IFERROR(__xludf.DUMMYFUNCTION("""COMPUTED_VALUE"""),"SMD")</f>
        <v>SMD</v>
      </c>
      <c r="D379" s="4" t="str">
        <f>IFERROR(__xludf.DUMMYFUNCTION("""COMPUTED_VALUE"""),"MCP4921T-E/MS")</f>
        <v>MCP4921T-E/MS</v>
      </c>
      <c r="E379" s="4">
        <f>IFERROR(__xludf.DUMMYFUNCTION("""COMPUTED_VALUE"""),3.0)</f>
        <v>3</v>
      </c>
      <c r="F379" s="4" t="str">
        <f>IFERROR(__xludf.DUMMYFUNCTION("""COMPUTED_VALUE"""),"DigiKey")</f>
        <v>DigiKey</v>
      </c>
      <c r="G379" s="4" t="str">
        <f>IFERROR(__xludf.DUMMYFUNCTION("""COMPUTED_VALUE"""),"MCP4921T-E/MSDKR-ND")</f>
        <v>MCP4921T-E/MSDKR-ND</v>
      </c>
      <c r="H379" s="4"/>
      <c r="I379" s="4"/>
      <c r="J379" s="4"/>
      <c r="K379" s="4"/>
      <c r="L379" s="4"/>
      <c r="M379" s="4"/>
      <c r="N379" s="9" t="str">
        <f>IFERROR(__xludf.DUMMYFUNCTION("""COMPUTED_VALUE"""),"OEPS NP1 064")</f>
        <v>OEPS NP1 064</v>
      </c>
      <c r="O379" s="4" t="str">
        <f>IFERROR(__xludf.DUMMYFUNCTION("""COMPUTED_VALUE"""),"M74VHC1GT126DT1G")</f>
        <v>M74VHC1GT126DT1G</v>
      </c>
      <c r="P379" s="4" t="str">
        <f>IFERROR(__xludf.DUMMYFUNCTION("""COMPUTED_VALUE"""),"5(R) ")</f>
        <v>5(R) </v>
      </c>
      <c r="Q379" s="4">
        <f>IFERROR(__xludf.DUMMYFUNCTION("""COMPUTED_VALUE"""),5.0)</f>
        <v>5</v>
      </c>
      <c r="R379" s="4">
        <f>IFERROR(__xludf.DUMMYFUNCTION("""COMPUTED_VALUE"""),5.0)</f>
        <v>5</v>
      </c>
      <c r="S379" s="4" t="str">
        <f>IFERROR(__xludf.DUMMYFUNCTION("""COMPUTED_VALUE"""),"Reel")</f>
        <v>Reel</v>
      </c>
      <c r="T379" s="4" t="str">
        <f>IFERROR(__xludf.DUMMYFUNCTION("""COMPUTED_VALUE"""),"0921")</f>
        <v>0921</v>
      </c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>
      <c r="A380" s="4" t="str">
        <f>IFERROR(__xludf.DUMMYFUNCTION("""COMPUTED_VALUE"""),"IC:   DAC 16BIT   [AD5683RARMZ] [10-MSOP]")</f>
        <v>IC:   DAC 16BIT   [AD5683RARMZ] [10-MSOP]</v>
      </c>
      <c r="B380" s="4" t="str">
        <f>IFERROR(__xludf.DUMMYFUNCTION("""COMPUTED_VALUE"""),"OEPS080154")</f>
        <v>OEPS080154</v>
      </c>
      <c r="C380" s="4" t="str">
        <f>IFERROR(__xludf.DUMMYFUNCTION("""COMPUTED_VALUE"""),"SMD")</f>
        <v>SMD</v>
      </c>
      <c r="D380" s="4" t="str">
        <f>IFERROR(__xludf.DUMMYFUNCTION("""COMPUTED_VALUE"""),"AD5683RARMZ")</f>
        <v>AD5683RARMZ</v>
      </c>
      <c r="E380" s="4">
        <f>IFERROR(__xludf.DUMMYFUNCTION("""COMPUTED_VALUE"""),3.0)</f>
        <v>3</v>
      </c>
      <c r="F380" s="4" t="str">
        <f>IFERROR(__xludf.DUMMYFUNCTION("""COMPUTED_VALUE"""),"Digikey")</f>
        <v>Digikey</v>
      </c>
      <c r="G380" s="4" t="str">
        <f>IFERROR(__xludf.DUMMYFUNCTION("""COMPUTED_VALUE"""),"505-AD5683RARMZ-ND")</f>
        <v>505-AD5683RARMZ-ND</v>
      </c>
      <c r="H380" s="4"/>
      <c r="I380" s="4"/>
      <c r="J380" s="4"/>
      <c r="K380" s="4"/>
      <c r="L380" s="4"/>
      <c r="M380" s="4"/>
      <c r="N380" s="9" t="str">
        <f>IFERROR(__xludf.DUMMYFUNCTION("""COMPUTED_VALUE"""),"OEPS NP1 066")</f>
        <v>OEPS NP1 066</v>
      </c>
      <c r="O380" s="4" t="str">
        <f>IFERROR(__xludf.DUMMYFUNCTION("""COMPUTED_VALUE"""),"SI8610BC-B-ISR")</f>
        <v>SI8610BC-B-ISR</v>
      </c>
      <c r="P380" s="4" t="str">
        <f>IFERROR(__xludf.DUMMYFUNCTION("""COMPUTED_VALUE"""),"2(Tb) ")</f>
        <v>2(Tb) </v>
      </c>
      <c r="Q380" s="4">
        <f>IFERROR(__xludf.DUMMYFUNCTION("""COMPUTED_VALUE"""),2.0)</f>
        <v>2</v>
      </c>
      <c r="R380" s="4">
        <f>IFERROR(__xludf.DUMMYFUNCTION("""COMPUTED_VALUE"""),2.0)</f>
        <v>2</v>
      </c>
      <c r="S380" s="4" t="str">
        <f>IFERROR(__xludf.DUMMYFUNCTION("""COMPUTED_VALUE"""),"Tube")</f>
        <v>Tube</v>
      </c>
      <c r="T380" s="4" t="str">
        <f>IFERROR(__xludf.DUMMYFUNCTION("""COMPUTED_VALUE"""),"XX20")</f>
        <v>XX20</v>
      </c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>
      <c r="A381" s="4" t="str">
        <f>IFERROR(__xludf.DUMMYFUNCTION("""COMPUTED_VALUE"""),"IC:   DAC 16BIT   [AD5752AREZ] [24-TSSOP]")</f>
        <v>IC:   DAC 16BIT   [AD5752AREZ] [24-TSSOP]</v>
      </c>
      <c r="B381" s="4" t="str">
        <f>IFERROR(__xludf.DUMMYFUNCTION("""COMPUTED_VALUE"""),"OEPS080091")</f>
        <v>OEPS080091</v>
      </c>
      <c r="C381" s="4" t="str">
        <f>IFERROR(__xludf.DUMMYFUNCTION("""COMPUTED_VALUE"""),"SMD")</f>
        <v>SMD</v>
      </c>
      <c r="D381" s="4" t="str">
        <f>IFERROR(__xludf.DUMMYFUNCTION("""COMPUTED_VALUE"""),"AD5752AREZ")</f>
        <v>AD5752AREZ</v>
      </c>
      <c r="E381" s="4">
        <f>IFERROR(__xludf.DUMMYFUNCTION("""COMPUTED_VALUE"""),0.0)</f>
        <v>0</v>
      </c>
      <c r="F381" s="4" t="str">
        <f>IFERROR(__xludf.DUMMYFUNCTION("""COMPUTED_VALUE"""),"Mouser")</f>
        <v>Mouser</v>
      </c>
      <c r="G381" s="4" t="str">
        <f>IFERROR(__xludf.DUMMYFUNCTION("""COMPUTED_VALUE"""),"505-AD5752AREZ-ND")</f>
        <v>505-AD5752AREZ-ND</v>
      </c>
      <c r="H381" s="4"/>
      <c r="I381" s="4"/>
      <c r="J381" s="4"/>
      <c r="K381" s="4"/>
      <c r="L381" s="4"/>
      <c r="M381" s="4"/>
      <c r="N381" s="9" t="str">
        <f>IFERROR(__xludf.DUMMYFUNCTION("""COMPUTED_VALUE"""),"OEPS NP1 069")</f>
        <v>OEPS NP1 069</v>
      </c>
      <c r="O381" s="4" t="str">
        <f>IFERROR(__xludf.DUMMYFUNCTION("""COMPUTED_VALUE"""),"MAX5443AEUA")</f>
        <v>MAX5443AEUA</v>
      </c>
      <c r="P381" s="4" t="str">
        <f>IFERROR(__xludf.DUMMYFUNCTION("""COMPUTED_VALUE"""),"1 ")</f>
        <v>1 </v>
      </c>
      <c r="Q381" s="4">
        <f>IFERROR(__xludf.DUMMYFUNCTION("""COMPUTED_VALUE"""),1.0)</f>
        <v>1</v>
      </c>
      <c r="R381" s="4">
        <f>IFERROR(__xludf.DUMMYFUNCTION("""COMPUTED_VALUE"""),1.0)</f>
        <v>1</v>
      </c>
      <c r="S381" s="4" t="str">
        <f>IFERROR(__xludf.DUMMYFUNCTION("""COMPUTED_VALUE"""),"Bag")</f>
        <v>Bag</v>
      </c>
      <c r="T381" s="4" t="str">
        <f>IFERROR(__xludf.DUMMYFUNCTION("""COMPUTED_VALUE"""),"1120")</f>
        <v>1120</v>
      </c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>
      <c r="A382" s="4" t="str">
        <f>IFERROR(__xludf.DUMMYFUNCTION("""COMPUTED_VALUE"""),"IC:   DAC 16BIT 16CH   [AD5766BCPZ-RL7] [40-LFCSP-WQ (6x6)]")</f>
        <v>IC:   DAC 16BIT 16CH   [AD5766BCPZ-RL7] [40-LFCSP-WQ (6x6)]</v>
      </c>
      <c r="B382" s="4" t="str">
        <f>IFERROR(__xludf.DUMMYFUNCTION("""COMPUTED_VALUE"""),"OEPS080212")</f>
        <v>OEPS080212</v>
      </c>
      <c r="C382" s="4" t="str">
        <f>IFERROR(__xludf.DUMMYFUNCTION("""COMPUTED_VALUE"""),"SMD")</f>
        <v>SMD</v>
      </c>
      <c r="D382" s="4" t="str">
        <f>IFERROR(__xludf.DUMMYFUNCTION("""COMPUTED_VALUE"""),"AD5766BCPZ-RL7")</f>
        <v>AD5766BCPZ-RL7</v>
      </c>
      <c r="E382" s="4">
        <f>IFERROR(__xludf.DUMMYFUNCTION("""COMPUTED_VALUE"""),0.0)</f>
        <v>0</v>
      </c>
      <c r="F382" s="4" t="str">
        <f>IFERROR(__xludf.DUMMYFUNCTION("""COMPUTED_VALUE"""),"Digikey")</f>
        <v>Digikey</v>
      </c>
      <c r="G382" s="4" t="str">
        <f>IFERROR(__xludf.DUMMYFUNCTION("""COMPUTED_VALUE"""),"505-AD5766BCPZ-RL7DKR-ND")</f>
        <v>505-AD5766BCPZ-RL7DKR-ND</v>
      </c>
      <c r="H382" s="4"/>
      <c r="I382" s="4"/>
      <c r="J382" s="4"/>
      <c r="K382" s="4"/>
      <c r="L382" s="4"/>
      <c r="M382" s="4"/>
      <c r="N382" s="9" t="str">
        <f>IFERROR(__xludf.DUMMYFUNCTION("""COMPUTED_VALUE"""),"OEPS NP1 070")</f>
        <v>OEPS NP1 070</v>
      </c>
      <c r="O382" s="4" t="str">
        <f>IFERROR(__xludf.DUMMYFUNCTION("""COMPUTED_VALUE"""),"LD1117S33TR")</f>
        <v>LD1117S33TR</v>
      </c>
      <c r="P382" s="4" t="str">
        <f>IFERROR(__xludf.DUMMYFUNCTION("""COMPUTED_VALUE"""),"5(Tp) 4 ")</f>
        <v>5(Tp) 4 </v>
      </c>
      <c r="Q382" s="4">
        <f>IFERROR(__xludf.DUMMYFUNCTION("""COMPUTED_VALUE"""),9.0)</f>
        <v>9</v>
      </c>
      <c r="R382" s="4">
        <f>IFERROR(__xludf.DUMMYFUNCTION("""COMPUTED_VALUE"""),5.0)</f>
        <v>5</v>
      </c>
      <c r="S382" s="4" t="str">
        <f>IFERROR(__xludf.DUMMYFUNCTION("""COMPUTED_VALUE"""),"Tape")</f>
        <v>Tape</v>
      </c>
      <c r="T382" s="4" t="str">
        <f>IFERROR(__xludf.DUMMYFUNCTION("""COMPUTED_VALUE"""),"N/A")</f>
        <v>N/A</v>
      </c>
      <c r="U382" s="4">
        <f>IFERROR(__xludf.DUMMYFUNCTION("""COMPUTED_VALUE"""),4.0)</f>
        <v>4</v>
      </c>
      <c r="V382" s="4" t="str">
        <f>IFERROR(__xludf.DUMMYFUNCTION("""COMPUTED_VALUE"""),"Bag")</f>
        <v>Bag</v>
      </c>
      <c r="W382" s="4" t="str">
        <f>IFERROR(__xludf.DUMMYFUNCTION("""COMPUTED_VALUE"""),"XXXX")</f>
        <v>XXXX</v>
      </c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>
      <c r="A383" s="4" t="str">
        <f>IFERROR(__xludf.DUMMYFUNCTION("""COMPUTED_VALUE"""),"IC:   DAC 8BIT 2CH   [MCP47FEB02A0-E/ST] [8-TSSOP]")</f>
        <v>IC:   DAC 8BIT 2CH   [MCP47FEB02A0-E/ST] [8-TSSOP]</v>
      </c>
      <c r="B383" s="4" t="str">
        <f>IFERROR(__xludf.DUMMYFUNCTION("""COMPUTED_VALUE"""),"OEPS080213")</f>
        <v>OEPS080213</v>
      </c>
      <c r="C383" s="4" t="str">
        <f>IFERROR(__xludf.DUMMYFUNCTION("""COMPUTED_VALUE"""),"SMD")</f>
        <v>SMD</v>
      </c>
      <c r="D383" s="4" t="str">
        <f>IFERROR(__xludf.DUMMYFUNCTION("""COMPUTED_VALUE"""),"MCP47FEB02A0-E/ST")</f>
        <v>MCP47FEB02A0-E/ST</v>
      </c>
      <c r="E383" s="4">
        <f>IFERROR(__xludf.DUMMYFUNCTION("""COMPUTED_VALUE"""),5.0)</f>
        <v>5</v>
      </c>
      <c r="F383" s="4" t="str">
        <f>IFERROR(__xludf.DUMMYFUNCTION("""COMPUTED_VALUE"""),"Digikey")</f>
        <v>Digikey</v>
      </c>
      <c r="G383" s="4" t="str">
        <f>IFERROR(__xludf.DUMMYFUNCTION("""COMPUTED_VALUE"""),"MCP47FEB02A0-E/ST-ND")</f>
        <v>MCP47FEB02A0-E/ST-ND</v>
      </c>
      <c r="H383" s="4"/>
      <c r="I383" s="4"/>
      <c r="J383" s="4"/>
      <c r="K383" s="4"/>
      <c r="L383" s="4"/>
      <c r="M383" s="4"/>
      <c r="N383" s="9" t="str">
        <f>IFERROR(__xludf.DUMMYFUNCTION("""COMPUTED_VALUE"""),"OEPS NP1 071")</f>
        <v>OEPS NP1 071</v>
      </c>
      <c r="O383" s="4" t="str">
        <f>IFERROR(__xludf.DUMMYFUNCTION("""COMPUTED_VALUE"""),"OPA4170AIDR")</f>
        <v>OPA4170AIDR</v>
      </c>
      <c r="P383" s="4" t="str">
        <f>IFERROR(__xludf.DUMMYFUNCTION("""COMPUTED_VALUE"""),"2 1(Tb) ")</f>
        <v>2 1(Tb) </v>
      </c>
      <c r="Q383" s="4">
        <f>IFERROR(__xludf.DUMMYFUNCTION("""COMPUTED_VALUE"""),3.0)</f>
        <v>3</v>
      </c>
      <c r="R383" s="4">
        <f>IFERROR(__xludf.DUMMYFUNCTION("""COMPUTED_VALUE"""),2.0)</f>
        <v>2</v>
      </c>
      <c r="S383" s="4" t="str">
        <f>IFERROR(__xludf.DUMMYFUNCTION("""COMPUTED_VALUE"""),"Bag")</f>
        <v>Bag</v>
      </c>
      <c r="T383" s="4" t="str">
        <f>IFERROR(__xludf.DUMMYFUNCTION("""COMPUTED_VALUE"""),"N/A")</f>
        <v>N/A</v>
      </c>
      <c r="U383" s="4">
        <f>IFERROR(__xludf.DUMMYFUNCTION("""COMPUTED_VALUE"""),1.0)</f>
        <v>1</v>
      </c>
      <c r="V383" s="4" t="str">
        <f>IFERROR(__xludf.DUMMYFUNCTION("""COMPUTED_VALUE"""),"Tube")</f>
        <v>Tube</v>
      </c>
      <c r="W383" s="4" t="str">
        <f>IFERROR(__xludf.DUMMYFUNCTION("""COMPUTED_VALUE"""),"XX20")</f>
        <v>XX20</v>
      </c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>
      <c r="A384" s="4" t="str">
        <f>IFERROR(__xludf.DUMMYFUNCTION("""COMPUTED_VALUE"""),"IC:   DC DC CONVERTER 1 output 3.8V   [XCL102D383CR-G] [CL-2025-02]")</f>
        <v>IC:   DC DC CONVERTER 1 output 3.8V   [XCL102D383CR-G] [CL-2025-02]</v>
      </c>
      <c r="B384" s="4" t="str">
        <f>IFERROR(__xludf.DUMMYFUNCTION("""COMPUTED_VALUE"""),"OEPS080192")</f>
        <v>OEPS080192</v>
      </c>
      <c r="C384" s="4" t="str">
        <f>IFERROR(__xludf.DUMMYFUNCTION("""COMPUTED_VALUE"""),"SMD")</f>
        <v>SMD</v>
      </c>
      <c r="D384" s="4" t="str">
        <f>IFERROR(__xludf.DUMMYFUNCTION("""COMPUTED_VALUE"""),"XCL102D383CR-G")</f>
        <v>XCL102D383CR-G</v>
      </c>
      <c r="E384" s="4">
        <f>IFERROR(__xludf.DUMMYFUNCTION("""COMPUTED_VALUE"""),5.0)</f>
        <v>5</v>
      </c>
      <c r="F384" s="4" t="str">
        <f>IFERROR(__xludf.DUMMYFUNCTION("""COMPUTED_VALUE"""),"DigiKey")</f>
        <v>DigiKey</v>
      </c>
      <c r="G384" s="4" t="str">
        <f>IFERROR(__xludf.DUMMYFUNCTION("""COMPUTED_VALUE"""),"893-XCL102D383CR-GDKR-ND")</f>
        <v>893-XCL102D383CR-GDKR-ND</v>
      </c>
      <c r="H384" s="4"/>
      <c r="I384" s="4"/>
      <c r="J384" s="4"/>
      <c r="K384" s="4"/>
      <c r="L384" s="4"/>
      <c r="M384" s="4"/>
      <c r="N384" s="9" t="str">
        <f>IFERROR(__xludf.DUMMYFUNCTION("""COMPUTED_VALUE"""),"OEPS NP1 072A")</f>
        <v>OEPS NP1 072A</v>
      </c>
      <c r="O384" s="4" t="str">
        <f>IFERROR(__xludf.DUMMYFUNCTION("""COMPUTED_VALUE"""),"NL17SZ125DTT1G")</f>
        <v>NL17SZ125DTT1G</v>
      </c>
      <c r="P384" s="4" t="str">
        <f>IFERROR(__xludf.DUMMYFUNCTION("""COMPUTED_VALUE"""),"42(R) ")</f>
        <v>42(R) </v>
      </c>
      <c r="Q384" s="4">
        <f>IFERROR(__xludf.DUMMYFUNCTION("""COMPUTED_VALUE"""),42.0)</f>
        <v>42</v>
      </c>
      <c r="R384" s="4">
        <f>IFERROR(__xludf.DUMMYFUNCTION("""COMPUTED_VALUE"""),42.0)</f>
        <v>42</v>
      </c>
      <c r="S384" s="4" t="str">
        <f>IFERROR(__xludf.DUMMYFUNCTION("""COMPUTED_VALUE"""),"Reel")</f>
        <v>Reel</v>
      </c>
      <c r="T384" s="4" t="str">
        <f>IFERROR(__xludf.DUMMYFUNCTION("""COMPUTED_VALUE"""),"0921")</f>
        <v>0921</v>
      </c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>
      <c r="A385" s="4" t="str">
        <f>IFERROR(__xludf.DUMMYFUNCTION("""COMPUTED_VALUE"""),"IC:   DC DC CONVERTER 1output 0.6-4.9V 10W   [EN5322QI] [EN5322QI]")</f>
        <v>IC:   DC DC CONVERTER 1output 0.6-4.9V 10W   [EN5322QI] [EN5322QI]</v>
      </c>
      <c r="B385" s="4" t="str">
        <f>IFERROR(__xludf.DUMMYFUNCTION("""COMPUTED_VALUE"""),"OEPS080042")</f>
        <v>OEPS080042</v>
      </c>
      <c r="C385" s="4" t="str">
        <f>IFERROR(__xludf.DUMMYFUNCTION("""COMPUTED_VALUE"""),"SMD")</f>
        <v>SMD</v>
      </c>
      <c r="D385" s="4" t="str">
        <f>IFERROR(__xludf.DUMMYFUNCTION("""COMPUTED_VALUE"""),"EN5322QI")</f>
        <v>EN5322QI</v>
      </c>
      <c r="E385" s="4">
        <f>IFERROR(__xludf.DUMMYFUNCTION("""COMPUTED_VALUE"""),0.0)</f>
        <v>0</v>
      </c>
      <c r="F385" s="4" t="str">
        <f>IFERROR(__xludf.DUMMYFUNCTION("""COMPUTED_VALUE"""),"Mouser")</f>
        <v>Mouser</v>
      </c>
      <c r="G385" s="4" t="str">
        <f>IFERROR(__xludf.DUMMYFUNCTION("""COMPUTED_VALUE"""),"884-EN5322QI-T
")</f>
        <v>884-EN5322QI-T
</v>
      </c>
      <c r="H385" s="4"/>
      <c r="I385" s="4"/>
      <c r="J385" s="4"/>
      <c r="K385" s="4"/>
      <c r="L385" s="4"/>
      <c r="M385" s="4"/>
      <c r="N385" s="9" t="str">
        <f>IFERROR(__xludf.DUMMYFUNCTION("""COMPUTED_VALUE"""),"OEPS NP1 076")</f>
        <v>OEPS NP1 076</v>
      </c>
      <c r="O385" s="4" t="str">
        <f>IFERROR(__xludf.DUMMYFUNCTION("""COMPUTED_VALUE"""),"TCR2EF18LMCT")</f>
        <v>TCR2EF18LMCT</v>
      </c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>
      <c r="A386" s="4" t="str">
        <f>IFERROR(__xludf.DUMMYFUNCTION("""COMPUTED_VALUE"""),"IC:   DC DC CONVERTER 1output 2.5V 2W   [TPS826951SIP] [8-uSIP]")</f>
        <v>IC:   DC DC CONVERTER 1output 2.5V 2W   [TPS826951SIP] [8-uSIP]</v>
      </c>
      <c r="B386" s="4" t="str">
        <f>IFERROR(__xludf.DUMMYFUNCTION("""COMPUTED_VALUE"""),"OEPS080097")</f>
        <v>OEPS080097</v>
      </c>
      <c r="C386" s="4" t="str">
        <f>IFERROR(__xludf.DUMMYFUNCTION("""COMPUTED_VALUE"""),"SMD")</f>
        <v>SMD</v>
      </c>
      <c r="D386" s="4" t="str">
        <f>IFERROR(__xludf.DUMMYFUNCTION("""COMPUTED_VALUE"""),"TPS826951SIP")</f>
        <v>TPS826951SIP</v>
      </c>
      <c r="E386" s="4">
        <f>IFERROR(__xludf.DUMMYFUNCTION("""COMPUTED_VALUE"""),3.0)</f>
        <v>3</v>
      </c>
      <c r="F386" s="4" t="str">
        <f>IFERROR(__xludf.DUMMYFUNCTION("""COMPUTED_VALUE"""),"DigiKey")</f>
        <v>DigiKey</v>
      </c>
      <c r="G386" s="4" t="str">
        <f>IFERROR(__xludf.DUMMYFUNCTION("""COMPUTED_VALUE"""),"296-40992-6-ND")</f>
        <v>296-40992-6-ND</v>
      </c>
      <c r="H386" s="4"/>
      <c r="I386" s="4"/>
      <c r="J386" s="4"/>
      <c r="K386" s="4"/>
      <c r="L386" s="4"/>
      <c r="M386" s="4"/>
      <c r="N386" s="9" t="str">
        <f>IFERROR(__xludf.DUMMYFUNCTION("""COMPUTED_VALUE"""),"OEPS NP1 077")</f>
        <v>OEPS NP1 077</v>
      </c>
      <c r="O386" s="4" t="str">
        <f>IFERROR(__xludf.DUMMYFUNCTION("""COMPUTED_VALUE"""),"SN74ACT241PWR")</f>
        <v>SN74ACT241PWR</v>
      </c>
      <c r="P386" s="4" t="str">
        <f>IFERROR(__xludf.DUMMYFUNCTION("""COMPUTED_VALUE"""),"4(Tp) ")</f>
        <v>4(Tp) </v>
      </c>
      <c r="Q386" s="4">
        <f>IFERROR(__xludf.DUMMYFUNCTION("""COMPUTED_VALUE"""),4.0)</f>
        <v>4</v>
      </c>
      <c r="R386" s="4">
        <f>IFERROR(__xludf.DUMMYFUNCTION("""COMPUTED_VALUE"""),4.0)</f>
        <v>4</v>
      </c>
      <c r="S386" s="4" t="str">
        <f>IFERROR(__xludf.DUMMYFUNCTION("""COMPUTED_VALUE"""),"Tape")</f>
        <v>Tape</v>
      </c>
      <c r="T386" s="4" t="str">
        <f>IFERROR(__xludf.DUMMYFUNCTION("""COMPUTED_VALUE"""),"N/A")</f>
        <v>N/A</v>
      </c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>
      <c r="A387" s="4" t="str">
        <f>IFERROR(__xludf.DUMMYFUNCTION("""COMPUTED_VALUE"""),"IC:   DC DC CONVERTER ADJ 2outputs 2x1A   [LTM8049IY#PBF] [77-BGA (15x9)]")</f>
        <v>IC:   DC DC CONVERTER ADJ 2outputs 2x1A   [LTM8049IY#PBF] [77-BGA (15x9)]</v>
      </c>
      <c r="B387" s="4" t="str">
        <f>IFERROR(__xludf.DUMMYFUNCTION("""COMPUTED_VALUE"""),"OEPS080218")</f>
        <v>OEPS080218</v>
      </c>
      <c r="C387" s="4" t="str">
        <f>IFERROR(__xludf.DUMMYFUNCTION("""COMPUTED_VALUE"""),"SMD")</f>
        <v>SMD</v>
      </c>
      <c r="D387" s="4" t="str">
        <f>IFERROR(__xludf.DUMMYFUNCTION("""COMPUTED_VALUE"""),"LTM8049IY#PBF")</f>
        <v>LTM8049IY#PBF</v>
      </c>
      <c r="E387" s="4">
        <f>IFERROR(__xludf.DUMMYFUNCTION("""COMPUTED_VALUE"""),0.0)</f>
        <v>0</v>
      </c>
      <c r="F387" s="4" t="str">
        <f>IFERROR(__xludf.DUMMYFUNCTION("""COMPUTED_VALUE"""),"Digikey")</f>
        <v>Digikey</v>
      </c>
      <c r="G387" s="4" t="str">
        <f>IFERROR(__xludf.DUMMYFUNCTION("""COMPUTED_VALUE"""),"505-LTM8049IY#PBF-ND")</f>
        <v>505-LTM8049IY#PBF-ND</v>
      </c>
      <c r="H387" s="4"/>
      <c r="I387" s="4"/>
      <c r="J387" s="4"/>
      <c r="K387" s="4"/>
      <c r="L387" s="4"/>
      <c r="M387" s="4"/>
      <c r="N387" s="9" t="str">
        <f>IFERROR(__xludf.DUMMYFUNCTION("""COMPUTED_VALUE"""),"OEPS NP1 078")</f>
        <v>OEPS NP1 078</v>
      </c>
      <c r="O387" s="4" t="str">
        <f>IFERROR(__xludf.DUMMYFUNCTION("""COMPUTED_VALUE"""),"LT1765EFE#TRPBF")</f>
        <v>LT1765EFE#TRPBF</v>
      </c>
      <c r="P387" s="4" t="str">
        <f>IFERROR(__xludf.DUMMYFUNCTION("""COMPUTED_VALUE"""),"4(Tp) 1(Tp) 2(Tb) ")</f>
        <v>4(Tp) 1(Tp) 2(Tb) </v>
      </c>
      <c r="Q387" s="4">
        <f>IFERROR(__xludf.DUMMYFUNCTION("""COMPUTED_VALUE"""),7.0)</f>
        <v>7</v>
      </c>
      <c r="R387" s="4">
        <f>IFERROR(__xludf.DUMMYFUNCTION("""COMPUTED_VALUE"""),4.0)</f>
        <v>4</v>
      </c>
      <c r="S387" s="4" t="str">
        <f>IFERROR(__xludf.DUMMYFUNCTION("""COMPUTED_VALUE"""),"Tape")</f>
        <v>Tape</v>
      </c>
      <c r="T387" s="4" t="str">
        <f>IFERROR(__xludf.DUMMYFUNCTION("""COMPUTED_VALUE"""),"N/A")</f>
        <v>N/A</v>
      </c>
      <c r="U387" s="4">
        <f>IFERROR(__xludf.DUMMYFUNCTION("""COMPUTED_VALUE"""),1.0)</f>
        <v>1</v>
      </c>
      <c r="V387" s="4" t="str">
        <f>IFERROR(__xludf.DUMMYFUNCTION("""COMPUTED_VALUE"""),"Tape")</f>
        <v>Tape</v>
      </c>
      <c r="W387" s="4" t="str">
        <f>IFERROR(__xludf.DUMMYFUNCTION("""COMPUTED_VALUE"""),"1020")</f>
        <v>1020</v>
      </c>
      <c r="X387" s="4">
        <f>IFERROR(__xludf.DUMMYFUNCTION("""COMPUTED_VALUE"""),2.0)</f>
        <v>2</v>
      </c>
      <c r="Y387" s="4" t="str">
        <f>IFERROR(__xludf.DUMMYFUNCTION("""COMPUTED_VALUE"""),"Tube")</f>
        <v>Tube</v>
      </c>
      <c r="Z387" s="4" t="str">
        <f>IFERROR(__xludf.DUMMYFUNCTION("""COMPUTED_VALUE"""),"XXXX")</f>
        <v>XXXX</v>
      </c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>
      <c r="A388" s="4" t="str">
        <f>IFERROR(__xludf.DUMMYFUNCTION("""COMPUTED_VALUE"""),"IC:   DC DC CONVERTER Boost/Inverter 2output ±40V 1.3A   [LT3471EDD#PBF] [10-WFDFN Exposed Pad]")</f>
        <v>IC:   DC DC CONVERTER Boost/Inverter 2output ±40V 1.3A   [LT3471EDD#PBF] [10-WFDFN Exposed Pad]</v>
      </c>
      <c r="B388" s="4" t="str">
        <f>IFERROR(__xludf.DUMMYFUNCTION("""COMPUTED_VALUE"""),"OEPS080125")</f>
        <v>OEPS080125</v>
      </c>
      <c r="C388" s="4" t="str">
        <f>IFERROR(__xludf.DUMMYFUNCTION("""COMPUTED_VALUE"""),"SMD")</f>
        <v>SMD</v>
      </c>
      <c r="D388" s="4" t="str">
        <f>IFERROR(__xludf.DUMMYFUNCTION("""COMPUTED_VALUE"""),"LT3471EDD#PBF")</f>
        <v>LT3471EDD#PBF</v>
      </c>
      <c r="E388" s="4">
        <f>IFERROR(__xludf.DUMMYFUNCTION("""COMPUTED_VALUE"""),1.0)</f>
        <v>1</v>
      </c>
      <c r="F388" s="4" t="str">
        <f>IFERROR(__xludf.DUMMYFUNCTION("""COMPUTED_VALUE"""),"Digikey")</f>
        <v>Digikey</v>
      </c>
      <c r="G388" s="4" t="str">
        <f>IFERROR(__xludf.DUMMYFUNCTION("""COMPUTED_VALUE"""),"505-LT3471EDD#PBF-ND")</f>
        <v>505-LT3471EDD#PBF-ND</v>
      </c>
      <c r="H388" s="4"/>
      <c r="I388" s="4"/>
      <c r="J388" s="4"/>
      <c r="K388" s="4"/>
      <c r="L388" s="4"/>
      <c r="M388" s="4"/>
      <c r="N388" s="9" t="str">
        <f>IFERROR(__xludf.DUMMYFUNCTION("""COMPUTED_VALUE"""),"OEPS NP1 078")</f>
        <v>OEPS NP1 078</v>
      </c>
      <c r="O388" s="4" t="str">
        <f>IFERROR(__xludf.DUMMYFUNCTION("""COMPUTED_VALUE"""),"LT1765EFE#TRPBF")</f>
        <v>LT1765EFE#TRPBF</v>
      </c>
      <c r="P388" s="4" t="str">
        <f>IFERROR(__xludf.DUMMYFUNCTION("""COMPUTED_VALUE"""),"40(R) ")</f>
        <v>40(R) </v>
      </c>
      <c r="Q388" s="4">
        <f>IFERROR(__xludf.DUMMYFUNCTION("""COMPUTED_VALUE"""),40.0)</f>
        <v>40</v>
      </c>
      <c r="R388" s="4">
        <f>IFERROR(__xludf.DUMMYFUNCTION("""COMPUTED_VALUE"""),40.0)</f>
        <v>40</v>
      </c>
      <c r="S388" s="4" t="str">
        <f>IFERROR(__xludf.DUMMYFUNCTION("""COMPUTED_VALUE"""),"Reel")</f>
        <v>Reel</v>
      </c>
      <c r="T388" s="4" t="str">
        <f>IFERROR(__xludf.DUMMYFUNCTION("""COMPUTED_VALUE"""),"XXXX")</f>
        <v>XXXX</v>
      </c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>
      <c r="A389" s="4" t="str">
        <f>IFERROR(__xludf.DUMMYFUNCTION("""COMPUTED_VALUE"""),"IC:   DC DC STEP-DOWN CONVERTER 1output 2.0-15.0V 600mA   [MCP16301HT-E/CH] [SOT-23-6]")</f>
        <v>IC:   DC DC STEP-DOWN CONVERTER 1output 2.0-15.0V 600mA   [MCP16301HT-E/CH] [SOT-23-6]</v>
      </c>
      <c r="B389" s="4" t="str">
        <f>IFERROR(__xludf.DUMMYFUNCTION("""COMPUTED_VALUE"""),"OEPS080057")</f>
        <v>OEPS080057</v>
      </c>
      <c r="C389" s="4" t="str">
        <f>IFERROR(__xludf.DUMMYFUNCTION("""COMPUTED_VALUE"""),"SMD")</f>
        <v>SMD</v>
      </c>
      <c r="D389" s="4" t="str">
        <f>IFERROR(__xludf.DUMMYFUNCTION("""COMPUTED_VALUE"""),"MCP16301HT-E/CH")</f>
        <v>MCP16301HT-E/CH</v>
      </c>
      <c r="E389" s="4">
        <f>IFERROR(__xludf.DUMMYFUNCTION("""COMPUTED_VALUE"""),2.0)</f>
        <v>2</v>
      </c>
      <c r="F389" s="4" t="str">
        <f>IFERROR(__xludf.DUMMYFUNCTION("""COMPUTED_VALUE"""),"DigiKey")</f>
        <v>DigiKey</v>
      </c>
      <c r="G389" s="4" t="str">
        <f>IFERROR(__xludf.DUMMYFUNCTION("""COMPUTED_VALUE"""),"MCP16301HT-E/CHDKR-ND")</f>
        <v>MCP16301HT-E/CHDKR-ND</v>
      </c>
      <c r="H389" s="4"/>
      <c r="I389" s="4"/>
      <c r="J389" s="4"/>
      <c r="K389" s="4"/>
      <c r="L389" s="4"/>
      <c r="M389" s="4"/>
      <c r="N389" s="9" t="str">
        <f>IFERROR(__xludf.DUMMYFUNCTION("""COMPUTED_VALUE"""),"OEPS NP1 079")</f>
        <v>OEPS NP1 079</v>
      </c>
      <c r="O389" s="4" t="str">
        <f>IFERROR(__xludf.DUMMYFUNCTION("""COMPUTED_VALUE"""),"MCP33151D-10-E/MS")</f>
        <v>MCP33151D-10-E/MS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>
      <c r="A390" s="4" t="str">
        <f>IFERROR(__xludf.DUMMYFUNCTION("""COMPUTED_VALUE"""),"IC:   DC-DC CONVERTER 2outputs1.5-12V 1.5-12V   [LTM4622AIY#PBF] [25-BGA]")</f>
        <v>IC:   DC-DC CONVERTER 2outputs1.5-12V 1.5-12V   [LTM4622AIY#PBF] [25-BGA]</v>
      </c>
      <c r="B390" s="4" t="str">
        <f>IFERROR(__xludf.DUMMYFUNCTION("""COMPUTED_VALUE"""),"OEPS080003")</f>
        <v>OEPS080003</v>
      </c>
      <c r="C390" s="4" t="str">
        <f>IFERROR(__xludf.DUMMYFUNCTION("""COMPUTED_VALUE"""),"SMD")</f>
        <v>SMD</v>
      </c>
      <c r="D390" s="4" t="str">
        <f>IFERROR(__xludf.DUMMYFUNCTION("""COMPUTED_VALUE"""),"LTM4622AIY#PBF")</f>
        <v>LTM4622AIY#PBF</v>
      </c>
      <c r="E390" s="4">
        <f>IFERROR(__xludf.DUMMYFUNCTION("""COMPUTED_VALUE"""),0.0)</f>
        <v>0</v>
      </c>
      <c r="F390" s="4" t="str">
        <f>IFERROR(__xludf.DUMMYFUNCTION("""COMPUTED_VALUE"""),"DigiKey")</f>
        <v>DigiKey</v>
      </c>
      <c r="G390" s="4" t="str">
        <f>IFERROR(__xludf.DUMMYFUNCTION("""COMPUTED_VALUE"""),"LTM4622AIY#PBF-ND")</f>
        <v>LTM4622AIY#PBF-ND</v>
      </c>
      <c r="H390" s="4"/>
      <c r="I390" s="4"/>
      <c r="J390" s="4"/>
      <c r="K390" s="4"/>
      <c r="L390" s="4"/>
      <c r="M390" s="4"/>
      <c r="N390" s="9" t="str">
        <f>IFERROR(__xludf.DUMMYFUNCTION("""COMPUTED_VALUE"""),"OEPS NP1 081")</f>
        <v>OEPS NP1 081</v>
      </c>
      <c r="O390" s="4" t="str">
        <f>IFERROR(__xludf.DUMMYFUNCTION("""COMPUTED_VALUE"""),"SI8641AB-B-IS1R")</f>
        <v>SI8641AB-B-IS1R</v>
      </c>
      <c r="P390" s="4" t="str">
        <f>IFERROR(__xludf.DUMMYFUNCTION("""COMPUTED_VALUE"""),"5(Tp) 10(Tb) ")</f>
        <v>5(Tp) 10(Tb) </v>
      </c>
      <c r="Q390" s="4">
        <f>IFERROR(__xludf.DUMMYFUNCTION("""COMPUTED_VALUE"""),15.0)</f>
        <v>15</v>
      </c>
      <c r="R390" s="4">
        <f>IFERROR(__xludf.DUMMYFUNCTION("""COMPUTED_VALUE"""),5.0)</f>
        <v>5</v>
      </c>
      <c r="S390" s="4" t="str">
        <f>IFERROR(__xludf.DUMMYFUNCTION("""COMPUTED_VALUE"""),"Tape")</f>
        <v>Tape</v>
      </c>
      <c r="T390" s="4" t="str">
        <f>IFERROR(__xludf.DUMMYFUNCTION("""COMPUTED_VALUE"""),"N/A")</f>
        <v>N/A</v>
      </c>
      <c r="U390" s="4">
        <f>IFERROR(__xludf.DUMMYFUNCTION("""COMPUTED_VALUE"""),10.0)</f>
        <v>10</v>
      </c>
      <c r="V390" s="4" t="str">
        <f>IFERROR(__xludf.DUMMYFUNCTION("""COMPUTED_VALUE"""),"Tube")</f>
        <v>Tube</v>
      </c>
      <c r="W390" s="4" t="str">
        <f>IFERROR(__xludf.DUMMYFUNCTION("""COMPUTED_VALUE"""),"XXXX")</f>
        <v>XXXX</v>
      </c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>
      <c r="A391" s="4" t="str">
        <f>IFERROR(__xludf.DUMMYFUNCTION("""COMPUTED_VALUE"""),"IC:   DESERIALIZER FPD-Link III   [DS90UB934TRGZRQ1] [48-VQFN (7x7)]")</f>
        <v>IC:   DESERIALIZER FPD-Link III   [DS90UB934TRGZRQ1] [48-VQFN (7x7)]</v>
      </c>
      <c r="B391" s="4" t="str">
        <f>IFERROR(__xludf.DUMMYFUNCTION("""COMPUTED_VALUE"""),"OEPS080210")</f>
        <v>OEPS080210</v>
      </c>
      <c r="C391" s="4" t="str">
        <f>IFERROR(__xludf.DUMMYFUNCTION("""COMPUTED_VALUE"""),"SMD")</f>
        <v>SMD</v>
      </c>
      <c r="D391" s="4" t="str">
        <f>IFERROR(__xludf.DUMMYFUNCTION("""COMPUTED_VALUE"""),"DS90UB934TRGZRQ1")</f>
        <v>DS90UB934TRGZRQ1</v>
      </c>
      <c r="E391" s="4">
        <f>IFERROR(__xludf.DUMMYFUNCTION("""COMPUTED_VALUE"""),0.0)</f>
        <v>0</v>
      </c>
      <c r="F391" s="4" t="str">
        <f>IFERROR(__xludf.DUMMYFUNCTION("""COMPUTED_VALUE"""),"Digikey")</f>
        <v>Digikey</v>
      </c>
      <c r="G391" s="4" t="str">
        <f>IFERROR(__xludf.DUMMYFUNCTION("""COMPUTED_VALUE"""),"296-DS90UB934TRGZRQ1DKR-ND")</f>
        <v>296-DS90UB934TRGZRQ1DKR-ND</v>
      </c>
      <c r="H391" s="4"/>
      <c r="I391" s="4"/>
      <c r="J391" s="4"/>
      <c r="K391" s="4"/>
      <c r="L391" s="4"/>
      <c r="M391" s="4"/>
      <c r="N391" s="9" t="str">
        <f>IFERROR(__xludf.DUMMYFUNCTION("""COMPUTED_VALUE"""),"OEPS NP1 084")</f>
        <v>OEPS NP1 084</v>
      </c>
      <c r="O391" s="4" t="str">
        <f>IFERROR(__xludf.DUMMYFUNCTION("""COMPUTED_VALUE"""),"MAX6162AESA")</f>
        <v>MAX6162AESA</v>
      </c>
      <c r="P391" s="4" t="str">
        <f>IFERROR(__xludf.DUMMYFUNCTION("""COMPUTED_VALUE"""),"1(Tb) ")</f>
        <v>1(Tb) </v>
      </c>
      <c r="Q391" s="4">
        <f>IFERROR(__xludf.DUMMYFUNCTION("""COMPUTED_VALUE"""),1.0)</f>
        <v>1</v>
      </c>
      <c r="R391" s="4">
        <f>IFERROR(__xludf.DUMMYFUNCTION("""COMPUTED_VALUE"""),1.0)</f>
        <v>1</v>
      </c>
      <c r="S391" s="4" t="str">
        <f>IFERROR(__xludf.DUMMYFUNCTION("""COMPUTED_VALUE"""),"Tube")</f>
        <v>Tube</v>
      </c>
      <c r="T391" s="4" t="str">
        <f>IFERROR(__xludf.DUMMYFUNCTION("""COMPUTED_VALUE"""),"XX21")</f>
        <v>XX21</v>
      </c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>
      <c r="A392" s="4" t="str">
        <f>IFERROR(__xludf.DUMMYFUNCTION("""COMPUTED_VALUE"""),"IC:   DESERIALIZER FPD-LINK III (OEPS J30 04)   [DS90UB914ATRHSTQ1] [48-WFQFN Exposed Pad]")</f>
        <v>IC:   DESERIALIZER FPD-LINK III (OEPS J30 04)   [DS90UB914ATRHSTQ1] [48-WFQFN Exposed Pad]</v>
      </c>
      <c r="B392" s="4" t="str">
        <f>IFERROR(__xludf.DUMMYFUNCTION("""COMPUTED_VALUE"""),"OEPS080136")</f>
        <v>OEPS080136</v>
      </c>
      <c r="C392" s="4" t="str">
        <f>IFERROR(__xludf.DUMMYFUNCTION("""COMPUTED_VALUE"""),"SMD")</f>
        <v>SMD</v>
      </c>
      <c r="D392" s="4" t="str">
        <f>IFERROR(__xludf.DUMMYFUNCTION("""COMPUTED_VALUE"""),"DS90UB914ATRHSTQ1")</f>
        <v>DS90UB914ATRHSTQ1</v>
      </c>
      <c r="E392" s="4">
        <f>IFERROR(__xludf.DUMMYFUNCTION("""COMPUTED_VALUE"""),1.0)</f>
        <v>1</v>
      </c>
      <c r="F392" s="4" t="str">
        <f>IFERROR(__xludf.DUMMYFUNCTION("""COMPUTED_VALUE"""),"Digikey")</f>
        <v>Digikey</v>
      </c>
      <c r="G392" s="4" t="str">
        <f>IFERROR(__xludf.DUMMYFUNCTION("""COMPUTED_VALUE"""),"296-38936-6-ND")</f>
        <v>296-38936-6-ND</v>
      </c>
      <c r="H392" s="4"/>
      <c r="I392" s="4"/>
      <c r="J392" s="4"/>
      <c r="K392" s="4"/>
      <c r="L392" s="4"/>
      <c r="M392" s="4"/>
      <c r="N392" s="9" t="str">
        <f>IFERROR(__xludf.DUMMYFUNCTION("""COMPUTED_VALUE"""),"OEPS NP1 085")</f>
        <v>OEPS NP1 085</v>
      </c>
      <c r="O392" s="4" t="str">
        <f>IFERROR(__xludf.DUMMYFUNCTION("""COMPUTED_VALUE"""),"DSC1001CI5")</f>
        <v>DSC1001CI5</v>
      </c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>
      <c r="A393" s="4" t="str">
        <f>IFERROR(__xludf.DUMMYFUNCTION("""COMPUTED_VALUE"""),"IC:   DGT POT 10KOHM 256TAP (OEPS M05 060)   [AD5142BCPZ10-RL7] [16-WFQFN Exposed Pad]")</f>
        <v>IC:   DGT POT 10KOHM 256TAP (OEPS M05 060)   [AD5142BCPZ10-RL7] [16-WFQFN Exposed Pad]</v>
      </c>
      <c r="B393" s="4" t="str">
        <f>IFERROR(__xludf.DUMMYFUNCTION("""COMPUTED_VALUE"""),"OEPS080143")</f>
        <v>OEPS080143</v>
      </c>
      <c r="C393" s="4" t="str">
        <f>IFERROR(__xludf.DUMMYFUNCTION("""COMPUTED_VALUE"""),"SMD")</f>
        <v>SMD</v>
      </c>
      <c r="D393" s="4" t="str">
        <f>IFERROR(__xludf.DUMMYFUNCTION("""COMPUTED_VALUE"""),"AD5142BCPZ10-RL7")</f>
        <v>AD5142BCPZ10-RL7</v>
      </c>
      <c r="E393" s="4">
        <f>IFERROR(__xludf.DUMMYFUNCTION("""COMPUTED_VALUE"""),1.0)</f>
        <v>1</v>
      </c>
      <c r="F393" s="4" t="str">
        <f>IFERROR(__xludf.DUMMYFUNCTION("""COMPUTED_VALUE"""),"Digikey")</f>
        <v>Digikey</v>
      </c>
      <c r="G393" s="4" t="str">
        <f>IFERROR(__xludf.DUMMYFUNCTION("""COMPUTED_VALUE"""),"505-AD5142BCPZ10-RL7DKR-ND")</f>
        <v>505-AD5142BCPZ10-RL7DKR-ND</v>
      </c>
      <c r="H393" s="4"/>
      <c r="I393" s="4"/>
      <c r="J393" s="4"/>
      <c r="K393" s="4"/>
      <c r="L393" s="4"/>
      <c r="M393" s="4"/>
      <c r="N393" s="9" t="str">
        <f>IFERROR(__xludf.DUMMYFUNCTION("""COMPUTED_VALUE"""),"OEPS Q20 003")</f>
        <v>OEPS Q20 003</v>
      </c>
      <c r="O393" s="4" t="str">
        <f>IFERROR(__xludf.DUMMYFUNCTION("""COMPUTED_VALUE"""),"FH23-45S-0.3SHW(05)")</f>
        <v>FH23-45S-0.3SHW(05)</v>
      </c>
      <c r="P393" s="4" t="str">
        <f>IFERROR(__xludf.DUMMYFUNCTION("""COMPUTED_VALUE"""),"50(R) 5(R) ")</f>
        <v>50(R) 5(R) </v>
      </c>
      <c r="Q393" s="4">
        <f>IFERROR(__xludf.DUMMYFUNCTION("""COMPUTED_VALUE"""),55.0)</f>
        <v>55</v>
      </c>
      <c r="R393" s="4">
        <f>IFERROR(__xludf.DUMMYFUNCTION("""COMPUTED_VALUE"""),50.0)</f>
        <v>50</v>
      </c>
      <c r="S393" s="4" t="str">
        <f>IFERROR(__xludf.DUMMYFUNCTION("""COMPUTED_VALUE"""),"Reel")</f>
        <v>Reel</v>
      </c>
      <c r="T393" s="4" t="str">
        <f>IFERROR(__xludf.DUMMYFUNCTION("""COMPUTED_VALUE"""),"0822")</f>
        <v>0822</v>
      </c>
      <c r="U393" s="4">
        <f>IFERROR(__xludf.DUMMYFUNCTION("""COMPUTED_VALUE"""),5.0)</f>
        <v>5</v>
      </c>
      <c r="V393" s="4" t="str">
        <f>IFERROR(__xludf.DUMMYFUNCTION("""COMPUTED_VALUE"""),"Reel")</f>
        <v>Reel</v>
      </c>
      <c r="W393" s="4" t="str">
        <f>IFERROR(__xludf.DUMMYFUNCTION("""COMPUTED_VALUE"""),"0521")</f>
        <v>0521</v>
      </c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>
      <c r="A394" s="4" t="str">
        <f>IFERROR(__xludf.DUMMYFUNCTION("""COMPUTED_VALUE"""),"IC:   DGT POT 10KOHM 256TAP 16TSSOP   [AD5142BRUZ10] [16-TSSOP]")</f>
        <v>IC:   DGT POT 10KOHM 256TAP 16TSSOP   [AD5142BRUZ10] [16-TSSOP]</v>
      </c>
      <c r="B394" s="4" t="str">
        <f>IFERROR(__xludf.DUMMYFUNCTION("""COMPUTED_VALUE"""),"OEPS080118")</f>
        <v>OEPS080118</v>
      </c>
      <c r="C394" s="4" t="str">
        <f>IFERROR(__xludf.DUMMYFUNCTION("""COMPUTED_VALUE"""),"SMD")</f>
        <v>SMD</v>
      </c>
      <c r="D394" s="4" t="str">
        <f>IFERROR(__xludf.DUMMYFUNCTION("""COMPUTED_VALUE"""),"AD5142BRUZ10")</f>
        <v>AD5142BRUZ10</v>
      </c>
      <c r="E394" s="4">
        <f>IFERROR(__xludf.DUMMYFUNCTION("""COMPUTED_VALUE"""),1.0)</f>
        <v>1</v>
      </c>
      <c r="F394" s="4" t="str">
        <f>IFERROR(__xludf.DUMMYFUNCTION("""COMPUTED_VALUE"""),"DigiKey")</f>
        <v>DigiKey</v>
      </c>
      <c r="G394" s="4" t="str">
        <f>IFERROR(__xludf.DUMMYFUNCTION("""COMPUTED_VALUE"""),"AD5142BRUZ10-RL7DKR-ND")</f>
        <v>AD5142BRUZ10-RL7DKR-ND</v>
      </c>
      <c r="H394" s="4"/>
      <c r="I394" s="4"/>
      <c r="J394" s="4"/>
      <c r="K394" s="4"/>
      <c r="L394" s="4"/>
      <c r="M394" s="4"/>
      <c r="N394" s="9" t="str">
        <f>IFERROR(__xludf.DUMMYFUNCTION("""COMPUTED_VALUE"""),"OEPS Q20 021A")</f>
        <v>OEPS Q20 021A</v>
      </c>
      <c r="O394" s="4" t="str">
        <f>IFERROR(__xludf.DUMMYFUNCTION("""COMPUTED_VALUE"""),"CL03A105KP3NSNC")</f>
        <v>CL03A105KP3NSNC</v>
      </c>
      <c r="P394" s="4" t="str">
        <f>IFERROR(__xludf.DUMMYFUNCTION("""COMPUTED_VALUE"""),"220(R) ")</f>
        <v>220(R) </v>
      </c>
      <c r="Q394" s="4">
        <f>IFERROR(__xludf.DUMMYFUNCTION("""COMPUTED_VALUE"""),220.0)</f>
        <v>220</v>
      </c>
      <c r="R394" s="4">
        <f>IFERROR(__xludf.DUMMYFUNCTION("""COMPUTED_VALUE"""),220.0)</f>
        <v>220</v>
      </c>
      <c r="S394" s="4" t="str">
        <f>IFERROR(__xludf.DUMMYFUNCTION("""COMPUTED_VALUE"""),"Reel")</f>
        <v>Reel</v>
      </c>
      <c r="T394" s="4" t="str">
        <f>IFERROR(__xludf.DUMMYFUNCTION("""COMPUTED_VALUE"""),"0822")</f>
        <v>0822</v>
      </c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>
      <c r="A395" s="4" t="str">
        <f>IFERROR(__xludf.DUMMYFUNCTION("""COMPUTED_VALUE"""),"IC:   DGT POT 10KOHM 256TAP 16TSSOP (AUTOMOTIVE)   [AD5142WBRUZ10] [16-TSSOP]")</f>
        <v>IC:   DGT POT 10KOHM 256TAP 16TSSOP (AUTOMOTIVE)   [AD5142WBRUZ10] [16-TSSOP]</v>
      </c>
      <c r="B395" s="4" t="str">
        <f>IFERROR(__xludf.DUMMYFUNCTION("""COMPUTED_VALUE"""),"OEPS080119")</f>
        <v>OEPS080119</v>
      </c>
      <c r="C395" s="4" t="str">
        <f>IFERROR(__xludf.DUMMYFUNCTION("""COMPUTED_VALUE"""),"SMD")</f>
        <v>SMD</v>
      </c>
      <c r="D395" s="4" t="str">
        <f>IFERROR(__xludf.DUMMYFUNCTION("""COMPUTED_VALUE"""),"AD5142WBRUZ10")</f>
        <v>AD5142WBRUZ10</v>
      </c>
      <c r="E395" s="4">
        <f>IFERROR(__xludf.DUMMYFUNCTION("""COMPUTED_VALUE"""),1.0)</f>
        <v>1</v>
      </c>
      <c r="F395" s="4" t="str">
        <f>IFERROR(__xludf.DUMMYFUNCTION("""COMPUTED_VALUE"""),"DigiKey")</f>
        <v>DigiKey</v>
      </c>
      <c r="G395" s="4" t="str">
        <f>IFERROR(__xludf.DUMMYFUNCTION("""COMPUTED_VALUE"""),"505-AD5142WBRUZ10-RL7DKR-ND")</f>
        <v>505-AD5142WBRUZ10-RL7DKR-ND</v>
      </c>
      <c r="H395" s="4"/>
      <c r="I395" s="4"/>
      <c r="J395" s="4"/>
      <c r="K395" s="4"/>
      <c r="L395" s="4"/>
      <c r="M395" s="4"/>
      <c r="N395" s="9" t="str">
        <f>IFERROR(__xludf.DUMMYFUNCTION("""COMPUTED_VALUE"""),"OEPS Q20 031")</f>
        <v>OEPS Q20 031</v>
      </c>
      <c r="O395" s="4" t="str">
        <f>IFERROR(__xludf.DUMMYFUNCTION("""COMPUTED_VALUE"""),"10M08SAM153I7G")</f>
        <v>10M08SAM153I7G</v>
      </c>
      <c r="P395" s="4" t="str">
        <f>IFERROR(__xludf.DUMMYFUNCTION("""COMPUTED_VALUE"""),"28(Tr) ")</f>
        <v>28(Tr) </v>
      </c>
      <c r="Q395" s="4">
        <f>IFERROR(__xludf.DUMMYFUNCTION("""COMPUTED_VALUE"""),28.0)</f>
        <v>28</v>
      </c>
      <c r="R395" s="4">
        <f>IFERROR(__xludf.DUMMYFUNCTION("""COMPUTED_VALUE"""),28.0)</f>
        <v>28</v>
      </c>
      <c r="S395" s="4" t="str">
        <f>IFERROR(__xludf.DUMMYFUNCTION("""COMPUTED_VALUE"""),"Tray")</f>
        <v>Tray</v>
      </c>
      <c r="T395" s="4" t="str">
        <f>IFERROR(__xludf.DUMMYFUNCTION("""COMPUTED_VALUE"""),"XXXX")</f>
        <v>XXXX</v>
      </c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>
      <c r="A396" s="4" t="str">
        <f>IFERROR(__xludf.DUMMYFUNCTION("""COMPUTED_VALUE"""),"IC:   DGT POT 50KOHM 129TAP   [MCP4541-503E/MS] [8-MSOP]")</f>
        <v>IC:   DGT POT 50KOHM 129TAP   [MCP4541-503E/MS] [8-MSOP]</v>
      </c>
      <c r="B396" s="4" t="str">
        <f>IFERROR(__xludf.DUMMYFUNCTION("""COMPUTED_VALUE"""),"OEPS080144")</f>
        <v>OEPS080144</v>
      </c>
      <c r="C396" s="4" t="str">
        <f>IFERROR(__xludf.DUMMYFUNCTION("""COMPUTED_VALUE"""),"SMD")</f>
        <v>SMD</v>
      </c>
      <c r="D396" s="4" t="str">
        <f>IFERROR(__xludf.DUMMYFUNCTION("""COMPUTED_VALUE"""),"MCP4541-503E/MS")</f>
        <v>MCP4541-503E/MS</v>
      </c>
      <c r="E396" s="4">
        <f>IFERROR(__xludf.DUMMYFUNCTION("""COMPUTED_VALUE"""),2.0)</f>
        <v>2</v>
      </c>
      <c r="F396" s="4" t="str">
        <f>IFERROR(__xludf.DUMMYFUNCTION("""COMPUTED_VALUE"""),"Digikey")</f>
        <v>Digikey</v>
      </c>
      <c r="G396" s="4" t="str">
        <f>IFERROR(__xludf.DUMMYFUNCTION("""COMPUTED_VALUE"""),"MCP4541-503E/MS-ND")</f>
        <v>MCP4541-503E/MS-ND</v>
      </c>
      <c r="H396" s="4"/>
      <c r="I396" s="4"/>
      <c r="J396" s="4"/>
      <c r="K396" s="4"/>
      <c r="L396" s="4"/>
      <c r="M396" s="4"/>
      <c r="N396" s="9" t="str">
        <f>IFERROR(__xludf.DUMMYFUNCTION("""COMPUTED_VALUE"""),"OEPS Q20 032")</f>
        <v>OEPS Q20 032</v>
      </c>
      <c r="O396" s="4" t="str">
        <f>IFERROR(__xludf.DUMMYFUNCTION("""COMPUTED_VALUE"""),"ASCO2-24.000MHZ-EK-T3")</f>
        <v>ASCO2-24.000MHZ-EK-T3</v>
      </c>
      <c r="P396" s="4" t="str">
        <f>IFERROR(__xludf.DUMMYFUNCTION("""COMPUTED_VALUE"""),"61(R) ")</f>
        <v>61(R) </v>
      </c>
      <c r="Q396" s="4">
        <f>IFERROR(__xludf.DUMMYFUNCTION("""COMPUTED_VALUE"""),61.0)</f>
        <v>61</v>
      </c>
      <c r="R396" s="4">
        <f>IFERROR(__xludf.DUMMYFUNCTION("""COMPUTED_VALUE"""),61.0)</f>
        <v>61</v>
      </c>
      <c r="S396" s="4" t="str">
        <f>IFERROR(__xludf.DUMMYFUNCTION("""COMPUTED_VALUE"""),"Reel")</f>
        <v>Reel</v>
      </c>
      <c r="T396" s="4" t="str">
        <f>IFERROR(__xludf.DUMMYFUNCTION("""COMPUTED_VALUE"""),"0521")</f>
        <v>0521</v>
      </c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>
      <c r="A397" s="4" t="str">
        <f>IFERROR(__xludf.DUMMYFUNCTION("""COMPUTED_VALUE"""),"IC:   DIGITAL ISOLATOR 1+1WAY   [SI8621BC-B-ISR] [8-SOIC]")</f>
        <v>IC:   DIGITAL ISOLATOR 1+1WAY   [SI8621BC-B-ISR] [8-SOIC]</v>
      </c>
      <c r="B397" s="4" t="str">
        <f>IFERROR(__xludf.DUMMYFUNCTION("""COMPUTED_VALUE"""),"OEPS080031")</f>
        <v>OEPS080031</v>
      </c>
      <c r="C397" s="4" t="str">
        <f>IFERROR(__xludf.DUMMYFUNCTION("""COMPUTED_VALUE"""),"SMD")</f>
        <v>SMD</v>
      </c>
      <c r="D397" s="4" t="str">
        <f>IFERROR(__xludf.DUMMYFUNCTION("""COMPUTED_VALUE"""),"SI8621BC-B-ISR")</f>
        <v>SI8621BC-B-ISR</v>
      </c>
      <c r="E397" s="4">
        <f>IFERROR(__xludf.DUMMYFUNCTION("""COMPUTED_VALUE"""),3.0)</f>
        <v>3</v>
      </c>
      <c r="F397" s="4" t="str">
        <f>IFERROR(__xludf.DUMMYFUNCTION("""COMPUTED_VALUE"""),"DigiKey")</f>
        <v>DigiKey</v>
      </c>
      <c r="G397" s="4" t="str">
        <f>IFERROR(__xludf.DUMMYFUNCTION("""COMPUTED_VALUE"""),"336-4774-6-ND")</f>
        <v>336-4774-6-ND</v>
      </c>
      <c r="H397" s="4"/>
      <c r="I397" s="4"/>
      <c r="J397" s="4"/>
      <c r="K397" s="4"/>
      <c r="L397" s="4"/>
      <c r="M397" s="4"/>
      <c r="N397" s="9" t="str">
        <f>IFERROR(__xludf.DUMMYFUNCTION("""COMPUTED_VALUE"""),"OEPS Q20 033")</f>
        <v>OEPS Q20 033</v>
      </c>
      <c r="O397" s="4" t="str">
        <f>IFERROR(__xludf.DUMMYFUNCTION("""COMPUTED_VALUE"""),"MAX4945AELA+T")</f>
        <v>MAX4945AELA+T</v>
      </c>
      <c r="P397" s="4" t="str">
        <f>IFERROR(__xludf.DUMMYFUNCTION("""COMPUTED_VALUE"""),"37(R) 2 ")</f>
        <v>37(R) 2 </v>
      </c>
      <c r="Q397" s="4">
        <f>IFERROR(__xludf.DUMMYFUNCTION("""COMPUTED_VALUE"""),39.0)</f>
        <v>39</v>
      </c>
      <c r="R397" s="4">
        <f>IFERROR(__xludf.DUMMYFUNCTION("""COMPUTED_VALUE"""),37.0)</f>
        <v>37</v>
      </c>
      <c r="S397" s="4" t="str">
        <f>IFERROR(__xludf.DUMMYFUNCTION("""COMPUTED_VALUE"""),"Reel")</f>
        <v>Reel</v>
      </c>
      <c r="T397" s="4" t="str">
        <f>IFERROR(__xludf.DUMMYFUNCTION("""COMPUTED_VALUE"""),"0621")</f>
        <v>0621</v>
      </c>
      <c r="U397" s="4">
        <f>IFERROR(__xludf.DUMMYFUNCTION("""COMPUTED_VALUE"""),2.0)</f>
        <v>2</v>
      </c>
      <c r="V397" s="4" t="str">
        <f>IFERROR(__xludf.DUMMYFUNCTION("""COMPUTED_VALUE"""),"Bag")</f>
        <v>Bag</v>
      </c>
      <c r="W397" s="4" t="str">
        <f>IFERROR(__xludf.DUMMYFUNCTION("""COMPUTED_VALUE"""),"XXXX")</f>
        <v>XXXX</v>
      </c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>
      <c r="A398" s="4" t="str">
        <f>IFERROR(__xludf.DUMMYFUNCTION("""COMPUTED_VALUE"""),"IC:   DIGITAL ISOLATOR 1WAY   [SI8610BC-B-ISR] [8-SOIC]")</f>
        <v>IC:   DIGITAL ISOLATOR 1WAY   [SI8610BC-B-ISR] [8-SOIC]</v>
      </c>
      <c r="B398" s="4" t="str">
        <f>IFERROR(__xludf.DUMMYFUNCTION("""COMPUTED_VALUE"""),"OEPS080004")</f>
        <v>OEPS080004</v>
      </c>
      <c r="C398" s="4" t="str">
        <f>IFERROR(__xludf.DUMMYFUNCTION("""COMPUTED_VALUE"""),"SMD")</f>
        <v>SMD</v>
      </c>
      <c r="D398" s="4" t="str">
        <f>IFERROR(__xludf.DUMMYFUNCTION("""COMPUTED_VALUE"""),"SI8610BC-B-ISR")</f>
        <v>SI8610BC-B-ISR</v>
      </c>
      <c r="E398" s="4">
        <f>IFERROR(__xludf.DUMMYFUNCTION("""COMPUTED_VALUE"""),3.0)</f>
        <v>3</v>
      </c>
      <c r="F398" s="4" t="str">
        <f>IFERROR(__xludf.DUMMYFUNCTION("""COMPUTED_VALUE"""),"DigiKey")</f>
        <v>DigiKey</v>
      </c>
      <c r="G398" s="4" t="str">
        <f>IFERROR(__xludf.DUMMYFUNCTION("""COMPUTED_VALUE"""),"336-4929-6-ND")</f>
        <v>336-4929-6-ND</v>
      </c>
      <c r="H398" s="4"/>
      <c r="I398" s="4"/>
      <c r="J398" s="4"/>
      <c r="K398" s="4"/>
      <c r="L398" s="4"/>
      <c r="M398" s="4"/>
      <c r="N398" s="9" t="str">
        <f>IFERROR(__xludf.DUMMYFUNCTION("""COMPUTED_VALUE"""),"OEPS Q20 034")</f>
        <v>OEPS Q20 034</v>
      </c>
      <c r="O398" s="4" t="str">
        <f>IFERROR(__xludf.DUMMYFUNCTION("""COMPUTED_VALUE"""),"ADP7112ACBZ-1.8-R7")</f>
        <v>ADP7112ACBZ-1.8-R7</v>
      </c>
      <c r="P398" s="4" t="str">
        <f>IFERROR(__xludf.DUMMYFUNCTION("""COMPUTED_VALUE"""),"64(R) ")</f>
        <v>64(R) </v>
      </c>
      <c r="Q398" s="4">
        <f>IFERROR(__xludf.DUMMYFUNCTION("""COMPUTED_VALUE"""),64.0)</f>
        <v>64</v>
      </c>
      <c r="R398" s="4">
        <f>IFERROR(__xludf.DUMMYFUNCTION("""COMPUTED_VALUE"""),64.0)</f>
        <v>64</v>
      </c>
      <c r="S398" s="4" t="str">
        <f>IFERROR(__xludf.DUMMYFUNCTION("""COMPUTED_VALUE"""),"Reel")</f>
        <v>Reel</v>
      </c>
      <c r="T398" s="4" t="str">
        <f>IFERROR(__xludf.DUMMYFUNCTION("""COMPUTED_VALUE"""),"0521")</f>
        <v>0521</v>
      </c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>
      <c r="A399" s="4" t="str">
        <f>IFERROR(__xludf.DUMMYFUNCTION("""COMPUTED_VALUE"""),"IC:   DIGITAL ISOLATOR 1WAY   [SI8610EC-B-ISR] [8-SOIC]")</f>
        <v>IC:   DIGITAL ISOLATOR 1WAY   [SI8610EC-B-ISR] [8-SOIC]</v>
      </c>
      <c r="B399" s="4" t="str">
        <f>IFERROR(__xludf.DUMMYFUNCTION("""COMPUTED_VALUE"""),"OEPS080030")</f>
        <v>OEPS080030</v>
      </c>
      <c r="C399" s="4" t="str">
        <f>IFERROR(__xludf.DUMMYFUNCTION("""COMPUTED_VALUE"""),"SMD")</f>
        <v>SMD</v>
      </c>
      <c r="D399" s="4" t="str">
        <f>IFERROR(__xludf.DUMMYFUNCTION("""COMPUTED_VALUE"""),"SI8610EC-B-ISR")</f>
        <v>SI8610EC-B-ISR</v>
      </c>
      <c r="E399" s="4">
        <f>IFERROR(__xludf.DUMMYFUNCTION("""COMPUTED_VALUE"""),3.0)</f>
        <v>3</v>
      </c>
      <c r="F399" s="4" t="str">
        <f>IFERROR(__xludf.DUMMYFUNCTION("""COMPUTED_VALUE"""),"DigiKey")</f>
        <v>DigiKey</v>
      </c>
      <c r="G399" s="4" t="str">
        <f>IFERROR(__xludf.DUMMYFUNCTION("""COMPUTED_VALUE"""),"336-4930-6-ND")</f>
        <v>336-4930-6-ND</v>
      </c>
      <c r="H399" s="4"/>
      <c r="I399" s="4"/>
      <c r="J399" s="4"/>
      <c r="K399" s="4"/>
      <c r="L399" s="4"/>
      <c r="M399" s="4"/>
      <c r="N399" s="9" t="str">
        <f>IFERROR(__xludf.DUMMYFUNCTION("""COMPUTED_VALUE"""),"OEPS Q20 037")</f>
        <v>OEPS Q20 037</v>
      </c>
      <c r="O399" s="4" t="str">
        <f>IFERROR(__xludf.DUMMYFUNCTION("""COMPUTED_VALUE"""),"TPS8268180SIPR")</f>
        <v>TPS8268180SIPR</v>
      </c>
      <c r="P399" s="4" t="str">
        <f>IFERROR(__xludf.DUMMYFUNCTION("""COMPUTED_VALUE"""),"1 2 7 6 44(R) ")</f>
        <v>1 2 7 6 44(R) </v>
      </c>
      <c r="Q399" s="4">
        <f>IFERROR(__xludf.DUMMYFUNCTION("""COMPUTED_VALUE"""),60.0)</f>
        <v>60</v>
      </c>
      <c r="R399" s="4">
        <f>IFERROR(__xludf.DUMMYFUNCTION("""COMPUTED_VALUE"""),1.0)</f>
        <v>1</v>
      </c>
      <c r="S399" s="4" t="str">
        <f>IFERROR(__xludf.DUMMYFUNCTION("""COMPUTED_VALUE"""),"Bag")</f>
        <v>Bag</v>
      </c>
      <c r="T399" s="4" t="str">
        <f>IFERROR(__xludf.DUMMYFUNCTION("""COMPUTED_VALUE"""),"1122")</f>
        <v>1122</v>
      </c>
      <c r="U399" s="4">
        <f>IFERROR(__xludf.DUMMYFUNCTION("""COMPUTED_VALUE"""),2.0)</f>
        <v>2</v>
      </c>
      <c r="V399" s="4" t="str">
        <f>IFERROR(__xludf.DUMMYFUNCTION("""COMPUTED_VALUE"""),"Bag")</f>
        <v>Bag</v>
      </c>
      <c r="W399" s="4" t="str">
        <f>IFERROR(__xludf.DUMMYFUNCTION("""COMPUTED_VALUE"""),"0622")</f>
        <v>0622</v>
      </c>
      <c r="X399" s="4">
        <f>IFERROR(__xludf.DUMMYFUNCTION("""COMPUTED_VALUE"""),7.0)</f>
        <v>7</v>
      </c>
      <c r="Y399" s="4" t="str">
        <f>IFERROR(__xludf.DUMMYFUNCTION("""COMPUTED_VALUE"""),"Bag")</f>
        <v>Bag</v>
      </c>
      <c r="Z399" s="4" t="str">
        <f>IFERROR(__xludf.DUMMYFUNCTION("""COMPUTED_VALUE"""),"0623")</f>
        <v>0623</v>
      </c>
      <c r="AA399" s="4">
        <f>IFERROR(__xludf.DUMMYFUNCTION("""COMPUTED_VALUE"""),6.0)</f>
        <v>6</v>
      </c>
      <c r="AB399" s="4" t="str">
        <f>IFERROR(__xludf.DUMMYFUNCTION("""COMPUTED_VALUE"""),"Bag")</f>
        <v>Bag</v>
      </c>
      <c r="AC399" s="4" t="str">
        <f>IFERROR(__xludf.DUMMYFUNCTION("""COMPUTED_VALUE"""),"XXXX")</f>
        <v>XXXX</v>
      </c>
      <c r="AD399" s="4">
        <f>IFERROR(__xludf.DUMMYFUNCTION("""COMPUTED_VALUE"""),44.0)</f>
        <v>44</v>
      </c>
      <c r="AE399" s="4" t="str">
        <f>IFERROR(__xludf.DUMMYFUNCTION("""COMPUTED_VALUE"""),"Reel")</f>
        <v>Reel</v>
      </c>
      <c r="AF399" s="4" t="str">
        <f>IFERROR(__xludf.DUMMYFUNCTION("""COMPUTED_VALUE"""),"0621")</f>
        <v>0621</v>
      </c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>
      <c r="A400" s="4" t="str">
        <f>IFERROR(__xludf.DUMMYFUNCTION("""COMPUTED_VALUE"""),"IC:   DIGITAL ISOLATOR 2 Channel    [ADUM1201BRZ] [8-SOIC]")</f>
        <v>IC:   DIGITAL ISOLATOR 2 Channel    [ADUM1201BRZ] [8-SOIC]</v>
      </c>
      <c r="B400" s="4" t="str">
        <f>IFERROR(__xludf.DUMMYFUNCTION("""COMPUTED_VALUE"""),"OEPS080172")</f>
        <v>OEPS080172</v>
      </c>
      <c r="C400" s="4" t="str">
        <f>IFERROR(__xludf.DUMMYFUNCTION("""COMPUTED_VALUE"""),"SMD")</f>
        <v>SMD</v>
      </c>
      <c r="D400" s="4" t="str">
        <f>IFERROR(__xludf.DUMMYFUNCTION("""COMPUTED_VALUE"""),"ADUM1201BRZ")</f>
        <v>ADUM1201BRZ</v>
      </c>
      <c r="E400" s="4">
        <f>IFERROR(__xludf.DUMMYFUNCTION("""COMPUTED_VALUE"""),3.0)</f>
        <v>3</v>
      </c>
      <c r="F400" s="4" t="str">
        <f>IFERROR(__xludf.DUMMYFUNCTION("""COMPUTED_VALUE"""),"Digikey")</f>
        <v>Digikey</v>
      </c>
      <c r="G400" s="4" t="str">
        <f>IFERROR(__xludf.DUMMYFUNCTION("""COMPUTED_VALUE"""),"505-ADUM1201BRZ-ND")</f>
        <v>505-ADUM1201BRZ-ND</v>
      </c>
      <c r="H400" s="4"/>
      <c r="I400" s="4"/>
      <c r="J400" s="4"/>
      <c r="K400" s="4"/>
      <c r="L400" s="4"/>
      <c r="M400" s="4"/>
      <c r="N400" s="9" t="str">
        <f>IFERROR(__xludf.DUMMYFUNCTION("""COMPUTED_VALUE"""),"OEPS Q20 038A")</f>
        <v>OEPS Q20 038A</v>
      </c>
      <c r="O400" s="4" t="str">
        <f>IFERROR(__xludf.DUMMYFUNCTION("""COMPUTED_VALUE"""),"TPS7A2012PDQNR")</f>
        <v>TPS7A2012PDQNR</v>
      </c>
      <c r="P400" s="4" t="str">
        <f>IFERROR(__xludf.DUMMYFUNCTION("""COMPUTED_VALUE"""),"63(R) ")</f>
        <v>63(R) </v>
      </c>
      <c r="Q400" s="4">
        <f>IFERROR(__xludf.DUMMYFUNCTION("""COMPUTED_VALUE"""),63.0)</f>
        <v>63</v>
      </c>
      <c r="R400" s="4">
        <f>IFERROR(__xludf.DUMMYFUNCTION("""COMPUTED_VALUE"""),63.0)</f>
        <v>63</v>
      </c>
      <c r="S400" s="4" t="str">
        <f>IFERROR(__xludf.DUMMYFUNCTION("""COMPUTED_VALUE"""),"Reel")</f>
        <v>Reel</v>
      </c>
      <c r="T400" s="4" t="str">
        <f>IFERROR(__xludf.DUMMYFUNCTION("""COMPUTED_VALUE"""),"0621")</f>
        <v>0621</v>
      </c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>
      <c r="A401" s="4" t="str">
        <f>IFERROR(__xludf.DUMMYFUNCTION("""COMPUTED_VALUE"""),"IC:   DIGITAL ISOLATOR 2+2WAY (OEPS NP1 080)   [SI8642BC-B-IS1] [16-SOIC]")</f>
        <v>IC:   DIGITAL ISOLATOR 2+2WAY (OEPS NP1 080)   [SI8642BC-B-IS1] [16-SOIC]</v>
      </c>
      <c r="B401" s="4" t="str">
        <f>IFERROR(__xludf.DUMMYFUNCTION("""COMPUTED_VALUE"""),"OEPS080084")</f>
        <v>OEPS080084</v>
      </c>
      <c r="C401" s="4" t="str">
        <f>IFERROR(__xludf.DUMMYFUNCTION("""COMPUTED_VALUE"""),"SMD")</f>
        <v>SMD</v>
      </c>
      <c r="D401" s="4" t="str">
        <f>IFERROR(__xludf.DUMMYFUNCTION("""COMPUTED_VALUE"""),"SI8642BC-B-IS1")</f>
        <v>SI8642BC-B-IS1</v>
      </c>
      <c r="E401" s="4">
        <f>IFERROR(__xludf.DUMMYFUNCTION("""COMPUTED_VALUE"""),1.0)</f>
        <v>1</v>
      </c>
      <c r="F401" s="4" t="str">
        <f>IFERROR(__xludf.DUMMYFUNCTION("""COMPUTED_VALUE"""),"DigiKey")</f>
        <v>DigiKey</v>
      </c>
      <c r="G401" s="4" t="str">
        <f>IFERROR(__xludf.DUMMYFUNCTION("""COMPUTED_VALUE"""),"336-4941-6-ND")</f>
        <v>336-4941-6-ND</v>
      </c>
      <c r="H401" s="4"/>
      <c r="I401" s="4"/>
      <c r="J401" s="4"/>
      <c r="K401" s="4"/>
      <c r="L401" s="4"/>
      <c r="M401" s="4"/>
      <c r="N401" s="9" t="str">
        <f>IFERROR(__xludf.DUMMYFUNCTION("""COMPUTED_VALUE"""),"OEPS Q20 041A")</f>
        <v>OEPS Q20 041A</v>
      </c>
      <c r="O401" s="4" t="str">
        <f>IFERROR(__xludf.DUMMYFUNCTION("""COMPUTED_VALUE"""),"DSC6101MI1A-000.0000T")</f>
        <v>DSC6101MI1A-000.0000T</v>
      </c>
      <c r="P401" s="4" t="str">
        <f>IFERROR(__xludf.DUMMYFUNCTION("""COMPUTED_VALUE"""),"200(R) 44 ")</f>
        <v>200(R) 44 </v>
      </c>
      <c r="Q401" s="4">
        <f>IFERROR(__xludf.DUMMYFUNCTION("""COMPUTED_VALUE"""),244.0)</f>
        <v>244</v>
      </c>
      <c r="R401" s="4">
        <f>IFERROR(__xludf.DUMMYFUNCTION("""COMPUTED_VALUE"""),200.0)</f>
        <v>200</v>
      </c>
      <c r="S401" s="4" t="str">
        <f>IFERROR(__xludf.DUMMYFUNCTION("""COMPUTED_VALUE"""),"Reel")</f>
        <v>Reel</v>
      </c>
      <c r="T401" s="4" t="str">
        <f>IFERROR(__xludf.DUMMYFUNCTION("""COMPUTED_VALUE"""),"0822")</f>
        <v>0822</v>
      </c>
      <c r="U401" s="4">
        <f>IFERROR(__xludf.DUMMYFUNCTION("""COMPUTED_VALUE"""),44.0)</f>
        <v>44</v>
      </c>
      <c r="V401" s="4" t="str">
        <f>IFERROR(__xludf.DUMMYFUNCTION("""COMPUTED_VALUE"""),"Bag")</f>
        <v>Bag</v>
      </c>
      <c r="W401" s="4" t="str">
        <f>IFERROR(__xludf.DUMMYFUNCTION("""COMPUTED_VALUE"""),"XXXX")</f>
        <v>XXXX</v>
      </c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>
      <c r="A402" s="4" t="str">
        <f>IFERROR(__xludf.DUMMYFUNCTION("""COMPUTED_VALUE"""),"IC:   DIGITAL ISOLATOR 4 Channel    [ISO7741DWR] [16-SOIC]")</f>
        <v>IC:   DIGITAL ISOLATOR 4 Channel    [ISO7741DWR] [16-SOIC]</v>
      </c>
      <c r="B402" s="4" t="str">
        <f>IFERROR(__xludf.DUMMYFUNCTION("""COMPUTED_VALUE"""),"OEPS080227")</f>
        <v>OEPS080227</v>
      </c>
      <c r="C402" s="4" t="str">
        <f>IFERROR(__xludf.DUMMYFUNCTION("""COMPUTED_VALUE"""),"SMD")</f>
        <v>SMD</v>
      </c>
      <c r="D402" s="4" t="str">
        <f>IFERROR(__xludf.DUMMYFUNCTION("""COMPUTED_VALUE"""),"ISO7741DWR")</f>
        <v>ISO7741DWR</v>
      </c>
      <c r="E402" s="4">
        <f>IFERROR(__xludf.DUMMYFUNCTION("""COMPUTED_VALUE"""),0.0)</f>
        <v>0</v>
      </c>
      <c r="F402" s="4" t="str">
        <f>IFERROR(__xludf.DUMMYFUNCTION("""COMPUTED_VALUE"""),"Digikey")</f>
        <v>Digikey</v>
      </c>
      <c r="G402" s="4" t="str">
        <f>IFERROR(__xludf.DUMMYFUNCTION("""COMPUTED_VALUE"""),"296-47781-6-ND")</f>
        <v>296-47781-6-ND</v>
      </c>
      <c r="H402" s="4"/>
      <c r="I402" s="4"/>
      <c r="J402" s="4"/>
      <c r="K402" s="4"/>
      <c r="L402" s="4"/>
      <c r="M402" s="4"/>
      <c r="N402" s="9" t="str">
        <f>IFERROR(__xludf.DUMMYFUNCTION("""COMPUTED_VALUE"""),"OEPS Q20 043")</f>
        <v>OEPS Q20 043</v>
      </c>
      <c r="O402" s="4" t="str">
        <f>IFERROR(__xludf.DUMMYFUNCTION("""COMPUTED_VALUE"""),"TS4231")</f>
        <v>TS4231</v>
      </c>
      <c r="P402" s="4" t="str">
        <f>IFERROR(__xludf.DUMMYFUNCTION("""COMPUTED_VALUE"""),"100(R) ")</f>
        <v>100(R) </v>
      </c>
      <c r="Q402" s="4">
        <f>IFERROR(__xludf.DUMMYFUNCTION("""COMPUTED_VALUE"""),100.0)</f>
        <v>100</v>
      </c>
      <c r="R402" s="4">
        <f>IFERROR(__xludf.DUMMYFUNCTION("""COMPUTED_VALUE"""),100.0)</f>
        <v>100</v>
      </c>
      <c r="S402" s="4" t="str">
        <f>IFERROR(__xludf.DUMMYFUNCTION("""COMPUTED_VALUE"""),"Reel")</f>
        <v>Reel</v>
      </c>
      <c r="T402" s="4" t="str">
        <f>IFERROR(__xludf.DUMMYFUNCTION("""COMPUTED_VALUE"""),"0822")</f>
        <v>0822</v>
      </c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>
      <c r="A403" s="4" t="str">
        <f>IFERROR(__xludf.DUMMYFUNCTION("""COMPUTED_VALUE"""),"IC:   DIGITAL ISOLATOR 6 Channel    [ISO7760DWR] [16-SOIC]")</f>
        <v>IC:   DIGITAL ISOLATOR 6 Channel    [ISO7760DWR] [16-SOIC]</v>
      </c>
      <c r="B403" s="4" t="str">
        <f>IFERROR(__xludf.DUMMYFUNCTION("""COMPUTED_VALUE"""),"OEPS080228")</f>
        <v>OEPS080228</v>
      </c>
      <c r="C403" s="4" t="str">
        <f>IFERROR(__xludf.DUMMYFUNCTION("""COMPUTED_VALUE"""),"SMD")</f>
        <v>SMD</v>
      </c>
      <c r="D403" s="4" t="str">
        <f>IFERROR(__xludf.DUMMYFUNCTION("""COMPUTED_VALUE"""),"ISO7760DWR")</f>
        <v>ISO7760DWR</v>
      </c>
      <c r="E403" s="4">
        <f>IFERROR(__xludf.DUMMYFUNCTION("""COMPUTED_VALUE"""),0.0)</f>
        <v>0</v>
      </c>
      <c r="F403" s="4" t="str">
        <f>IFERROR(__xludf.DUMMYFUNCTION("""COMPUTED_VALUE"""),"Digikey")</f>
        <v>Digikey</v>
      </c>
      <c r="G403" s="4" t="str">
        <f>IFERROR(__xludf.DUMMYFUNCTION("""COMPUTED_VALUE"""),"296-48142-6-ND")</f>
        <v>296-48142-6-ND</v>
      </c>
      <c r="H403" s="4"/>
      <c r="I403" s="4"/>
      <c r="J403" s="4"/>
      <c r="K403" s="4"/>
      <c r="L403" s="4"/>
      <c r="M403" s="4"/>
      <c r="N403" s="9" t="str">
        <f>IFERROR(__xludf.DUMMYFUNCTION("""COMPUTED_VALUE"""),"OEPS00001")</f>
        <v>OEPS00001</v>
      </c>
      <c r="O403" s="4" t="str">
        <f>IFERROR(__xludf.DUMMYFUNCTION("""COMPUTED_VALUE"""),"ERJ3GEYJ510V")</f>
        <v>ERJ3GEYJ510V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>
      <c r="A404" s="4" t="str">
        <f>IFERROR(__xludf.DUMMYFUNCTION("""COMPUTED_VALUE"""),"IC:   DIGITAL POT 100KOHM 256TAP (OEPS J05 037)   [TPL0102-100RUCR] [14-XFQFN]")</f>
        <v>IC:   DIGITAL POT 100KOHM 256TAP (OEPS J05 037)   [TPL0102-100RUCR] [14-XFQFN]</v>
      </c>
      <c r="B404" s="4" t="str">
        <f>IFERROR(__xludf.DUMMYFUNCTION("""COMPUTED_VALUE"""),"OEPS080075")</f>
        <v>OEPS080075</v>
      </c>
      <c r="C404" s="4" t="str">
        <f>IFERROR(__xludf.DUMMYFUNCTION("""COMPUTED_VALUE"""),"SMD")</f>
        <v>SMD</v>
      </c>
      <c r="D404" s="4" t="str">
        <f>IFERROR(__xludf.DUMMYFUNCTION("""COMPUTED_VALUE"""),"TPL0102-100RUCR")</f>
        <v>TPL0102-100RUCR</v>
      </c>
      <c r="E404" s="4">
        <f>IFERROR(__xludf.DUMMYFUNCTION("""COMPUTED_VALUE"""),3.0)</f>
        <v>3</v>
      </c>
      <c r="F404" s="4" t="str">
        <f>IFERROR(__xludf.DUMMYFUNCTION("""COMPUTED_VALUE"""),"DigiKey")</f>
        <v>DigiKey</v>
      </c>
      <c r="G404" s="4" t="str">
        <f>IFERROR(__xludf.DUMMYFUNCTION("""COMPUTED_VALUE"""),"296-28379-6-ND")</f>
        <v>296-28379-6-ND</v>
      </c>
      <c r="H404" s="4"/>
      <c r="I404" s="4"/>
      <c r="J404" s="4"/>
      <c r="K404" s="4"/>
      <c r="L404" s="4"/>
      <c r="M404" s="4"/>
      <c r="N404" s="9" t="str">
        <f>IFERROR(__xludf.DUMMYFUNCTION("""COMPUTED_VALUE"""),"OEPS00002")</f>
        <v>OEPS00002</v>
      </c>
      <c r="O404" s="4" t="str">
        <f>IFERROR(__xludf.DUMMYFUNCTION("""COMPUTED_VALUE"""),"ERJ-3GEYJ101V")</f>
        <v>ERJ-3GEYJ101V</v>
      </c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>
      <c r="A405" s="4" t="str">
        <f>IFERROR(__xludf.DUMMYFUNCTION("""COMPUTED_VALUE"""),"IC:   DIGITAL POT 50KOHM 256TAP   [AD5248BRMZ50] [10-MSOP]")</f>
        <v>IC:   DIGITAL POT 50KOHM 256TAP   [AD5248BRMZ50] [10-MSOP]</v>
      </c>
      <c r="B405" s="4" t="str">
        <f>IFERROR(__xludf.DUMMYFUNCTION("""COMPUTED_VALUE"""),"OEPS080058")</f>
        <v>OEPS080058</v>
      </c>
      <c r="C405" s="4" t="str">
        <f>IFERROR(__xludf.DUMMYFUNCTION("""COMPUTED_VALUE"""),"SMD")</f>
        <v>SMD</v>
      </c>
      <c r="D405" s="4" t="str">
        <f>IFERROR(__xludf.DUMMYFUNCTION("""COMPUTED_VALUE"""),"AD5248BRMZ50")</f>
        <v>AD5248BRMZ50</v>
      </c>
      <c r="E405" s="4">
        <f>IFERROR(__xludf.DUMMYFUNCTION("""COMPUTED_VALUE"""),2.0)</f>
        <v>2</v>
      </c>
      <c r="F405" s="4" t="str">
        <f>IFERROR(__xludf.DUMMYFUNCTION("""COMPUTED_VALUE"""),"DigiKey")</f>
        <v>DigiKey</v>
      </c>
      <c r="G405" s="4" t="str">
        <f>IFERROR(__xludf.DUMMYFUNCTION("""COMPUTED_VALUE"""),"505-AD5248BRMZ50-ND")</f>
        <v>505-AD5248BRMZ50-ND</v>
      </c>
      <c r="H405" s="4"/>
      <c r="I405" s="4"/>
      <c r="J405" s="4"/>
      <c r="K405" s="4"/>
      <c r="L405" s="4"/>
      <c r="M405" s="4"/>
      <c r="N405" s="9" t="str">
        <f>IFERROR(__xludf.DUMMYFUNCTION("""COMPUTED_VALUE"""),"OEPS00002A")</f>
        <v>OEPS00002A</v>
      </c>
      <c r="O405" s="4" t="str">
        <f>IFERROR(__xludf.DUMMYFUNCTION("""COMPUTED_VALUE"""),"RC0603JR-07100RL")</f>
        <v>RC0603JR-07100RL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>
      <c r="A406" s="4" t="str">
        <f>IFERROR(__xludf.DUMMYFUNCTION("""COMPUTED_VALUE"""),"IC:   DMOS Transistor Array 8 Channels   [TBD62083AFG,EL] [18-SOIC]")</f>
        <v>IC:   DMOS Transistor Array 8 Channels   [TBD62083AFG,EL] [18-SOIC]</v>
      </c>
      <c r="B406" s="4" t="str">
        <f>IFERROR(__xludf.DUMMYFUNCTION("""COMPUTED_VALUE"""),"OEPS080176")</f>
        <v>OEPS080176</v>
      </c>
      <c r="C406" s="4" t="str">
        <f>IFERROR(__xludf.DUMMYFUNCTION("""COMPUTED_VALUE"""),"SMD")</f>
        <v>SMD</v>
      </c>
      <c r="D406" s="4" t="str">
        <f>IFERROR(__xludf.DUMMYFUNCTION("""COMPUTED_VALUE"""),"TBD62083AFG,EL")</f>
        <v>TBD62083AFG,EL</v>
      </c>
      <c r="E406" s="4">
        <f>IFERROR(__xludf.DUMMYFUNCTION("""COMPUTED_VALUE"""),3.0)</f>
        <v>3</v>
      </c>
      <c r="F406" s="4" t="str">
        <f>IFERROR(__xludf.DUMMYFUNCTION("""COMPUTED_VALUE"""),"Digikey")</f>
        <v>Digikey</v>
      </c>
      <c r="G406" s="4" t="str">
        <f>IFERROR(__xludf.DUMMYFUNCTION("""COMPUTED_VALUE"""),"TBD62083AFGELDKR-ND")</f>
        <v>TBD62083AFGELDKR-ND</v>
      </c>
      <c r="H406" s="4"/>
      <c r="I406" s="4"/>
      <c r="J406" s="4"/>
      <c r="K406" s="4"/>
      <c r="L406" s="4"/>
      <c r="M406" s="4"/>
      <c r="N406" s="9" t="str">
        <f>IFERROR(__xludf.DUMMYFUNCTION("""COMPUTED_VALUE"""),"OEPS00003")</f>
        <v>OEPS00003</v>
      </c>
      <c r="O406" s="4" t="str">
        <f>IFERROR(__xludf.DUMMYFUNCTION("""COMPUTED_VALUE"""),"ERJ-3GEYJ562V")</f>
        <v>ERJ-3GEYJ562V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>
      <c r="A407" s="4" t="str">
        <f>IFERROR(__xludf.DUMMYFUNCTION("""COMPUTED_VALUE"""),"IC:   DRIVIC 4-70 Maxim MAX14574EWL 70 Vrms driver (OEPS J05 032)   [71010120A] [SMD]")</f>
        <v>IC:   DRIVIC 4-70 Maxim MAX14574EWL 70 Vrms driver (OEPS J05 032)   [71010120A] [SMD]</v>
      </c>
      <c r="B407" s="4" t="str">
        <f>IFERROR(__xludf.DUMMYFUNCTION("""COMPUTED_VALUE"""),"OEPS080070")</f>
        <v>OEPS080070</v>
      </c>
      <c r="C407" s="4" t="str">
        <f>IFERROR(__xludf.DUMMYFUNCTION("""COMPUTED_VALUE"""),"SMD")</f>
        <v>SMD</v>
      </c>
      <c r="D407" s="4" t="str">
        <f>IFERROR(__xludf.DUMMYFUNCTION("""COMPUTED_VALUE"""),"71010120A")</f>
        <v>71010120A</v>
      </c>
      <c r="E407" s="4">
        <f>IFERROR(__xludf.DUMMYFUNCTION("""COMPUTED_VALUE"""),2.0)</f>
        <v>2</v>
      </c>
      <c r="F407" s="4" t="str">
        <f>IFERROR(__xludf.DUMMYFUNCTION("""COMPUTED_VALUE"""),"Corning")</f>
        <v>Corning</v>
      </c>
      <c r="G407" s="4" t="str">
        <f>IFERROR(__xludf.DUMMYFUNCTION("""COMPUTED_VALUE"""),"71010120A")</f>
        <v>71010120A</v>
      </c>
      <c r="H407" s="4"/>
      <c r="I407" s="4"/>
      <c r="J407" s="4"/>
      <c r="K407" s="4"/>
      <c r="L407" s="4"/>
      <c r="M407" s="4"/>
      <c r="N407" s="9" t="str">
        <f>IFERROR(__xludf.DUMMYFUNCTION("""COMPUTED_VALUE"""),"OEPS00004")</f>
        <v>OEPS00004</v>
      </c>
      <c r="O407" s="4" t="str">
        <f>IFERROR(__xludf.DUMMYFUNCTION("""COMPUTED_VALUE"""),"ERJ-3GEYJ103V")</f>
        <v>ERJ-3GEYJ103V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>
      <c r="A408" s="4" t="str">
        <f>IFERROR(__xludf.DUMMYFUNCTION("""COMPUTED_VALUE"""),"IC:   EEPROM 2MBIT I2C 1MHZ (OEPS J30 045A)   [M24M02-DRMN6TP] [8-SOIC]")</f>
        <v>IC:   EEPROM 2MBIT I2C 1MHZ (OEPS J30 045A)   [M24M02-DRMN6TP] [8-SOIC]</v>
      </c>
      <c r="B408" s="4" t="str">
        <f>IFERROR(__xludf.DUMMYFUNCTION("""COMPUTED_VALUE"""),"OEPS080141")</f>
        <v>OEPS080141</v>
      </c>
      <c r="C408" s="4" t="str">
        <f>IFERROR(__xludf.DUMMYFUNCTION("""COMPUTED_VALUE"""),"SMD")</f>
        <v>SMD</v>
      </c>
      <c r="D408" s="4" t="str">
        <f>IFERROR(__xludf.DUMMYFUNCTION("""COMPUTED_VALUE"""),"M24M02-DRMN6TP")</f>
        <v>M24M02-DRMN6TP</v>
      </c>
      <c r="E408" s="4">
        <f>IFERROR(__xludf.DUMMYFUNCTION("""COMPUTED_VALUE"""),1.0)</f>
        <v>1</v>
      </c>
      <c r="F408" s="4" t="str">
        <f>IFERROR(__xludf.DUMMYFUNCTION("""COMPUTED_VALUE"""),"Digikey")</f>
        <v>Digikey</v>
      </c>
      <c r="G408" s="4" t="str">
        <f>IFERROR(__xludf.DUMMYFUNCTION("""COMPUTED_VALUE"""),"497-11600-6-ND")</f>
        <v>497-11600-6-ND</v>
      </c>
      <c r="H408" s="4"/>
      <c r="I408" s="4"/>
      <c r="J408" s="4"/>
      <c r="K408" s="4"/>
      <c r="L408" s="4"/>
      <c r="M408" s="4"/>
      <c r="N408" s="9" t="str">
        <f>IFERROR(__xludf.DUMMYFUNCTION("""COMPUTED_VALUE"""),"OEPS00005")</f>
        <v>OEPS00005</v>
      </c>
      <c r="O408" s="4" t="str">
        <f>IFERROR(__xludf.DUMMYFUNCTION("""COMPUTED_VALUE"""),"ERJ-3EKF2552V")</f>
        <v>ERJ-3EKF2552V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>
      <c r="A409" s="4" t="str">
        <f>IFERROR(__xludf.DUMMYFUNCTION("""COMPUTED_VALUE"""),"IC:   EEPROM 64KBIT I2C   [24AA64-I/ST] [8-TSSOP]")</f>
        <v>IC:   EEPROM 64KBIT I2C   [24AA64-I/ST] [8-TSSOP]</v>
      </c>
      <c r="B409" s="4" t="str">
        <f>IFERROR(__xludf.DUMMYFUNCTION("""COMPUTED_VALUE"""),"OEPS080217")</f>
        <v>OEPS080217</v>
      </c>
      <c r="C409" s="4" t="str">
        <f>IFERROR(__xludf.DUMMYFUNCTION("""COMPUTED_VALUE"""),"SMD")</f>
        <v>SMD</v>
      </c>
      <c r="D409" s="4" t="str">
        <f>IFERROR(__xludf.DUMMYFUNCTION("""COMPUTED_VALUE"""),"24AA64-I/ST")</f>
        <v>24AA64-I/ST</v>
      </c>
      <c r="E409" s="4">
        <f>IFERROR(__xludf.DUMMYFUNCTION("""COMPUTED_VALUE"""),5.0)</f>
        <v>5</v>
      </c>
      <c r="F409" s="4" t="str">
        <f>IFERROR(__xludf.DUMMYFUNCTION("""COMPUTED_VALUE"""),"Digikey")</f>
        <v>Digikey</v>
      </c>
      <c r="G409" s="4" t="str">
        <f>IFERROR(__xludf.DUMMYFUNCTION("""COMPUTED_VALUE"""),"24AA64-I/ST-ND")</f>
        <v>24AA64-I/ST-ND</v>
      </c>
      <c r="H409" s="4"/>
      <c r="I409" s="4"/>
      <c r="J409" s="4"/>
      <c r="K409" s="4"/>
      <c r="L409" s="4"/>
      <c r="M409" s="4"/>
      <c r="N409" s="9" t="str">
        <f>IFERROR(__xludf.DUMMYFUNCTION("""COMPUTED_VALUE"""),"OEPS00006")</f>
        <v>OEPS00006</v>
      </c>
      <c r="O409" s="4" t="str">
        <f>IFERROR(__xludf.DUMMYFUNCTION("""COMPUTED_VALUE"""),"ERJ-3EKF2742V")</f>
        <v>ERJ-3EKF2742V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>
      <c r="A410" s="4" t="str">
        <f>IFERROR(__xludf.DUMMYFUNCTION("""COMPUTED_VALUE"""),"IC:   EEPROM 64KBIT I2C   [24CW640T-I/CS0668] [4-XFBGA]")</f>
        <v>IC:   EEPROM 64KBIT I2C   [24CW640T-I/CS0668] [4-XFBGA]</v>
      </c>
      <c r="B410" s="4" t="str">
        <f>IFERROR(__xludf.DUMMYFUNCTION("""COMPUTED_VALUE"""),"OEPS080148")</f>
        <v>OEPS080148</v>
      </c>
      <c r="C410" s="4" t="str">
        <f>IFERROR(__xludf.DUMMYFUNCTION("""COMPUTED_VALUE"""),"SMD")</f>
        <v>SMD</v>
      </c>
      <c r="D410" s="4" t="str">
        <f>IFERROR(__xludf.DUMMYFUNCTION("""COMPUTED_VALUE"""),"24CW640T-I/CS0668")</f>
        <v>24CW640T-I/CS0668</v>
      </c>
      <c r="E410" s="4">
        <f>IFERROR(__xludf.DUMMYFUNCTION("""COMPUTED_VALUE"""),10.0)</f>
        <v>10</v>
      </c>
      <c r="F410" s="4" t="str">
        <f>IFERROR(__xludf.DUMMYFUNCTION("""COMPUTED_VALUE"""),"DigiKey")</f>
        <v>DigiKey</v>
      </c>
      <c r="G410" s="4" t="str">
        <f>IFERROR(__xludf.DUMMYFUNCTION("""COMPUTED_VALUE"""),"24CW640T-I/CS0668DKR-ND")</f>
        <v>24CW640T-I/CS0668DKR-ND</v>
      </c>
      <c r="H410" s="4"/>
      <c r="I410" s="4"/>
      <c r="J410" s="4"/>
      <c r="K410" s="4"/>
      <c r="L410" s="4"/>
      <c r="M410" s="4"/>
      <c r="N410" s="9" t="str">
        <f>IFERROR(__xludf.DUMMYFUNCTION("""COMPUTED_VALUE"""),"OEPS00007")</f>
        <v>OEPS00007</v>
      </c>
      <c r="O410" s="4" t="str">
        <f>IFERROR(__xludf.DUMMYFUNCTION("""COMPUTED_VALUE"""),"ERJ-3EKF3012V")</f>
        <v>ERJ-3EKF3012V</v>
      </c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>
      <c r="A411" s="4" t="str">
        <f>IFERROR(__xludf.DUMMYFUNCTION("""COMPUTED_VALUE"""),"IC:   EEPROM 64KBIT I2C   [AT24C64D-SSHM-T] [8-SOIC]")</f>
        <v>IC:   EEPROM 64KBIT I2C   [AT24C64D-SSHM-T] [8-SOIC]</v>
      </c>
      <c r="B411" s="4" t="str">
        <f>IFERROR(__xludf.DUMMYFUNCTION("""COMPUTED_VALUE"""),"OEPS080150")</f>
        <v>OEPS080150</v>
      </c>
      <c r="C411" s="4" t="str">
        <f>IFERROR(__xludf.DUMMYFUNCTION("""COMPUTED_VALUE"""),"SMD")</f>
        <v>SMD</v>
      </c>
      <c r="D411" s="4" t="str">
        <f>IFERROR(__xludf.DUMMYFUNCTION("""COMPUTED_VALUE"""),"AT24C64D-SSHM-T")</f>
        <v>AT24C64D-SSHM-T</v>
      </c>
      <c r="E411" s="4">
        <f>IFERROR(__xludf.DUMMYFUNCTION("""COMPUTED_VALUE"""),3.0)</f>
        <v>3</v>
      </c>
      <c r="F411" s="4" t="str">
        <f>IFERROR(__xludf.DUMMYFUNCTION("""COMPUTED_VALUE"""),"DigiKey")</f>
        <v>DigiKey</v>
      </c>
      <c r="G411" s="4" t="str">
        <f>IFERROR(__xludf.DUMMYFUNCTION("""COMPUTED_VALUE"""),"AT24C64D-SSHM-TDKR-ND")</f>
        <v>AT24C64D-SSHM-TDKR-ND</v>
      </c>
      <c r="H411" s="4"/>
      <c r="I411" s="4"/>
      <c r="J411" s="4"/>
      <c r="K411" s="4"/>
      <c r="L411" s="4"/>
      <c r="M411" s="4"/>
      <c r="N411" s="9" t="str">
        <f>IFERROR(__xludf.DUMMYFUNCTION("""COMPUTED_VALUE"""),"OEPS00007A")</f>
        <v>OEPS00007A</v>
      </c>
      <c r="O411" s="4" t="str">
        <f>IFERROR(__xludf.DUMMYFUNCTION("""COMPUTED_VALUE"""),"RC0603FR-0730K1L")</f>
        <v>RC0603FR-0730K1L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>
      <c r="A412" s="4" t="str">
        <f>IFERROR(__xludf.DUMMYFUNCTION("""COMPUTED_VALUE"""),"IC:   EEPROM 64KBIT I2C   [M24C64-FCS6TP/K] [WLCSP-5]")</f>
        <v>IC:   EEPROM 64KBIT I2C   [M24C64-FCS6TP/K] [WLCSP-5]</v>
      </c>
      <c r="B412" s="4" t="str">
        <f>IFERROR(__xludf.DUMMYFUNCTION("""COMPUTED_VALUE"""),"OEPS080050")</f>
        <v>OEPS080050</v>
      </c>
      <c r="C412" s="4" t="str">
        <f>IFERROR(__xludf.DUMMYFUNCTION("""COMPUTED_VALUE"""),"SMD")</f>
        <v>SMD</v>
      </c>
      <c r="D412" s="4" t="str">
        <f>IFERROR(__xludf.DUMMYFUNCTION("""COMPUTED_VALUE"""),"M24C64-FCS6TP/K")</f>
        <v>M24C64-FCS6TP/K</v>
      </c>
      <c r="E412" s="4">
        <f>IFERROR(__xludf.DUMMYFUNCTION("""COMPUTED_VALUE"""),3.0)</f>
        <v>3</v>
      </c>
      <c r="F412" s="4" t="str">
        <f>IFERROR(__xludf.DUMMYFUNCTION("""COMPUTED_VALUE"""),"DigiKey")</f>
        <v>DigiKey</v>
      </c>
      <c r="G412" s="4" t="str">
        <f>IFERROR(__xludf.DUMMYFUNCTION("""COMPUTED_VALUE"""),"497-13610-6-ND")</f>
        <v>497-13610-6-ND</v>
      </c>
      <c r="H412" s="4"/>
      <c r="I412" s="4"/>
      <c r="J412" s="4"/>
      <c r="K412" s="4"/>
      <c r="L412" s="4"/>
      <c r="M412" s="4"/>
      <c r="N412" s="9" t="str">
        <f>IFERROR(__xludf.DUMMYFUNCTION("""COMPUTED_VALUE"""),"OEPS00008")</f>
        <v>OEPS00008</v>
      </c>
      <c r="O412" s="4" t="str">
        <f>IFERROR(__xludf.DUMMYFUNCTION("""COMPUTED_VALUE"""),"ERJ-3EKF3092V")</f>
        <v>ERJ-3EKF3092V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>
      <c r="A413" s="4" t="str">
        <f>IFERROR(__xludf.DUMMYFUNCTION("""COMPUTED_VALUE"""),"IC:   EEPROM 64KBIT I2C   [M24C64-FMN6TP] [8-SOIC]")</f>
        <v>IC:   EEPROM 64KBIT I2C   [M24C64-FMN6TP] [8-SOIC]</v>
      </c>
      <c r="B413" s="4" t="str">
        <f>IFERROR(__xludf.DUMMYFUNCTION("""COMPUTED_VALUE"""),"OEPS080112")</f>
        <v>OEPS080112</v>
      </c>
      <c r="C413" s="4" t="str">
        <f>IFERROR(__xludf.DUMMYFUNCTION("""COMPUTED_VALUE"""),"SMD")</f>
        <v>SMD</v>
      </c>
      <c r="D413" s="4" t="str">
        <f>IFERROR(__xludf.DUMMYFUNCTION("""COMPUTED_VALUE"""),"M24C64-FMN6TP")</f>
        <v>M24C64-FMN6TP</v>
      </c>
      <c r="E413" s="4">
        <f>IFERROR(__xludf.DUMMYFUNCTION("""COMPUTED_VALUE"""),3.0)</f>
        <v>3</v>
      </c>
      <c r="F413" s="4" t="str">
        <f>IFERROR(__xludf.DUMMYFUNCTION("""COMPUTED_VALUE"""),"DigiKey")</f>
        <v>DigiKey</v>
      </c>
      <c r="G413" s="4" t="str">
        <f>IFERROR(__xludf.DUMMYFUNCTION("""COMPUTED_VALUE"""),"497-15762-6-ND")</f>
        <v>497-15762-6-ND</v>
      </c>
      <c r="H413" s="4"/>
      <c r="I413" s="4"/>
      <c r="J413" s="4"/>
      <c r="K413" s="4"/>
      <c r="L413" s="4"/>
      <c r="M413" s="4"/>
      <c r="N413" s="9" t="str">
        <f>IFERROR(__xludf.DUMMYFUNCTION("""COMPUTED_VALUE"""),"OEPS00009")</f>
        <v>OEPS00009</v>
      </c>
      <c r="O413" s="4" t="str">
        <f>IFERROR(__xludf.DUMMYFUNCTION("""COMPUTED_VALUE"""),"ERJ-3GEYJ563V")</f>
        <v>ERJ-3GEYJ563V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>
      <c r="A414" s="4" t="str">
        <f>IFERROR(__xludf.DUMMYFUNCTION("""COMPUTED_VALUE"""),"IC:   FIXED BUCK REG 1.8V 500mA (OEPS J30 043)   [TPS62231DRYT] [6-UFDFN]")</f>
        <v>IC:   FIXED BUCK REG 1.8V 500mA (OEPS J30 043)   [TPS62231DRYT] [6-UFDFN]</v>
      </c>
      <c r="B414" s="4" t="str">
        <f>IFERROR(__xludf.DUMMYFUNCTION("""COMPUTED_VALUE"""),"OEPS080139")</f>
        <v>OEPS080139</v>
      </c>
      <c r="C414" s="4" t="str">
        <f>IFERROR(__xludf.DUMMYFUNCTION("""COMPUTED_VALUE"""),"SMD")</f>
        <v>SMD</v>
      </c>
      <c r="D414" s="4" t="str">
        <f>IFERROR(__xludf.DUMMYFUNCTION("""COMPUTED_VALUE"""),"TPS62231DRYT")</f>
        <v>TPS62231DRYT</v>
      </c>
      <c r="E414" s="4">
        <f>IFERROR(__xludf.DUMMYFUNCTION("""COMPUTED_VALUE"""),5.0)</f>
        <v>5</v>
      </c>
      <c r="F414" s="4" t="str">
        <f>IFERROR(__xludf.DUMMYFUNCTION("""COMPUTED_VALUE"""),"Digikey")</f>
        <v>Digikey</v>
      </c>
      <c r="G414" s="4" t="str">
        <f>IFERROR(__xludf.DUMMYFUNCTION("""COMPUTED_VALUE"""),"296-24485-6-ND")</f>
        <v>296-24485-6-ND</v>
      </c>
      <c r="H414" s="4"/>
      <c r="I414" s="4"/>
      <c r="J414" s="4"/>
      <c r="K414" s="4"/>
      <c r="L414" s="4"/>
      <c r="M414" s="4"/>
      <c r="N414" s="9" t="str">
        <f>IFERROR(__xludf.DUMMYFUNCTION("""COMPUTED_VALUE"""),"OEPS00010")</f>
        <v>OEPS00010</v>
      </c>
      <c r="O414" s="4" t="str">
        <f>IFERROR(__xludf.DUMMYFUNCTION("""COMPUTED_VALUE"""),"ERJ3-3GEYJ823V")</f>
        <v>ERJ3-3GEYJ823V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>
      <c r="A415" s="4" t="str">
        <f>IFERROR(__xludf.DUMMYFUNCTION("""COMPUTED_VALUE"""),"IC:   FIXED REG BUCK 1.8V 1.6A   [TPS62061DSGT] [8-WSON (2x2)]")</f>
        <v>IC:   FIXED REG BUCK 1.8V 1.6A   [TPS62061DSGT] [8-WSON (2x2)]</v>
      </c>
      <c r="B415" s="4" t="str">
        <f>IFERROR(__xludf.DUMMYFUNCTION("""COMPUTED_VALUE"""),"OEPS080219")</f>
        <v>OEPS080219</v>
      </c>
      <c r="C415" s="4" t="str">
        <f>IFERROR(__xludf.DUMMYFUNCTION("""COMPUTED_VALUE"""),"SMD")</f>
        <v>SMD</v>
      </c>
      <c r="D415" s="4" t="str">
        <f>IFERROR(__xludf.DUMMYFUNCTION("""COMPUTED_VALUE"""),"TPS62061DSGT")</f>
        <v>TPS62061DSGT</v>
      </c>
      <c r="E415" s="4">
        <f>IFERROR(__xludf.DUMMYFUNCTION("""COMPUTED_VALUE"""),2.0)</f>
        <v>2</v>
      </c>
      <c r="F415" s="4" t="str">
        <f>IFERROR(__xludf.DUMMYFUNCTION("""COMPUTED_VALUE"""),"Digikey")</f>
        <v>Digikey</v>
      </c>
      <c r="G415" s="4" t="str">
        <f>IFERROR(__xludf.DUMMYFUNCTION("""COMPUTED_VALUE"""),"296-TPS62061DSGTDKR-ND")</f>
        <v>296-TPS62061DSGTDKR-ND</v>
      </c>
      <c r="H415" s="4"/>
      <c r="I415" s="4"/>
      <c r="J415" s="4"/>
      <c r="K415" s="4"/>
      <c r="L415" s="4"/>
      <c r="M415" s="4"/>
      <c r="N415" s="9" t="str">
        <f>IFERROR(__xludf.DUMMYFUNCTION("""COMPUTED_VALUE"""),"OEPS00011")</f>
        <v>OEPS00011</v>
      </c>
      <c r="O415" s="4" t="str">
        <f>IFERROR(__xludf.DUMMYFUNCTION("""COMPUTED_VALUE"""),"ERJ-3EKF9532V")</f>
        <v>ERJ-3EKF9532V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>
      <c r="A416" s="4" t="str">
        <f>IFERROR(__xludf.DUMMYFUNCTION("""COMPUTED_VALUE"""),"IC:   FLASH 128MBIT SPI/QUAD   [W25Q128JVSIQ] [8-SOIC]")</f>
        <v>IC:   FLASH 128MBIT SPI/QUAD   [W25Q128JVSIQ] [8-SOIC]</v>
      </c>
      <c r="B416" s="4" t="str">
        <f>IFERROR(__xludf.DUMMYFUNCTION("""COMPUTED_VALUE"""),"OEPS080163")</f>
        <v>OEPS080163</v>
      </c>
      <c r="C416" s="4" t="str">
        <f>IFERROR(__xludf.DUMMYFUNCTION("""COMPUTED_VALUE"""),"SMD")</f>
        <v>SMD</v>
      </c>
      <c r="D416" s="4" t="str">
        <f>IFERROR(__xludf.DUMMYFUNCTION("""COMPUTED_VALUE"""),"W25Q128JVSIQ")</f>
        <v>W25Q128JVSIQ</v>
      </c>
      <c r="E416" s="4">
        <f>IFERROR(__xludf.DUMMYFUNCTION("""COMPUTED_VALUE"""),3.0)</f>
        <v>3</v>
      </c>
      <c r="F416" s="4" t="str">
        <f>IFERROR(__xludf.DUMMYFUNCTION("""COMPUTED_VALUE"""),"Digikey")</f>
        <v>Digikey</v>
      </c>
      <c r="G416" s="4" t="str">
        <f>IFERROR(__xludf.DUMMYFUNCTION("""COMPUTED_VALUE"""),"W25Q128JVSIQ-ND")</f>
        <v>W25Q128JVSIQ-ND</v>
      </c>
      <c r="H416" s="4"/>
      <c r="I416" s="4"/>
      <c r="J416" s="4"/>
      <c r="K416" s="4"/>
      <c r="L416" s="4"/>
      <c r="M416" s="4"/>
      <c r="N416" s="9" t="str">
        <f>IFERROR(__xludf.DUMMYFUNCTION("""COMPUTED_VALUE"""),"OEPS00012")</f>
        <v>OEPS00012</v>
      </c>
      <c r="O416" s="4" t="str">
        <f>IFERROR(__xludf.DUMMYFUNCTION("""COMPUTED_VALUE"""),"ERJ-3GEYJ105V")</f>
        <v>ERJ-3GEYJ105V</v>
      </c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>
      <c r="A417" s="4" t="str">
        <f>IFERROR(__xludf.DUMMYFUNCTION("""COMPUTED_VALUE"""),"IC:   FLASH 8MBIT SPI/QUAD   [AT25SF081B-SSHD-T] [	8-SOIC]")</f>
        <v>IC:   FLASH 8MBIT SPI/QUAD   [AT25SF081B-SSHD-T] [	8-SOIC]</v>
      </c>
      <c r="B417" s="4" t="str">
        <f>IFERROR(__xludf.DUMMYFUNCTION("""COMPUTED_VALUE"""),"OEPS080055")</f>
        <v>OEPS080055</v>
      </c>
      <c r="C417" s="4" t="str">
        <f>IFERROR(__xludf.DUMMYFUNCTION("""COMPUTED_VALUE"""),"SMD")</f>
        <v>SMD</v>
      </c>
      <c r="D417" s="4" t="str">
        <f>IFERROR(__xludf.DUMMYFUNCTION("""COMPUTED_VALUE"""),"AT25SF081B-SSHD-T")</f>
        <v>AT25SF081B-SSHD-T</v>
      </c>
      <c r="E417" s="4">
        <f>IFERROR(__xludf.DUMMYFUNCTION("""COMPUTED_VALUE"""),2.0)</f>
        <v>2</v>
      </c>
      <c r="F417" s="4" t="str">
        <f>IFERROR(__xludf.DUMMYFUNCTION("""COMPUTED_VALUE"""),"DigiKey")</f>
        <v>DigiKey</v>
      </c>
      <c r="G417" s="4" t="str">
        <f>IFERROR(__xludf.DUMMYFUNCTION("""COMPUTED_VALUE"""),"1695-AT25SF081B-SSHD-TDKR-ND")</f>
        <v>1695-AT25SF081B-SSHD-TDKR-ND</v>
      </c>
      <c r="H417" s="4"/>
      <c r="I417" s="4"/>
      <c r="J417" s="4"/>
      <c r="K417" s="4"/>
      <c r="L417" s="4"/>
      <c r="M417" s="4"/>
      <c r="N417" s="9" t="str">
        <f>IFERROR(__xludf.DUMMYFUNCTION("""COMPUTED_VALUE"""),"OEPS00013")</f>
        <v>OEPS00013</v>
      </c>
      <c r="O417" s="4" t="str">
        <f>IFERROR(__xludf.DUMMYFUNCTION("""COMPUTED_VALUE"""),"C1608C0G1H150J080AA")</f>
        <v>C1608C0G1H150J080AA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>
      <c r="A418" s="4" t="str">
        <f>IFERROR(__xludf.DUMMYFUNCTION("""COMPUTED_VALUE"""),"IC:   FLASH 8MBIT SPI/QUAD   [W25Q80EWUXIE TR] [8-USON]")</f>
        <v>IC:   FLASH 8MBIT SPI/QUAD   [W25Q80EWUXIE TR] [8-USON]</v>
      </c>
      <c r="B418" s="4" t="str">
        <f>IFERROR(__xludf.DUMMYFUNCTION("""COMPUTED_VALUE"""),"OEPS080101")</f>
        <v>OEPS080101</v>
      </c>
      <c r="C418" s="4" t="str">
        <f>IFERROR(__xludf.DUMMYFUNCTION("""COMPUTED_VALUE"""),"SMD")</f>
        <v>SMD</v>
      </c>
      <c r="D418" s="4" t="str">
        <f>IFERROR(__xludf.DUMMYFUNCTION("""COMPUTED_VALUE"""),"W25Q80EWUXIE TR")</f>
        <v>W25Q80EWUXIE TR</v>
      </c>
      <c r="E418" s="4">
        <f>IFERROR(__xludf.DUMMYFUNCTION("""COMPUTED_VALUE"""),5.0)</f>
        <v>5</v>
      </c>
      <c r="F418" s="4" t="str">
        <f>IFERROR(__xludf.DUMMYFUNCTION("""COMPUTED_VALUE"""),"Mouser")</f>
        <v>Mouser</v>
      </c>
      <c r="G418" s="4" t="str">
        <f>IFERROR(__xludf.DUMMYFUNCTION("""COMPUTED_VALUE"""),"454-W25Q80EWUXIETR")</f>
        <v>454-W25Q80EWUXIETR</v>
      </c>
      <c r="H418" s="4"/>
      <c r="I418" s="4"/>
      <c r="J418" s="4"/>
      <c r="K418" s="4"/>
      <c r="L418" s="4"/>
      <c r="M418" s="4"/>
      <c r="N418" s="9" t="str">
        <f>IFERROR(__xludf.DUMMYFUNCTION("""COMPUTED_VALUE"""),"OEPS00014")</f>
        <v>OEPS00014</v>
      </c>
      <c r="O418" s="4" t="str">
        <f>IFERROR(__xludf.DUMMYFUNCTION("""COMPUTED_VALUE"""),"C1608X7R2A102K080AA")</f>
        <v>C1608X7R2A102K080AA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>
      <c r="A419" s="4" t="str">
        <f>IFERROR(__xludf.DUMMYFUNCTION("""COMPUTED_VALUE"""),"IC:   FPGA 21 I/O 30WLCSP   [ICE40UP5K-UWG30ITR1K] [30-WLCSP]")</f>
        <v>IC:   FPGA 21 I/O 30WLCSP   [ICE40UP5K-UWG30ITR1K] [30-WLCSP]</v>
      </c>
      <c r="B419" s="4" t="str">
        <f>IFERROR(__xludf.DUMMYFUNCTION("""COMPUTED_VALUE"""),"OEPS080236")</f>
        <v>OEPS080236</v>
      </c>
      <c r="C419" s="4" t="str">
        <f>IFERROR(__xludf.DUMMYFUNCTION("""COMPUTED_VALUE"""),"SMD")</f>
        <v>SMD</v>
      </c>
      <c r="D419" s="4" t="str">
        <f>IFERROR(__xludf.DUMMYFUNCTION("""COMPUTED_VALUE"""),"ICE40UP5K-UWG30ITR1K")</f>
        <v>ICE40UP5K-UWG30ITR1K</v>
      </c>
      <c r="E419" s="4">
        <f>IFERROR(__xludf.DUMMYFUNCTION("""COMPUTED_VALUE"""),0.0)</f>
        <v>0</v>
      </c>
      <c r="F419" s="4" t="str">
        <f>IFERROR(__xludf.DUMMYFUNCTION("""COMPUTED_VALUE"""),"DigiKey")</f>
        <v>DigiKey</v>
      </c>
      <c r="G419" s="4" t="str">
        <f>IFERROR(__xludf.DUMMYFUNCTION("""COMPUTED_VALUE"""),"220-2215-6-ND")</f>
        <v>220-2215-6-ND</v>
      </c>
      <c r="H419" s="4"/>
      <c r="I419" s="4"/>
      <c r="J419" s="4"/>
      <c r="K419" s="4"/>
      <c r="L419" s="4"/>
      <c r="M419" s="4"/>
      <c r="N419" s="9" t="str">
        <f>IFERROR(__xludf.DUMMYFUNCTION("""COMPUTED_VALUE"""),"OEPS00015")</f>
        <v>OEPS00015</v>
      </c>
      <c r="O419" s="4" t="str">
        <f>IFERROR(__xludf.DUMMYFUNCTION("""COMPUTED_VALUE"""),"C1608X7R1H103K080AA")</f>
        <v>C1608X7R1H103K080AA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>
      <c r="A420" s="4" t="str">
        <f>IFERROR(__xludf.DUMMYFUNCTION("""COMPUTED_VALUE"""),"IC:   FPGA 29 I/O 64UCFBGA   [LIF-MD6000-6UMG64I] [64-ucfBGA (3.5x3.5)]")</f>
        <v>IC:   FPGA 29 I/O 64UCFBGA   [LIF-MD6000-6UMG64I] [64-ucfBGA (3.5x3.5)]</v>
      </c>
      <c r="B420" s="4" t="str">
        <f>IFERROR(__xludf.DUMMYFUNCTION("""COMPUTED_VALUE"""),"OEPS080099")</f>
        <v>OEPS080099</v>
      </c>
      <c r="C420" s="4" t="str">
        <f>IFERROR(__xludf.DUMMYFUNCTION("""COMPUTED_VALUE"""),"SMD")</f>
        <v>SMD</v>
      </c>
      <c r="D420" s="4" t="str">
        <f>IFERROR(__xludf.DUMMYFUNCTION("""COMPUTED_VALUE"""),"LIF-MD6000-6UMG64I")</f>
        <v>LIF-MD6000-6UMG64I</v>
      </c>
      <c r="E420" s="4">
        <f>IFERROR(__xludf.DUMMYFUNCTION("""COMPUTED_VALUE"""),0.0)</f>
        <v>0</v>
      </c>
      <c r="F420" s="4" t="str">
        <f>IFERROR(__xludf.DUMMYFUNCTION("""COMPUTED_VALUE"""),"DigiKey")</f>
        <v>DigiKey</v>
      </c>
      <c r="G420" s="4" t="str">
        <f>IFERROR(__xludf.DUMMYFUNCTION("""COMPUTED_VALUE"""),"220-2172-ND")</f>
        <v>220-2172-ND</v>
      </c>
      <c r="H420" s="4"/>
      <c r="I420" s="4"/>
      <c r="J420" s="4"/>
      <c r="K420" s="4"/>
      <c r="L420" s="4"/>
      <c r="M420" s="4"/>
      <c r="N420" s="9" t="str">
        <f>IFERROR(__xludf.DUMMYFUNCTION("""COMPUTED_VALUE"""),"OEPS00016")</f>
        <v>OEPS00016</v>
      </c>
      <c r="O420" s="4" t="str">
        <f>IFERROR(__xludf.DUMMYFUNCTION("""COMPUTED_VALUE"""),"06033C104K4T2A")</f>
        <v>06033C104K4T2A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>
      <c r="A421" s="4" t="str">
        <f>IFERROR(__xludf.DUMMYFUNCTION("""COMPUTED_VALUE"""),"IC:   FPGA 63 I/O 81UCBGA   [ICE40LP8K-CM81] [81-VFBGA]")</f>
        <v>IC:   FPGA 63 I/O 81UCBGA   [ICE40LP8K-CM81] [81-VFBGA]</v>
      </c>
      <c r="B421" s="4" t="str">
        <f>IFERROR(__xludf.DUMMYFUNCTION("""COMPUTED_VALUE"""),"OEPS080054")</f>
        <v>OEPS080054</v>
      </c>
      <c r="C421" s="4" t="str">
        <f>IFERROR(__xludf.DUMMYFUNCTION("""COMPUTED_VALUE"""),"SMD")</f>
        <v>SMD</v>
      </c>
      <c r="D421" s="4" t="str">
        <f>IFERROR(__xludf.DUMMYFUNCTION("""COMPUTED_VALUE"""),"ICE40LP8K-CM81")</f>
        <v>ICE40LP8K-CM81</v>
      </c>
      <c r="E421" s="4">
        <f>IFERROR(__xludf.DUMMYFUNCTION("""COMPUTED_VALUE"""),0.0)</f>
        <v>0</v>
      </c>
      <c r="F421" s="4" t="str">
        <f>IFERROR(__xludf.DUMMYFUNCTION("""COMPUTED_VALUE"""),"DigiKey")</f>
        <v>DigiKey</v>
      </c>
      <c r="G421" s="4" t="str">
        <f>IFERROR(__xludf.DUMMYFUNCTION("""COMPUTED_VALUE"""),"220-1858-ND")</f>
        <v>220-1858-ND</v>
      </c>
      <c r="H421" s="4"/>
      <c r="I421" s="4"/>
      <c r="J421" s="4"/>
      <c r="K421" s="4"/>
      <c r="L421" s="4"/>
      <c r="M421" s="4"/>
      <c r="N421" s="9" t="str">
        <f>IFERROR(__xludf.DUMMYFUNCTION("""COMPUTED_VALUE"""),"OEPS00017")</f>
        <v>OEPS00017</v>
      </c>
      <c r="O421" s="4" t="str">
        <f>IFERROR(__xludf.DUMMYFUNCTION("""COMPUTED_VALUE"""),"C2012X5R1C105K085AA")</f>
        <v>C2012X5R1C105K085AA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>
      <c r="A422" s="4" t="str">
        <f>IFERROR(__xludf.DUMMYFUNCTION("""COMPUTED_VALUE"""),"IC:   GATE NAND 2CH 2-INP   [SN74LVC2G132DCUR] [8VSSOP]")</f>
        <v>IC:   GATE NAND 2CH 2-INP   [SN74LVC2G132DCUR] [8VSSOP]</v>
      </c>
      <c r="B422" s="4" t="str">
        <f>IFERROR(__xludf.DUMMYFUNCTION("""COMPUTED_VALUE"""),"OEPS080162")</f>
        <v>OEPS080162</v>
      </c>
      <c r="C422" s="4" t="str">
        <f>IFERROR(__xludf.DUMMYFUNCTION("""COMPUTED_VALUE"""),"SMD")</f>
        <v>SMD</v>
      </c>
      <c r="D422" s="4" t="str">
        <f>IFERROR(__xludf.DUMMYFUNCTION("""COMPUTED_VALUE"""),"SN74LVC2G132DCUR")</f>
        <v>SN74LVC2G132DCUR</v>
      </c>
      <c r="E422" s="4">
        <f>IFERROR(__xludf.DUMMYFUNCTION("""COMPUTED_VALUE"""),3.0)</f>
        <v>3</v>
      </c>
      <c r="F422" s="4" t="str">
        <f>IFERROR(__xludf.DUMMYFUNCTION("""COMPUTED_VALUE"""),"Digikey")</f>
        <v>Digikey</v>
      </c>
      <c r="G422" s="4" t="str">
        <f>IFERROR(__xludf.DUMMYFUNCTION("""COMPUTED_VALUE"""),"296-18802-6-ND")</f>
        <v>296-18802-6-ND</v>
      </c>
      <c r="H422" s="4"/>
      <c r="I422" s="4"/>
      <c r="J422" s="4"/>
      <c r="K422" s="4"/>
      <c r="L422" s="4"/>
      <c r="M422" s="4"/>
      <c r="N422" s="9" t="str">
        <f>IFERROR(__xludf.DUMMYFUNCTION("""COMPUTED_VALUE"""),"OEPS00018")</f>
        <v>OEPS00018</v>
      </c>
      <c r="O422" s="4" t="str">
        <f>IFERROR(__xludf.DUMMYFUNCTION("""COMPUTED_VALUE"""),"C1206C106Z8VACTU")</f>
        <v>C1206C106Z8VACTU</v>
      </c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>
      <c r="A423" s="4" t="str">
        <f>IFERROR(__xludf.DUMMYFUNCTION("""COMPUTED_VALUE"""),"IC:   Hall Efect Magnetic Rotary Encoder 14 bits   [AS5048A-HTSP] [14-TSSOP]")</f>
        <v>IC:   Hall Efect Magnetic Rotary Encoder 14 bits   [AS5048A-HTSP] [14-TSSOP]</v>
      </c>
      <c r="B423" s="4" t="str">
        <f>IFERROR(__xludf.DUMMYFUNCTION("""COMPUTED_VALUE"""),"OEPS080108")</f>
        <v>OEPS080108</v>
      </c>
      <c r="C423" s="4" t="str">
        <f>IFERROR(__xludf.DUMMYFUNCTION("""COMPUTED_VALUE"""),"SMD")</f>
        <v>SMD</v>
      </c>
      <c r="D423" s="4" t="str">
        <f>IFERROR(__xludf.DUMMYFUNCTION("""COMPUTED_VALUE"""),"AS5048A-HTSP")</f>
        <v>AS5048A-HTSP</v>
      </c>
      <c r="E423" s="4">
        <f>IFERROR(__xludf.DUMMYFUNCTION("""COMPUTED_VALUE"""),0.0)</f>
        <v>0</v>
      </c>
      <c r="F423" s="4" t="str">
        <f>IFERROR(__xludf.DUMMYFUNCTION("""COMPUTED_VALUE"""),"DigiKey")</f>
        <v>DigiKey</v>
      </c>
      <c r="G423" s="4" t="str">
        <f>IFERROR(__xludf.DUMMYFUNCTION("""COMPUTED_VALUE"""),"4991-AS5048A-HTSPDKR-ND")</f>
        <v>4991-AS5048A-HTSPDKR-ND</v>
      </c>
      <c r="H423" s="4"/>
      <c r="I423" s="4"/>
      <c r="J423" s="4"/>
      <c r="K423" s="4"/>
      <c r="L423" s="4"/>
      <c r="M423" s="4"/>
      <c r="N423" s="9" t="str">
        <f>IFERROR(__xludf.DUMMYFUNCTION("""COMPUTED_VALUE"""),"OEPS00019")</f>
        <v>OEPS00019</v>
      </c>
      <c r="O423" s="4" t="str">
        <f>IFERROR(__xludf.DUMMYFUNCTION("""COMPUTED_VALUE"""),"293D106X0010A2TE3")</f>
        <v>293D106X0010A2TE3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>
      <c r="A424" s="4" t="str">
        <f>IFERROR(__xludf.DUMMYFUNCTION("""COMPUTED_VALUE"""),"IC:   I2C I/O Expander 16 Channels   [MCP23017-E/SO] [28-SOIC]")</f>
        <v>IC:   I2C I/O Expander 16 Channels   [MCP23017-E/SO] [28-SOIC]</v>
      </c>
      <c r="B424" s="4" t="str">
        <f>IFERROR(__xludf.DUMMYFUNCTION("""COMPUTED_VALUE"""),"OEPS080175")</f>
        <v>OEPS080175</v>
      </c>
      <c r="C424" s="4" t="str">
        <f>IFERROR(__xludf.DUMMYFUNCTION("""COMPUTED_VALUE"""),"SMD")</f>
        <v>SMD</v>
      </c>
      <c r="D424" s="4" t="str">
        <f>IFERROR(__xludf.DUMMYFUNCTION("""COMPUTED_VALUE"""),"MCP23017-E/SO")</f>
        <v>MCP23017-E/SO</v>
      </c>
      <c r="E424" s="4">
        <f>IFERROR(__xludf.DUMMYFUNCTION("""COMPUTED_VALUE"""),3.0)</f>
        <v>3</v>
      </c>
      <c r="F424" s="4" t="str">
        <f>IFERROR(__xludf.DUMMYFUNCTION("""COMPUTED_VALUE"""),"Digikey")</f>
        <v>Digikey</v>
      </c>
      <c r="G424" s="4" t="str">
        <f>IFERROR(__xludf.DUMMYFUNCTION("""COMPUTED_VALUE"""),"MCP23017-E/SO-ND")</f>
        <v>MCP23017-E/SO-ND</v>
      </c>
      <c r="H424" s="4"/>
      <c r="I424" s="4"/>
      <c r="J424" s="4"/>
      <c r="K424" s="4"/>
      <c r="L424" s="4"/>
      <c r="M424" s="4"/>
      <c r="N424" s="9" t="str">
        <f>IFERROR(__xludf.DUMMYFUNCTION("""COMPUTED_VALUE"""),"OEPS00020A")</f>
        <v>OEPS00020A</v>
      </c>
      <c r="O424" s="4" t="str">
        <f>IFERROR(__xludf.DUMMYFUNCTION("""COMPUTED_VALUE"""),"CL31A226KPHNNNE")</f>
        <v>CL31A226KPHNNNE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>
      <c r="A425" s="4" t="str">
        <f>IFERROR(__xludf.DUMMYFUNCTION("""COMPUTED_VALUE"""),"IC:   I2C Level Translator 2CH 400KHZ   [PCA9509GM,125] [8-XQFN]")</f>
        <v>IC:   I2C Level Translator 2CH 400KHZ   [PCA9509GM,125] [8-XQFN]</v>
      </c>
      <c r="B425" s="4" t="str">
        <f>IFERROR(__xludf.DUMMYFUNCTION("""COMPUTED_VALUE"""),"OEPS080089")</f>
        <v>OEPS080089</v>
      </c>
      <c r="C425" s="4" t="str">
        <f>IFERROR(__xludf.DUMMYFUNCTION("""COMPUTED_VALUE"""),"SMD")</f>
        <v>SMD</v>
      </c>
      <c r="D425" s="4" t="str">
        <f>IFERROR(__xludf.DUMMYFUNCTION("""COMPUTED_VALUE"""),"PCA9509GM,125")</f>
        <v>PCA9509GM,125</v>
      </c>
      <c r="E425" s="4">
        <f>IFERROR(__xludf.DUMMYFUNCTION("""COMPUTED_VALUE"""),3.0)</f>
        <v>3</v>
      </c>
      <c r="F425" s="4" t="str">
        <f>IFERROR(__xludf.DUMMYFUNCTION("""COMPUTED_VALUE"""),"DigiKey")</f>
        <v>DigiKey</v>
      </c>
      <c r="G425" s="4" t="str">
        <f>IFERROR(__xludf.DUMMYFUNCTION("""COMPUTED_VALUE"""),"568-4288-6-ND")</f>
        <v>568-4288-6-ND</v>
      </c>
      <c r="H425" s="4"/>
      <c r="I425" s="4"/>
      <c r="J425" s="4"/>
      <c r="K425" s="4"/>
      <c r="L425" s="4"/>
      <c r="M425" s="4"/>
      <c r="N425" s="9" t="str">
        <f>IFERROR(__xludf.DUMMYFUNCTION("""COMPUTED_VALUE"""),"OEPS00021")</f>
        <v>OEPS00021</v>
      </c>
      <c r="O425" s="4" t="str">
        <f>IFERROR(__xludf.DUMMYFUNCTION("""COMPUTED_VALUE"""),"MLZ2012DR10DTD25")</f>
        <v>MLZ2012DR10DTD25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>
      <c r="A426" s="4" t="str">
        <f>IFERROR(__xludf.DUMMYFUNCTION("""COMPUTED_VALUE"""),"IC:   I2C Level Translator 2CH 400KHZ (OEPS J05 034)   [PCA9509AGM,125] [8-XQFN]")</f>
        <v>IC:   I2C Level Translator 2CH 400KHZ (OEPS J05 034)   [PCA9509AGM,125] [8-XQFN]</v>
      </c>
      <c r="B426" s="4" t="str">
        <f>IFERROR(__xludf.DUMMYFUNCTION("""COMPUTED_VALUE"""),"OEPS080072")</f>
        <v>OEPS080072</v>
      </c>
      <c r="C426" s="4" t="str">
        <f>IFERROR(__xludf.DUMMYFUNCTION("""COMPUTED_VALUE"""),"SMD")</f>
        <v>SMD</v>
      </c>
      <c r="D426" s="4" t="str">
        <f>IFERROR(__xludf.DUMMYFUNCTION("""COMPUTED_VALUE"""),"PCA9509AGM,125")</f>
        <v>PCA9509AGM,125</v>
      </c>
      <c r="E426" s="4">
        <f>IFERROR(__xludf.DUMMYFUNCTION("""COMPUTED_VALUE"""),3.0)</f>
        <v>3</v>
      </c>
      <c r="F426" s="4" t="str">
        <f>IFERROR(__xludf.DUMMYFUNCTION("""COMPUTED_VALUE"""),"DigiKey")</f>
        <v>DigiKey</v>
      </c>
      <c r="G426" s="4" t="str">
        <f>IFERROR(__xludf.DUMMYFUNCTION("""COMPUTED_VALUE"""),"568-9472-6-ND")</f>
        <v>568-9472-6-ND</v>
      </c>
      <c r="H426" s="4"/>
      <c r="I426" s="4"/>
      <c r="J426" s="4"/>
      <c r="K426" s="4"/>
      <c r="L426" s="4"/>
      <c r="M426" s="4"/>
      <c r="N426" s="9" t="str">
        <f>IFERROR(__xludf.DUMMYFUNCTION("""COMPUTED_VALUE"""),"OEPS00022")</f>
        <v>OEPS00022</v>
      </c>
      <c r="O426" s="4" t="str">
        <f>IFERROR(__xludf.DUMMYFUNCTION("""COMPUTED_VALUE"""),"AIML-1206-2R2K-T")</f>
        <v>AIML-1206-2R2K-T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>
      <c r="A427" s="4" t="str">
        <f>IFERROR(__xludf.DUMMYFUNCTION("""COMPUTED_VALUE"""),"IC:   I3C Bus switch   [P3S0200GMX] [10-XQFN (1.55x2)]")</f>
        <v>IC:   I3C Bus switch   [P3S0200GMX] [10-XQFN (1.55x2)]</v>
      </c>
      <c r="B427" s="4" t="str">
        <f>IFERROR(__xludf.DUMMYFUNCTION("""COMPUTED_VALUE"""),"OEPS080106")</f>
        <v>OEPS080106</v>
      </c>
      <c r="C427" s="4" t="str">
        <f>IFERROR(__xludf.DUMMYFUNCTION("""COMPUTED_VALUE"""),"SMD")</f>
        <v>SMD</v>
      </c>
      <c r="D427" s="4" t="str">
        <f>IFERROR(__xludf.DUMMYFUNCTION("""COMPUTED_VALUE"""),"P3S0200GMX")</f>
        <v>P3S0200GMX</v>
      </c>
      <c r="E427" s="4">
        <f>IFERROR(__xludf.DUMMYFUNCTION("""COMPUTED_VALUE"""),3.0)</f>
        <v>3</v>
      </c>
      <c r="F427" s="4" t="str">
        <f>IFERROR(__xludf.DUMMYFUNCTION("""COMPUTED_VALUE"""),"DigiKey")</f>
        <v>DigiKey</v>
      </c>
      <c r="G427" s="4" t="str">
        <f>IFERROR(__xludf.DUMMYFUNCTION("""COMPUTED_VALUE"""),"568-P3S0200GMXDKR-ND")</f>
        <v>568-P3S0200GMXDKR-ND</v>
      </c>
      <c r="H427" s="4"/>
      <c r="I427" s="4"/>
      <c r="J427" s="4"/>
      <c r="K427" s="4"/>
      <c r="L427" s="4"/>
      <c r="M427" s="4"/>
      <c r="N427" s="9" t="str">
        <f>IFERROR(__xludf.DUMMYFUNCTION("""COMPUTED_VALUE"""),"OEPS00023")</f>
        <v>OEPS00023</v>
      </c>
      <c r="O427" s="4" t="str">
        <f>IFERROR(__xludf.DUMMYFUNCTION("""COMPUTED_VALUE"""),"TPS79301DBVRG4")</f>
        <v>TPS79301DBVRG4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>
      <c r="A428" s="4" t="str">
        <f>IFERROR(__xludf.DUMMYFUNCTION("""COMPUTED_VALUE"""),"IC:   IC MCU 32BIT 256KB FLASH 48QFN   [ATSAMD21G18A-MU] [48-VFQFN Exposed Pad]")</f>
        <v>IC:   IC MCU 32BIT 256KB FLASH 48QFN   [ATSAMD21G18A-MU] [48-VFQFN Exposed Pad]</v>
      </c>
      <c r="B428" s="4" t="str">
        <f>IFERROR(__xludf.DUMMYFUNCTION("""COMPUTED_VALUE"""),"OEPS080131")</f>
        <v>OEPS080131</v>
      </c>
      <c r="C428" s="4" t="str">
        <f>IFERROR(__xludf.DUMMYFUNCTION("""COMPUTED_VALUE"""),"SMD")</f>
        <v>SMD</v>
      </c>
      <c r="D428" s="4" t="str">
        <f>IFERROR(__xludf.DUMMYFUNCTION("""COMPUTED_VALUE"""),"ATSAMD21G18A-MU")</f>
        <v>ATSAMD21G18A-MU</v>
      </c>
      <c r="E428" s="4">
        <f>IFERROR(__xludf.DUMMYFUNCTION("""COMPUTED_VALUE"""),1.0)</f>
        <v>1</v>
      </c>
      <c r="F428" s="4" t="str">
        <f>IFERROR(__xludf.DUMMYFUNCTION("""COMPUTED_VALUE"""),"Digikey")</f>
        <v>Digikey</v>
      </c>
      <c r="G428" s="4" t="str">
        <f>IFERROR(__xludf.DUMMYFUNCTION("""COMPUTED_VALUE"""),"ATSAMD21G18A-MU-ND")</f>
        <v>ATSAMD21G18A-MU-ND</v>
      </c>
      <c r="H428" s="4"/>
      <c r="I428" s="4"/>
      <c r="J428" s="4"/>
      <c r="K428" s="4"/>
      <c r="L428" s="4"/>
      <c r="M428" s="4"/>
      <c r="N428" s="9" t="str">
        <f>IFERROR(__xludf.DUMMYFUNCTION("""COMPUTED_VALUE"""),"OEPS00024")</f>
        <v>OEPS00024</v>
      </c>
      <c r="O428" s="4" t="str">
        <f>IFERROR(__xludf.DUMMYFUNCTION("""COMPUTED_VALUE"""),"LTC3426ES6#TRMPBF")</f>
        <v>LTC3426ES6#TRMPBF</v>
      </c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>
      <c r="A429" s="4" t="str">
        <f>IFERROR(__xludf.DUMMYFUNCTION("""COMPUTED_VALUE"""),"IC:   IC REG BUCK ADJ 2A   [AP62200WU-7] [TSOT-26]")</f>
        <v>IC:   IC REG BUCK ADJ 2A   [AP62200WU-7] [TSOT-26]</v>
      </c>
      <c r="B429" s="4" t="str">
        <f>IFERROR(__xludf.DUMMYFUNCTION("""COMPUTED_VALUE"""),"OEPS080122")</f>
        <v>OEPS080122</v>
      </c>
      <c r="C429" s="4" t="str">
        <f>IFERROR(__xludf.DUMMYFUNCTION("""COMPUTED_VALUE"""),"SMD")</f>
        <v>SMD</v>
      </c>
      <c r="D429" s="4" t="str">
        <f>IFERROR(__xludf.DUMMYFUNCTION("""COMPUTED_VALUE"""),"AP62200WU-7")</f>
        <v>AP62200WU-7</v>
      </c>
      <c r="E429" s="4">
        <f>IFERROR(__xludf.DUMMYFUNCTION("""COMPUTED_VALUE"""),5.0)</f>
        <v>5</v>
      </c>
      <c r="F429" s="4" t="str">
        <f>IFERROR(__xludf.DUMMYFUNCTION("""COMPUTED_VALUE"""),"DigiKey")</f>
        <v>DigiKey</v>
      </c>
      <c r="G429" s="4" t="str">
        <f>IFERROR(__xludf.DUMMYFUNCTION("""COMPUTED_VALUE"""),"31-AP62200WU-7DKR-ND")</f>
        <v>31-AP62200WU-7DKR-ND</v>
      </c>
      <c r="H429" s="4"/>
      <c r="I429" s="4"/>
      <c r="J429" s="4"/>
      <c r="K429" s="4"/>
      <c r="L429" s="4"/>
      <c r="M429" s="4"/>
      <c r="N429" s="9" t="str">
        <f>IFERROR(__xludf.DUMMYFUNCTION("""COMPUTED_VALUE"""),"OEPS00025")</f>
        <v>OEPS00025</v>
      </c>
      <c r="O429" s="4" t="str">
        <f>IFERROR(__xludf.DUMMYFUNCTION("""COMPUTED_VALUE"""),"REF195GSZ")</f>
        <v>REF195GSZ</v>
      </c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>
      <c r="A430" s="4" t="str">
        <f>IFERROR(__xludf.DUMMYFUNCTION("""COMPUTED_VALUE"""),"IC:   IC TRANSLTR BIDIRECTIONAL 16UCSP   [MAX13030EEBE+T] [16-UCSP]")</f>
        <v>IC:   IC TRANSLTR BIDIRECTIONAL 16UCSP   [MAX13030EEBE+T] [16-UCSP]</v>
      </c>
      <c r="B430" s="4" t="str">
        <f>IFERROR(__xludf.DUMMYFUNCTION("""COMPUTED_VALUE"""),"OEPS080114")</f>
        <v>OEPS080114</v>
      </c>
      <c r="C430" s="4" t="str">
        <f>IFERROR(__xludf.DUMMYFUNCTION("""COMPUTED_VALUE"""),"SMD")</f>
        <v>SMD</v>
      </c>
      <c r="D430" s="4" t="str">
        <f>IFERROR(__xludf.DUMMYFUNCTION("""COMPUTED_VALUE"""),"MAX13030EEBE+T")</f>
        <v>MAX13030EEBE+T</v>
      </c>
      <c r="E430" s="4">
        <f>IFERROR(__xludf.DUMMYFUNCTION("""COMPUTED_VALUE"""),0.0)</f>
        <v>0</v>
      </c>
      <c r="F430" s="4" t="str">
        <f>IFERROR(__xludf.DUMMYFUNCTION("""COMPUTED_VALUE"""),"DigiKey")</f>
        <v>DigiKey</v>
      </c>
      <c r="G430" s="4" t="str">
        <f>IFERROR(__xludf.DUMMYFUNCTION("""COMPUTED_VALUE"""),"175-MAX13030EEBE+TDKR-ND")</f>
        <v>175-MAX13030EEBE+TDKR-ND</v>
      </c>
      <c r="H430" s="4"/>
      <c r="I430" s="4"/>
      <c r="J430" s="4"/>
      <c r="K430" s="4"/>
      <c r="L430" s="4"/>
      <c r="M430" s="4"/>
      <c r="N430" s="9" t="str">
        <f>IFERROR(__xludf.DUMMYFUNCTION("""COMPUTED_VALUE"""),"OEPS00026")</f>
        <v>OEPS00026</v>
      </c>
      <c r="O430" s="4" t="str">
        <f>IFERROR(__xludf.DUMMYFUNCTION("""COMPUTED_VALUE"""),"TPS72301DBVR")</f>
        <v>TPS72301DBVR</v>
      </c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>
      <c r="A431" s="4" t="str">
        <f>IFERROR(__xludf.DUMMYFUNCTION("""COMPUTED_VALUE"""),"IC:   Image Sensor PYTHON480 808H x 608V BW (OEPS J05 033)   [NOIP1SP0480A-STI] [67-ODCSP]")</f>
        <v>IC:   Image Sensor PYTHON480 808H x 608V BW (OEPS J05 033)   [NOIP1SP0480A-STI] [67-ODCSP]</v>
      </c>
      <c r="B431" s="4" t="str">
        <f>IFERROR(__xludf.DUMMYFUNCTION("""COMPUTED_VALUE"""),"OEPS080071")</f>
        <v>OEPS080071</v>
      </c>
      <c r="C431" s="4" t="str">
        <f>IFERROR(__xludf.DUMMYFUNCTION("""COMPUTED_VALUE"""),"SMD")</f>
        <v>SMD</v>
      </c>
      <c r="D431" s="4" t="str">
        <f>IFERROR(__xludf.DUMMYFUNCTION("""COMPUTED_VALUE"""),"NOIP1SP0480A-STI")</f>
        <v>NOIP1SP0480A-STI</v>
      </c>
      <c r="E431" s="4">
        <f>IFERROR(__xludf.DUMMYFUNCTION("""COMPUTED_VALUE"""),0.0)</f>
        <v>0</v>
      </c>
      <c r="F431" s="4" t="str">
        <f>IFERROR(__xludf.DUMMYFUNCTION("""COMPUTED_VALUE"""),"Mouser")</f>
        <v>Mouser</v>
      </c>
      <c r="G431" s="4" t="str">
        <f>IFERROR(__xludf.DUMMYFUNCTION("""COMPUTED_VALUE"""),"863-NOIP1SP0480A-STI")</f>
        <v>863-NOIP1SP0480A-STI</v>
      </c>
      <c r="H431" s="4"/>
      <c r="I431" s="4"/>
      <c r="J431" s="4"/>
      <c r="K431" s="4"/>
      <c r="L431" s="4"/>
      <c r="M431" s="4"/>
      <c r="N431" s="9" t="str">
        <f>IFERROR(__xludf.DUMMYFUNCTION("""COMPUTED_VALUE"""),"OEPS00027")</f>
        <v>OEPS00027</v>
      </c>
      <c r="O431" s="4" t="str">
        <f>IFERROR(__xludf.DUMMYFUNCTION("""COMPUTED_VALUE"""),"TPS60403DBVR")</f>
        <v>TPS60403DBVR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>
      <c r="A432" s="4" t="str">
        <f>IFERROR(__xludf.DUMMYFUNCTION("""COMPUTED_VALUE"""),"IC:   IMU ACCEL/GYRO/MAG I2C 28LGA (OEPS J05 028)   [BNO055] [28-LGA]")</f>
        <v>IC:   IMU ACCEL/GYRO/MAG I2C 28LGA (OEPS J05 028)   [BNO055] [28-LGA]</v>
      </c>
      <c r="B432" s="4" t="str">
        <f>IFERROR(__xludf.DUMMYFUNCTION("""COMPUTED_VALUE"""),"OEPS080063")</f>
        <v>OEPS080063</v>
      </c>
      <c r="C432" s="4" t="str">
        <f>IFERROR(__xludf.DUMMYFUNCTION("""COMPUTED_VALUE"""),"SMD")</f>
        <v>SMD</v>
      </c>
      <c r="D432" s="4" t="str">
        <f>IFERROR(__xludf.DUMMYFUNCTION("""COMPUTED_VALUE"""),"BNO055")</f>
        <v>BNO055</v>
      </c>
      <c r="E432" s="4">
        <f>IFERROR(__xludf.DUMMYFUNCTION("""COMPUTED_VALUE"""),0.0)</f>
        <v>0</v>
      </c>
      <c r="F432" s="4" t="str">
        <f>IFERROR(__xludf.DUMMYFUNCTION("""COMPUTED_VALUE"""),"DigiKey")</f>
        <v>DigiKey</v>
      </c>
      <c r="G432" s="4" t="str">
        <f>IFERROR(__xludf.DUMMYFUNCTION("""COMPUTED_VALUE"""),"828-1058-6-ND")</f>
        <v>828-1058-6-ND</v>
      </c>
      <c r="H432" s="4"/>
      <c r="I432" s="4"/>
      <c r="J432" s="4"/>
      <c r="K432" s="4"/>
      <c r="L432" s="4"/>
      <c r="M432" s="4"/>
      <c r="N432" s="9" t="str">
        <f>IFERROR(__xludf.DUMMYFUNCTION("""COMPUTED_VALUE"""),"OEPS00028")</f>
        <v>OEPS00028</v>
      </c>
      <c r="O432" s="4" t="str">
        <f>IFERROR(__xludf.DUMMYFUNCTION("""COMPUTED_VALUE"""),"WS2812S")</f>
        <v>WS2812S</v>
      </c>
      <c r="P432" s="4" t="str">
        <f>IFERROR(__xludf.DUMMYFUNCTION("""COMPUTED_VALUE"""),"156(R) ")</f>
        <v>156(R) </v>
      </c>
      <c r="Q432" s="4">
        <f>IFERROR(__xludf.DUMMYFUNCTION("""COMPUTED_VALUE"""),156.0)</f>
        <v>156</v>
      </c>
      <c r="R432" s="4">
        <f>IFERROR(__xludf.DUMMYFUNCTION("""COMPUTED_VALUE"""),156.0)</f>
        <v>156</v>
      </c>
      <c r="S432" s="4" t="str">
        <f>IFERROR(__xludf.DUMMYFUNCTION("""COMPUTED_VALUE"""),"Reel")</f>
        <v>Reel</v>
      </c>
      <c r="T432" s="4" t="str">
        <f>IFERROR(__xludf.DUMMYFUNCTION("""COMPUTED_VALUE"""),"0621")</f>
        <v>0621</v>
      </c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>
      <c r="A433" s="4" t="str">
        <f>IFERROR(__xludf.DUMMYFUNCTION("""COMPUTED_VALUE"""),"IC:   INST AMP 1 CIRCUIT   [AD622ANZ] [8-DIP]")</f>
        <v>IC:   INST AMP 1 CIRCUIT   [AD622ANZ] [8-DIP]</v>
      </c>
      <c r="B433" s="4" t="str">
        <f>IFERROR(__xludf.DUMMYFUNCTION("""COMPUTED_VALUE"""),"OEPS080043")</f>
        <v>OEPS080043</v>
      </c>
      <c r="C433" s="4" t="str">
        <f>IFERROR(__xludf.DUMMYFUNCTION("""COMPUTED_VALUE"""),"SMD")</f>
        <v>SMD</v>
      </c>
      <c r="D433" s="4" t="str">
        <f>IFERROR(__xludf.DUMMYFUNCTION("""COMPUTED_VALUE"""),"AD622ANZ")</f>
        <v>AD622ANZ</v>
      </c>
      <c r="E433" s="4">
        <f>IFERROR(__xludf.DUMMYFUNCTION("""COMPUTED_VALUE"""),0.0)</f>
        <v>0</v>
      </c>
      <c r="F433" s="4" t="str">
        <f>IFERROR(__xludf.DUMMYFUNCTION("""COMPUTED_VALUE"""),"DigiKey")</f>
        <v>DigiKey</v>
      </c>
      <c r="G433" s="4" t="str">
        <f>IFERROR(__xludf.DUMMYFUNCTION("""COMPUTED_VALUE"""),"505-AD622ANZ-ND")</f>
        <v>505-AD622ANZ-ND</v>
      </c>
      <c r="H433" s="4"/>
      <c r="I433" s="4"/>
      <c r="J433" s="4"/>
      <c r="K433" s="4"/>
      <c r="L433" s="4"/>
      <c r="M433" s="4"/>
      <c r="N433" s="9" t="str">
        <f>IFERROR(__xludf.DUMMYFUNCTION("""COMPUTED_VALUE"""),"OEPS00029")</f>
        <v>OEPS00029</v>
      </c>
      <c r="O433" s="4" t="str">
        <f>IFERROR(__xludf.DUMMYFUNCTION("""COMPUTED_VALUE"""),"ADS8325IDGKT")</f>
        <v>ADS8325IDGKT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>
      <c r="A434" s="4" t="str">
        <f>IFERROR(__xludf.DUMMYFUNCTION("""COMPUTED_VALUE"""),"IC:   INST AMP 1 CIRCUIT   [AD8421BRZ-R7] [8-SOIC]")</f>
        <v>IC:   INST AMP 1 CIRCUIT   [AD8421BRZ-R7] [8-SOIC]</v>
      </c>
      <c r="B434" s="4" t="str">
        <f>IFERROR(__xludf.DUMMYFUNCTION("""COMPUTED_VALUE"""),"OEPS080222")</f>
        <v>OEPS080222</v>
      </c>
      <c r="C434" s="4" t="str">
        <f>IFERROR(__xludf.DUMMYFUNCTION("""COMPUTED_VALUE"""),"SMD")</f>
        <v>SMD</v>
      </c>
      <c r="D434" s="4" t="str">
        <f>IFERROR(__xludf.DUMMYFUNCTION("""COMPUTED_VALUE"""),"AD8421BRZ-R7")</f>
        <v>AD8421BRZ-R7</v>
      </c>
      <c r="E434" s="4">
        <f>IFERROR(__xludf.DUMMYFUNCTION("""COMPUTED_VALUE"""),0.0)</f>
        <v>0</v>
      </c>
      <c r="F434" s="4" t="str">
        <f>IFERROR(__xludf.DUMMYFUNCTION("""COMPUTED_VALUE"""),"DigiKey")</f>
        <v>DigiKey</v>
      </c>
      <c r="G434" s="4" t="str">
        <f>IFERROR(__xludf.DUMMYFUNCTION("""COMPUTED_VALUE"""),"AD8421BRZ-R7DKR-ND")</f>
        <v>AD8421BRZ-R7DKR-ND</v>
      </c>
      <c r="H434" s="4"/>
      <c r="I434" s="4"/>
      <c r="J434" s="4"/>
      <c r="K434" s="4"/>
      <c r="L434" s="4"/>
      <c r="M434" s="4"/>
      <c r="N434" s="9" t="str">
        <f>IFERROR(__xludf.DUMMYFUNCTION("""COMPUTED_VALUE"""),"OEPS00030")</f>
        <v>OEPS00030</v>
      </c>
      <c r="O434" s="4" t="str">
        <f>IFERROR(__xludf.DUMMYFUNCTION("""COMPUTED_VALUE"""),"DAC8531E/250")</f>
        <v>DAC8531E/250</v>
      </c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>
      <c r="A435" s="4" t="str">
        <f>IFERROR(__xludf.DUMMYFUNCTION("""COMPUTED_VALUE"""),"IC:   INST AMP 1 CIRCUIT   [MCP6N11-010E/SN] [8-SOIC]")</f>
        <v>IC:   INST AMP 1 CIRCUIT   [MCP6N11-010E/SN] [8-SOIC]</v>
      </c>
      <c r="B435" s="4" t="str">
        <f>IFERROR(__xludf.DUMMYFUNCTION("""COMPUTED_VALUE"""),"OEPS080193")</f>
        <v>OEPS080193</v>
      </c>
      <c r="C435" s="4" t="str">
        <f>IFERROR(__xludf.DUMMYFUNCTION("""COMPUTED_VALUE"""),"SMD")</f>
        <v>SMD</v>
      </c>
      <c r="D435" s="4" t="str">
        <f>IFERROR(__xludf.DUMMYFUNCTION("""COMPUTED_VALUE"""),"MCP6N11-010E/SN")</f>
        <v>MCP6N11-010E/SN</v>
      </c>
      <c r="E435" s="4">
        <f>IFERROR(__xludf.DUMMYFUNCTION("""COMPUTED_VALUE"""),5.0)</f>
        <v>5</v>
      </c>
      <c r="F435" s="4" t="str">
        <f>IFERROR(__xludf.DUMMYFUNCTION("""COMPUTED_VALUE"""),"DigiKey")</f>
        <v>DigiKey</v>
      </c>
      <c r="G435" s="4" t="str">
        <f>IFERROR(__xludf.DUMMYFUNCTION("""COMPUTED_VALUE"""),"MCP6N11-010E/SN-ND")</f>
        <v>MCP6N11-010E/SN-ND</v>
      </c>
      <c r="H435" s="4"/>
      <c r="I435" s="4"/>
      <c r="J435" s="4"/>
      <c r="K435" s="4"/>
      <c r="L435" s="4"/>
      <c r="M435" s="4"/>
      <c r="N435" s="9" t="str">
        <f>IFERROR(__xludf.DUMMYFUNCTION("""COMPUTED_VALUE"""),"OEPS00031")</f>
        <v>OEPS00031</v>
      </c>
      <c r="O435" s="4" t="str">
        <f>IFERROR(__xludf.DUMMYFUNCTION("""COMPUTED_VALUE"""),"OPA4170AIDR")</f>
        <v>OPA4170AIDR</v>
      </c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>
      <c r="A436" s="4" t="str">
        <f>IFERROR(__xludf.DUMMYFUNCTION("""COMPUTED_VALUE"""),"IC:   Intan 16CH Bipolar Amplifier   [RHD2216 #D8213] [56-QFN]")</f>
        <v>IC:   Intan 16CH Bipolar Amplifier   [RHD2216 #D8213] [56-QFN]</v>
      </c>
      <c r="B436" s="4" t="str">
        <f>IFERROR(__xludf.DUMMYFUNCTION("""COMPUTED_VALUE"""),"OEPS080124")</f>
        <v>OEPS080124</v>
      </c>
      <c r="C436" s="4" t="str">
        <f>IFERROR(__xludf.DUMMYFUNCTION("""COMPUTED_VALUE"""),"SMD")</f>
        <v>SMD</v>
      </c>
      <c r="D436" s="4" t="str">
        <f>IFERROR(__xludf.DUMMYFUNCTION("""COMPUTED_VALUE"""),"RHD2216 #D8213")</f>
        <v>RHD2216 #D8213</v>
      </c>
      <c r="E436" s="4">
        <f>IFERROR(__xludf.DUMMYFUNCTION("""COMPUTED_VALUE"""),0.0)</f>
        <v>0</v>
      </c>
      <c r="F436" s="4" t="str">
        <f>IFERROR(__xludf.DUMMYFUNCTION("""COMPUTED_VALUE"""),"Intan")</f>
        <v>Intan</v>
      </c>
      <c r="G436" s="4" t="str">
        <f>IFERROR(__xludf.DUMMYFUNCTION("""COMPUTED_VALUE"""),"#D8213")</f>
        <v>#D8213</v>
      </c>
      <c r="H436" s="4"/>
      <c r="I436" s="4"/>
      <c r="J436" s="4"/>
      <c r="K436" s="4"/>
      <c r="L436" s="4"/>
      <c r="M436" s="4"/>
      <c r="N436" s="9" t="str">
        <f>IFERROR(__xludf.DUMMYFUNCTION("""COMPUTED_VALUE"""),"OEPS00031A")</f>
        <v>OEPS00031A</v>
      </c>
      <c r="O436" s="4" t="str">
        <f>IFERROR(__xludf.DUMMYFUNCTION("""COMPUTED_VALUE"""),"MCP6H04-E/SL")</f>
        <v>MCP6H04-E/SL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>
      <c r="A437" s="4" t="str">
        <f>IFERROR(__xludf.DUMMYFUNCTION("""COMPUTED_VALUE"""),"IC:   Intan 16CH Stim/Amp   [RHS2116 #D5716] [44-QFN]")</f>
        <v>IC:   Intan 16CH Stim/Amp   [RHS2116 #D5716] [44-QFN]</v>
      </c>
      <c r="B437" s="4" t="str">
        <f>IFERROR(__xludf.DUMMYFUNCTION("""COMPUTED_VALUE"""),"OEPS080095")</f>
        <v>OEPS080095</v>
      </c>
      <c r="C437" s="4" t="str">
        <f>IFERROR(__xludf.DUMMYFUNCTION("""COMPUTED_VALUE"""),"SMD")</f>
        <v>SMD</v>
      </c>
      <c r="D437" s="4" t="str">
        <f>IFERROR(__xludf.DUMMYFUNCTION("""COMPUTED_VALUE"""),"RHS2116 #D5716")</f>
        <v>RHS2116 #D5716</v>
      </c>
      <c r="E437" s="4">
        <f>IFERROR(__xludf.DUMMYFUNCTION("""COMPUTED_VALUE"""),0.0)</f>
        <v>0</v>
      </c>
      <c r="F437" s="4" t="str">
        <f>IFERROR(__xludf.DUMMYFUNCTION("""COMPUTED_VALUE"""),"Intan")</f>
        <v>Intan</v>
      </c>
      <c r="G437" s="4" t="str">
        <f>IFERROR(__xludf.DUMMYFUNCTION("""COMPUTED_VALUE"""),"#D5716")</f>
        <v>#D5716</v>
      </c>
      <c r="H437" s="4"/>
      <c r="I437" s="4"/>
      <c r="J437" s="4"/>
      <c r="K437" s="4"/>
      <c r="L437" s="4"/>
      <c r="M437" s="4"/>
      <c r="N437" s="9" t="str">
        <f>IFERROR(__xludf.DUMMYFUNCTION("""COMPUTED_VALUE"""),"OEPS00031B")</f>
        <v>OEPS00031B</v>
      </c>
      <c r="O437" s="4" t="str">
        <f>IFERROR(__xludf.DUMMYFUNCTION("""COMPUTED_VALUE"""),"MC33204DR2G")</f>
        <v>MC33204DR2G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>
      <c r="A438" s="4" t="str">
        <f>IFERROR(__xludf.DUMMYFUNCTION("""COMPUTED_VALUE"""),"IC:   Intan 32CH Unipolar Amplifier (OEPS H1 008)   [RHD2132 #D8214] [56-QFN]")</f>
        <v>IC:   Intan 32CH Unipolar Amplifier (OEPS H1 008)   [RHD2132 #D8214] [56-QFN]</v>
      </c>
      <c r="B438" s="4" t="str">
        <f>IFERROR(__xludf.DUMMYFUNCTION("""COMPUTED_VALUE"""),"OEPS080080")</f>
        <v>OEPS080080</v>
      </c>
      <c r="C438" s="4" t="str">
        <f>IFERROR(__xludf.DUMMYFUNCTION("""COMPUTED_VALUE"""),"SMD")</f>
        <v>SMD</v>
      </c>
      <c r="D438" s="4" t="str">
        <f>IFERROR(__xludf.DUMMYFUNCTION("""COMPUTED_VALUE"""),"RHD2132 #D8214")</f>
        <v>RHD2132 #D8214</v>
      </c>
      <c r="E438" s="4">
        <f>IFERROR(__xludf.DUMMYFUNCTION("""COMPUTED_VALUE"""),0.0)</f>
        <v>0</v>
      </c>
      <c r="F438" s="4" t="str">
        <f>IFERROR(__xludf.DUMMYFUNCTION("""COMPUTED_VALUE"""),"Intan")</f>
        <v>Intan</v>
      </c>
      <c r="G438" s="4" t="str">
        <f>IFERROR(__xludf.DUMMYFUNCTION("""COMPUTED_VALUE"""),"#D8214")</f>
        <v>#D8214</v>
      </c>
      <c r="H438" s="4"/>
      <c r="I438" s="4"/>
      <c r="J438" s="4"/>
      <c r="K438" s="4"/>
      <c r="L438" s="4"/>
      <c r="M438" s="4"/>
      <c r="N438" s="9" t="str">
        <f>IFERROR(__xludf.DUMMYFUNCTION("""COMPUTED_VALUE"""),"OEPS00032")</f>
        <v>OEPS00032</v>
      </c>
      <c r="O438" s="4" t="str">
        <f>IFERROR(__xludf.DUMMYFUNCTION("""COMPUTED_VALUE"""),"SN74LVC4245APWR")</f>
        <v>SN74LVC4245APWR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>
      <c r="A439" s="4" t="str">
        <f>IFERROR(__xludf.DUMMYFUNCTION("""COMPUTED_VALUE"""),"IC:   Intan 64CH Unipolar Amplifier (OEPS M01 045)   [RHD2164 #D8215] [104-BGA]")</f>
        <v>IC:   Intan 64CH Unipolar Amplifier (OEPS M01 045)   [RHD2164 #D8215] [104-BGA]</v>
      </c>
      <c r="B439" s="4" t="str">
        <f>IFERROR(__xludf.DUMMYFUNCTION("""COMPUTED_VALUE"""),"OEPS080081")</f>
        <v>OEPS080081</v>
      </c>
      <c r="C439" s="4" t="str">
        <f>IFERROR(__xludf.DUMMYFUNCTION("""COMPUTED_VALUE"""),"SMD")</f>
        <v>SMD</v>
      </c>
      <c r="D439" s="4" t="str">
        <f>IFERROR(__xludf.DUMMYFUNCTION("""COMPUTED_VALUE"""),"RHD2164 #D8215")</f>
        <v>RHD2164 #D8215</v>
      </c>
      <c r="E439" s="4">
        <f>IFERROR(__xludf.DUMMYFUNCTION("""COMPUTED_VALUE"""),0.0)</f>
        <v>0</v>
      </c>
      <c r="F439" s="4" t="str">
        <f>IFERROR(__xludf.DUMMYFUNCTION("""COMPUTED_VALUE"""),"Intan")</f>
        <v>Intan</v>
      </c>
      <c r="G439" s="4" t="str">
        <f>IFERROR(__xludf.DUMMYFUNCTION("""COMPUTED_VALUE"""),"#D8215")</f>
        <v>#D8215</v>
      </c>
      <c r="H439" s="4"/>
      <c r="I439" s="4"/>
      <c r="J439" s="4"/>
      <c r="K439" s="4"/>
      <c r="L439" s="4"/>
      <c r="M439" s="4"/>
      <c r="N439" s="9" t="str">
        <f>IFERROR(__xludf.DUMMYFUNCTION("""COMPUTED_VALUE"""),"OEPS00033")</f>
        <v>OEPS00033</v>
      </c>
      <c r="O439" s="4" t="str">
        <f>IFERROR(__xludf.DUMMYFUNCTION("""COMPUTED_VALUE"""),"TCA9406DCUR")</f>
        <v>TCA9406DCUR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>
      <c r="A440" s="4" t="str">
        <f>IFERROR(__xludf.DUMMYFUNCTION("""COMPUTED_VALUE"""),"IC:   IO EXPANDER I2C 16WAYS   [TCA9555PWR] [24-TSSOP]")</f>
        <v>IC:   IO EXPANDER I2C 16WAYS   [TCA9555PWR] [24-TSSOP]</v>
      </c>
      <c r="B440" s="4" t="str">
        <f>IFERROR(__xludf.DUMMYFUNCTION("""COMPUTED_VALUE"""),"OEPS080005")</f>
        <v>OEPS080005</v>
      </c>
      <c r="C440" s="4" t="str">
        <f>IFERROR(__xludf.DUMMYFUNCTION("""COMPUTED_VALUE"""),"SMD")</f>
        <v>SMD</v>
      </c>
      <c r="D440" s="4" t="str">
        <f>IFERROR(__xludf.DUMMYFUNCTION("""COMPUTED_VALUE"""),"TCA9555PWR")</f>
        <v>TCA9555PWR</v>
      </c>
      <c r="E440" s="4">
        <f>IFERROR(__xludf.DUMMYFUNCTION("""COMPUTED_VALUE"""),3.0)</f>
        <v>3</v>
      </c>
      <c r="F440" s="4" t="str">
        <f>IFERROR(__xludf.DUMMYFUNCTION("""COMPUTED_VALUE"""),"DigiKey")</f>
        <v>DigiKey</v>
      </c>
      <c r="G440" s="4" t="str">
        <f>IFERROR(__xludf.DUMMYFUNCTION("""COMPUTED_VALUE"""),"296-24827-6-ND")</f>
        <v>296-24827-6-ND</v>
      </c>
      <c r="H440" s="4"/>
      <c r="I440" s="4"/>
      <c r="J440" s="4"/>
      <c r="K440" s="4"/>
      <c r="L440" s="4"/>
      <c r="M440" s="4"/>
      <c r="N440" s="9" t="str">
        <f>IFERROR(__xludf.DUMMYFUNCTION("""COMPUTED_VALUE"""),"OEPS00034")</f>
        <v>OEPS00034</v>
      </c>
      <c r="O440" s="4" t="str">
        <f>IFERROR(__xludf.DUMMYFUNCTION("""COMPUTED_VALUE"""),"SJ-3523-SMT-TR")</f>
        <v>SJ-3523-SMT-TR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>
      <c r="A441" s="4" t="str">
        <f>IFERROR(__xludf.DUMMYFUNCTION("""COMPUTED_VALUE"""),"IC:   LDO 1.2V 150mA   [MIC5365-1.2YC5-TR] [SC-70-5]")</f>
        <v>IC:   LDO 1.2V 150mA   [MIC5365-1.2YC5-TR] [SC-70-5]</v>
      </c>
      <c r="B441" s="4" t="str">
        <f>IFERROR(__xludf.DUMMYFUNCTION("""COMPUTED_VALUE"""),"OEPS080051")</f>
        <v>OEPS080051</v>
      </c>
      <c r="C441" s="4" t="str">
        <f>IFERROR(__xludf.DUMMYFUNCTION("""COMPUTED_VALUE"""),"SMD")</f>
        <v>SMD</v>
      </c>
      <c r="D441" s="4" t="str">
        <f>IFERROR(__xludf.DUMMYFUNCTION("""COMPUTED_VALUE"""),"MIC5365-1.2YC5-TR")</f>
        <v>MIC5365-1.2YC5-TR</v>
      </c>
      <c r="E441" s="4">
        <f>IFERROR(__xludf.DUMMYFUNCTION("""COMPUTED_VALUE"""),3.0)</f>
        <v>3</v>
      </c>
      <c r="F441" s="4" t="str">
        <f>IFERROR(__xludf.DUMMYFUNCTION("""COMPUTED_VALUE"""),"DigiKey")</f>
        <v>DigiKey</v>
      </c>
      <c r="G441" s="4" t="str">
        <f>IFERROR(__xludf.DUMMYFUNCTION("""COMPUTED_VALUE"""),"576-3175-6-ND")</f>
        <v>576-3175-6-ND</v>
      </c>
      <c r="H441" s="4"/>
      <c r="I441" s="4"/>
      <c r="J441" s="4"/>
      <c r="K441" s="4"/>
      <c r="L441" s="4"/>
      <c r="M441" s="4"/>
      <c r="N441" s="9" t="str">
        <f>IFERROR(__xludf.DUMMYFUNCTION("""COMPUTED_VALUE"""),"OEPS00035")</f>
        <v>OEPS00035</v>
      </c>
      <c r="O441" s="4" t="str">
        <f>IFERROR(__xludf.DUMMYFUNCTION("""COMPUTED_VALUE"""),"1-1634622-0")</f>
        <v>1-1634622-0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>
      <c r="A442" s="4" t="str">
        <f>IFERROR(__xludf.DUMMYFUNCTION("""COMPUTED_VALUE"""),"IC:   LDO 1.2V 250mA   [NCP163AFCT120T2G] [4-WLCSP]")</f>
        <v>IC:   LDO 1.2V 250mA   [NCP163AFCT120T2G] [4-WLCSP]</v>
      </c>
      <c r="B442" s="4" t="str">
        <f>IFERROR(__xludf.DUMMYFUNCTION("""COMPUTED_VALUE"""),"OEPS080100")</f>
        <v>OEPS080100</v>
      </c>
      <c r="C442" s="4" t="str">
        <f>IFERROR(__xludf.DUMMYFUNCTION("""COMPUTED_VALUE"""),"SMD")</f>
        <v>SMD</v>
      </c>
      <c r="D442" s="4" t="str">
        <f>IFERROR(__xludf.DUMMYFUNCTION("""COMPUTED_VALUE"""),"NCP163AFCT120T2G")</f>
        <v>NCP163AFCT120T2G</v>
      </c>
      <c r="E442" s="4">
        <f>IFERROR(__xludf.DUMMYFUNCTION("""COMPUTED_VALUE"""),10.0)</f>
        <v>10</v>
      </c>
      <c r="F442" s="4" t="str">
        <f>IFERROR(__xludf.DUMMYFUNCTION("""COMPUTED_VALUE"""),"DigiKey")</f>
        <v>DigiKey</v>
      </c>
      <c r="G442" s="4" t="str">
        <f>IFERROR(__xludf.DUMMYFUNCTION("""COMPUTED_VALUE"""),"NCP163AFCT120T2GOSDKR-ND")</f>
        <v>NCP163AFCT120T2GOSDKR-ND</v>
      </c>
      <c r="H442" s="4"/>
      <c r="I442" s="4"/>
      <c r="J442" s="4"/>
      <c r="K442" s="4"/>
      <c r="L442" s="4"/>
      <c r="M442" s="4"/>
      <c r="N442" s="9" t="str">
        <f>IFERROR(__xludf.DUMMYFUNCTION("""COMPUTED_VALUE"""),"OEPS00036")</f>
        <v>OEPS00036</v>
      </c>
      <c r="O442" s="4" t="str">
        <f>IFERROR(__xludf.DUMMYFUNCTION("""COMPUTED_VALUE"""),"PJ-102AH")</f>
        <v>PJ-102AH</v>
      </c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>
      <c r="A443" s="4" t="str">
        <f>IFERROR(__xludf.DUMMYFUNCTION("""COMPUTED_VALUE"""),"IC:   LDO 1.8V 250mA   [NCP163AFCT180T2G] [4-WLCSP]")</f>
        <v>IC:   LDO 1.8V 250mA   [NCP163AFCT180T2G] [4-WLCSP]</v>
      </c>
      <c r="B443" s="4" t="str">
        <f>IFERROR(__xludf.DUMMYFUNCTION("""COMPUTED_VALUE"""),"OEPS080077")</f>
        <v>OEPS080077</v>
      </c>
      <c r="C443" s="4" t="str">
        <f>IFERROR(__xludf.DUMMYFUNCTION("""COMPUTED_VALUE"""),"SMD")</f>
        <v>SMD</v>
      </c>
      <c r="D443" s="4" t="str">
        <f>IFERROR(__xludf.DUMMYFUNCTION("""COMPUTED_VALUE"""),"NCP163AFCT180T2G")</f>
        <v>NCP163AFCT180T2G</v>
      </c>
      <c r="E443" s="4">
        <f>IFERROR(__xludf.DUMMYFUNCTION("""COMPUTED_VALUE"""),10.0)</f>
        <v>10</v>
      </c>
      <c r="F443" s="4" t="str">
        <f>IFERROR(__xludf.DUMMYFUNCTION("""COMPUTED_VALUE"""),"Mouser")</f>
        <v>Mouser</v>
      </c>
      <c r="G443" s="4" t="str">
        <f>IFERROR(__xludf.DUMMYFUNCTION("""COMPUTED_VALUE"""),"863-NCP163AFCT180T2G")</f>
        <v>863-NCP163AFCT180T2G</v>
      </c>
      <c r="H443" s="4"/>
      <c r="I443" s="4"/>
      <c r="J443" s="4"/>
      <c r="K443" s="4"/>
      <c r="L443" s="4"/>
      <c r="M443" s="4"/>
      <c r="N443" s="9" t="str">
        <f>IFERROR(__xludf.DUMMYFUNCTION("""COMPUTED_VALUE"""),"OEPS00037")</f>
        <v>OEPS00037</v>
      </c>
      <c r="O443" s="4" t="str">
        <f>IFERROR(__xludf.DUMMYFUNCTION("""COMPUTED_VALUE"""),"3-644456-3")</f>
        <v>3-644456-3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>
      <c r="A444" s="4" t="str">
        <f>IFERROR(__xludf.DUMMYFUNCTION("""COMPUTED_VALUE"""),"IC:   LDO 2.5V 200mA (OEPS M01 047)   [TLV70725PDQNT] [4-XDFN]")</f>
        <v>IC:   LDO 2.5V 200mA (OEPS M01 047)   [TLV70725PDQNT] [4-XDFN]</v>
      </c>
      <c r="B444" s="4" t="str">
        <f>IFERROR(__xludf.DUMMYFUNCTION("""COMPUTED_VALUE"""),"OEPS080082")</f>
        <v>OEPS080082</v>
      </c>
      <c r="C444" s="4" t="str">
        <f>IFERROR(__xludf.DUMMYFUNCTION("""COMPUTED_VALUE"""),"SMD")</f>
        <v>SMD</v>
      </c>
      <c r="D444" s="4" t="str">
        <f>IFERROR(__xludf.DUMMYFUNCTION("""COMPUTED_VALUE"""),"TLV70725PDQNT")</f>
        <v>TLV70725PDQNT</v>
      </c>
      <c r="E444" s="4">
        <f>IFERROR(__xludf.DUMMYFUNCTION("""COMPUTED_VALUE"""),10.0)</f>
        <v>10</v>
      </c>
      <c r="F444" s="4" t="str">
        <f>IFERROR(__xludf.DUMMYFUNCTION("""COMPUTED_VALUE"""),"DigiKey")</f>
        <v>DigiKey</v>
      </c>
      <c r="G444" s="4" t="str">
        <f>IFERROR(__xludf.DUMMYFUNCTION("""COMPUTED_VALUE"""),"296-34993-6-ND")</f>
        <v>296-34993-6-ND</v>
      </c>
      <c r="H444" s="4"/>
      <c r="I444" s="4"/>
      <c r="J444" s="4"/>
      <c r="K444" s="4"/>
      <c r="L444" s="4"/>
      <c r="M444" s="4"/>
      <c r="N444" s="9" t="str">
        <f>IFERROR(__xludf.DUMMYFUNCTION("""COMPUTED_VALUE"""),"OEPS00038")</f>
        <v>OEPS00038</v>
      </c>
      <c r="O444" s="4" t="str">
        <f>IFERROR(__xludf.DUMMYFUNCTION("""COMPUTED_VALUE"""),"10029449-111RLF")</f>
        <v>10029449-111RLF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>
      <c r="A445" s="4" t="str">
        <f>IFERROR(__xludf.DUMMYFUNCTION("""COMPUTED_VALUE"""),"IC:   LDO 2.5V 250mA   [NCP163AFCT250T2G] [4-WLCSP]")</f>
        <v>IC:   LDO 2.5V 250mA   [NCP163AFCT250T2G] [4-WLCSP]</v>
      </c>
      <c r="B445" s="4" t="str">
        <f>IFERROR(__xludf.DUMMYFUNCTION("""COMPUTED_VALUE"""),"OEPS080062")</f>
        <v>OEPS080062</v>
      </c>
      <c r="C445" s="4" t="str">
        <f>IFERROR(__xludf.DUMMYFUNCTION("""COMPUTED_VALUE"""),"SMD")</f>
        <v>SMD</v>
      </c>
      <c r="D445" s="4" t="str">
        <f>IFERROR(__xludf.DUMMYFUNCTION("""COMPUTED_VALUE"""),"NCP163AFCT250T2G")</f>
        <v>NCP163AFCT250T2G</v>
      </c>
      <c r="E445" s="4">
        <f>IFERROR(__xludf.DUMMYFUNCTION("""COMPUTED_VALUE"""),5.0)</f>
        <v>5</v>
      </c>
      <c r="F445" s="4" t="str">
        <f>IFERROR(__xludf.DUMMYFUNCTION("""COMPUTED_VALUE"""),"DigiKey")</f>
        <v>DigiKey</v>
      </c>
      <c r="G445" s="4" t="str">
        <f>IFERROR(__xludf.DUMMYFUNCTION("""COMPUTED_VALUE"""),"488-NCP163AFCT250T2GDKR-ND")</f>
        <v>488-NCP163AFCT250T2GDKR-ND</v>
      </c>
      <c r="H445" s="4"/>
      <c r="I445" s="4"/>
      <c r="J445" s="4"/>
      <c r="K445" s="4"/>
      <c r="L445" s="4"/>
      <c r="M445" s="4"/>
      <c r="N445" s="9" t="str">
        <f>IFERROR(__xludf.DUMMYFUNCTION("""COMPUTED_VALUE"""),"OEPS00039")</f>
        <v>OEPS00039</v>
      </c>
      <c r="O445" s="4" t="str">
        <f>IFERROR(__xludf.DUMMYFUNCTION("""COMPUTED_VALUE"""),"ED555/2DS")</f>
        <v>ED555/2DS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>
      <c r="A446" s="4" t="str">
        <f>IFERROR(__xludf.DUMMYFUNCTION("""COMPUTED_VALUE"""),"IC:   LDO 3.3V 150mA   [LP5951MFX-3.3/NOPB] [SOT-23-5]")</f>
        <v>IC:   LDO 3.3V 150mA   [LP5951MFX-3.3/NOPB] [SOT-23-5]</v>
      </c>
      <c r="B446" s="4" t="str">
        <f>IFERROR(__xludf.DUMMYFUNCTION("""COMPUTED_VALUE"""),"OEPS080026")</f>
        <v>OEPS080026</v>
      </c>
      <c r="C446" s="4" t="str">
        <f>IFERROR(__xludf.DUMMYFUNCTION("""COMPUTED_VALUE"""),"SMD")</f>
        <v>SMD</v>
      </c>
      <c r="D446" s="4" t="str">
        <f>IFERROR(__xludf.DUMMYFUNCTION("""COMPUTED_VALUE"""),"LP5951MFX-3.3/NOPB")</f>
        <v>LP5951MFX-3.3/NOPB</v>
      </c>
      <c r="E446" s="4">
        <f>IFERROR(__xludf.DUMMYFUNCTION("""COMPUTED_VALUE"""),5.0)</f>
        <v>5</v>
      </c>
      <c r="F446" s="4" t="str">
        <f>IFERROR(__xludf.DUMMYFUNCTION("""COMPUTED_VALUE"""),"DigiKey")</f>
        <v>DigiKey</v>
      </c>
      <c r="G446" s="4" t="str">
        <f>IFERROR(__xludf.DUMMYFUNCTION("""COMPUTED_VALUE"""),"296-47807-6-ND")</f>
        <v>296-47807-6-ND</v>
      </c>
      <c r="H446" s="4"/>
      <c r="I446" s="4"/>
      <c r="J446" s="4"/>
      <c r="K446" s="4"/>
      <c r="L446" s="4"/>
      <c r="M446" s="4"/>
      <c r="N446" s="9" t="str">
        <f>IFERROR(__xludf.DUMMYFUNCTION("""COMPUTED_VALUE"""),"OEPS00040")</f>
        <v>OEPS00040</v>
      </c>
      <c r="O446" s="4" t="str">
        <f>IFERROR(__xludf.DUMMYFUNCTION("""COMPUTED_VALUE"""),"MBRA210LT3G")</f>
        <v>MBRA210LT3G</v>
      </c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>
      <c r="A447" s="4" t="str">
        <f>IFERROR(__xludf.DUMMYFUNCTION("""COMPUTED_VALUE"""),"IC:   LDO 3.3V 200mA   [TLV70033DDCR] [SOT-23-THIN]")</f>
        <v>IC:   LDO 3.3V 200mA   [TLV70033DDCR] [SOT-23-THIN]</v>
      </c>
      <c r="B447" s="4" t="str">
        <f>IFERROR(__xludf.DUMMYFUNCTION("""COMPUTED_VALUE"""),"OEPS080086")</f>
        <v>OEPS080086</v>
      </c>
      <c r="C447" s="4" t="str">
        <f>IFERROR(__xludf.DUMMYFUNCTION("""COMPUTED_VALUE"""),"SMD")</f>
        <v>SMD</v>
      </c>
      <c r="D447" s="4" t="str">
        <f>IFERROR(__xludf.DUMMYFUNCTION("""COMPUTED_VALUE"""),"TLV70033DDCR")</f>
        <v>TLV70033DDCR</v>
      </c>
      <c r="E447" s="4">
        <f>IFERROR(__xludf.DUMMYFUNCTION("""COMPUTED_VALUE"""),5.0)</f>
        <v>5</v>
      </c>
      <c r="F447" s="4" t="str">
        <f>IFERROR(__xludf.DUMMYFUNCTION("""COMPUTED_VALUE"""),"DigiKey")</f>
        <v>DigiKey</v>
      </c>
      <c r="G447" s="4" t="str">
        <f>IFERROR(__xludf.DUMMYFUNCTION("""COMPUTED_VALUE"""),"296-27937-6-ND")</f>
        <v>296-27937-6-ND</v>
      </c>
      <c r="H447" s="4"/>
      <c r="I447" s="4"/>
      <c r="J447" s="4"/>
      <c r="K447" s="4"/>
      <c r="L447" s="4"/>
      <c r="M447" s="4"/>
      <c r="N447" s="9" t="str">
        <f>IFERROR(__xludf.DUMMYFUNCTION("""COMPUTED_VALUE"""),"OEPS00042")</f>
        <v>OEPS00042</v>
      </c>
      <c r="O447" s="4" t="str">
        <f>IFERROR(__xludf.DUMMYFUNCTION("""COMPUTED_VALUE"""),"BTE-040-01-F-D-A")</f>
        <v>BTE-040-01-F-D-A</v>
      </c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>
      <c r="A448" s="4" t="str">
        <f>IFERROR(__xludf.DUMMYFUNCTION("""COMPUTED_VALUE"""),"IC:   LDO 3.3V 250mA   [LP5907MFX-3.3/NOPB] [SOT-23-5]")</f>
        <v>IC:   LDO 3.3V 250mA   [LP5907MFX-3.3/NOPB] [SOT-23-5]</v>
      </c>
      <c r="B448" s="4" t="str">
        <f>IFERROR(__xludf.DUMMYFUNCTION("""COMPUTED_VALUE"""),"OEPS080016")</f>
        <v>OEPS080016</v>
      </c>
      <c r="C448" s="4" t="str">
        <f>IFERROR(__xludf.DUMMYFUNCTION("""COMPUTED_VALUE"""),"SMD")</f>
        <v>SMD</v>
      </c>
      <c r="D448" s="4" t="str">
        <f>IFERROR(__xludf.DUMMYFUNCTION("""COMPUTED_VALUE"""),"LP5907MFX-3.3/NOPB")</f>
        <v>LP5907MFX-3.3/NOPB</v>
      </c>
      <c r="E448" s="4">
        <f>IFERROR(__xludf.DUMMYFUNCTION("""COMPUTED_VALUE"""),5.0)</f>
        <v>5</v>
      </c>
      <c r="F448" s="4" t="str">
        <f>IFERROR(__xludf.DUMMYFUNCTION("""COMPUTED_VALUE"""),"DigiKey")</f>
        <v>DigiKey</v>
      </c>
      <c r="G448" s="4" t="str">
        <f>IFERROR(__xludf.DUMMYFUNCTION("""COMPUTED_VALUE"""),"296-38557-6-ND")</f>
        <v>296-38557-6-ND</v>
      </c>
      <c r="H448" s="4"/>
      <c r="I448" s="4"/>
      <c r="J448" s="4"/>
      <c r="K448" s="4"/>
      <c r="L448" s="4"/>
      <c r="M448" s="4"/>
      <c r="N448" s="9" t="str">
        <f>IFERROR(__xludf.DUMMYFUNCTION("""COMPUTED_VALUE"""),"OEPS00044")</f>
        <v>OEPS00044</v>
      </c>
      <c r="O448" s="4" t="str">
        <f>IFERROR(__xludf.DUMMYFUNCTION("""COMPUTED_VALUE"""),"TPD1E10B06DPYR")</f>
        <v>TPD1E10B06DPYR</v>
      </c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>
      <c r="A449" s="4" t="str">
        <f>IFERROR(__xludf.DUMMYFUNCTION("""COMPUTED_VALUE"""),"IC:   LDO 3.3V 250mA   [MCP1700T-3302E/TT] [SOT-23-3]")</f>
        <v>IC:   LDO 3.3V 250mA   [MCP1700T-3302E/TT] [SOT-23-3]</v>
      </c>
      <c r="B449" s="4" t="str">
        <f>IFERROR(__xludf.DUMMYFUNCTION("""COMPUTED_VALUE"""),"OEPS080153")</f>
        <v>OEPS080153</v>
      </c>
      <c r="C449" s="4" t="str">
        <f>IFERROR(__xludf.DUMMYFUNCTION("""COMPUTED_VALUE"""),"SMD")</f>
        <v>SMD</v>
      </c>
      <c r="D449" s="4" t="str">
        <f>IFERROR(__xludf.DUMMYFUNCTION("""COMPUTED_VALUE"""),"MCP1700T-3302E/TT")</f>
        <v>MCP1700T-3302E/TT</v>
      </c>
      <c r="E449" s="4">
        <f>IFERROR(__xludf.DUMMYFUNCTION("""COMPUTED_VALUE"""),5.0)</f>
        <v>5</v>
      </c>
      <c r="F449" s="4" t="str">
        <f>IFERROR(__xludf.DUMMYFUNCTION("""COMPUTED_VALUE"""),"DigiKey")</f>
        <v>DigiKey</v>
      </c>
      <c r="G449" s="4" t="str">
        <f>IFERROR(__xludf.DUMMYFUNCTION("""COMPUTED_VALUE"""),"MCP1700T3302ETTDKR-ND")</f>
        <v>MCP1700T3302ETTDKR-ND</v>
      </c>
      <c r="H449" s="4"/>
      <c r="I449" s="4"/>
      <c r="J449" s="4"/>
      <c r="K449" s="4"/>
      <c r="L449" s="4"/>
      <c r="M449" s="4"/>
      <c r="N449" s="9" t="str">
        <f>IFERROR(__xludf.DUMMYFUNCTION("""COMPUTED_VALUE"""),"OEPS00220")</f>
        <v>OEPS00220</v>
      </c>
      <c r="O449" s="4" t="str">
        <f>IFERROR(__xludf.DUMMYFUNCTION("""COMPUTED_VALUE"""),"LT1765EFE#TRPBF")</f>
        <v>LT1765EFE#TRPBF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>
      <c r="A450" s="4" t="str">
        <f>IFERROR(__xludf.DUMMYFUNCTION("""COMPUTED_VALUE"""),"IC:   LDO 3.3V 250mA   [NCP163AFCT330T2G] [4-WLCSP]")</f>
        <v>IC:   LDO 3.3V 250mA   [NCP163AFCT330T2G] [4-WLCSP]</v>
      </c>
      <c r="B450" s="4" t="str">
        <f>IFERROR(__xludf.DUMMYFUNCTION("""COMPUTED_VALUE"""),"OEPS080096")</f>
        <v>OEPS080096</v>
      </c>
      <c r="C450" s="4" t="str">
        <f>IFERROR(__xludf.DUMMYFUNCTION("""COMPUTED_VALUE"""),"SMD")</f>
        <v>SMD</v>
      </c>
      <c r="D450" s="4" t="str">
        <f>IFERROR(__xludf.DUMMYFUNCTION("""COMPUTED_VALUE"""),"NCP163AFCT330T2G")</f>
        <v>NCP163AFCT330T2G</v>
      </c>
      <c r="E450" s="4">
        <f>IFERROR(__xludf.DUMMYFUNCTION("""COMPUTED_VALUE"""),10.0)</f>
        <v>10</v>
      </c>
      <c r="F450" s="4" t="str">
        <f>IFERROR(__xludf.DUMMYFUNCTION("""COMPUTED_VALUE"""),"DigiKey")</f>
        <v>DigiKey</v>
      </c>
      <c r="G450" s="4" t="str">
        <f>IFERROR(__xludf.DUMMYFUNCTION("""COMPUTED_VALUE"""),"NCP163AFCT330T2GOSDKR-ND")</f>
        <v>NCP163AFCT330T2GOSDKR-ND</v>
      </c>
      <c r="H450" s="4"/>
      <c r="I450" s="4"/>
      <c r="J450" s="4"/>
      <c r="K450" s="4"/>
      <c r="L450" s="4"/>
      <c r="M450" s="4"/>
      <c r="N450" s="9" t="str">
        <f>IFERROR(__xludf.DUMMYFUNCTION("""COMPUTED_VALUE"""),"OEPS010001")</f>
        <v>OEPS010001</v>
      </c>
      <c r="O450" s="4" t="str">
        <f>IFERROR(__xludf.DUMMYFUNCTION("""COMPUTED_VALUE"""),"CC0402KRX7R8BB472")</f>
        <v>CC0402KRX7R8BB472</v>
      </c>
      <c r="P450" s="4" t="str">
        <f>IFERROR(__xludf.DUMMYFUNCTION("""COMPUTED_VALUE"""),"1(Tp) 97(Tp) ")</f>
        <v>1(Tp) 97(Tp) </v>
      </c>
      <c r="Q450" s="4">
        <f>IFERROR(__xludf.DUMMYFUNCTION("""COMPUTED_VALUE"""),98.0)</f>
        <v>98</v>
      </c>
      <c r="R450" s="4">
        <f>IFERROR(__xludf.DUMMYFUNCTION("""COMPUTED_VALUE"""),1.0)</f>
        <v>1</v>
      </c>
      <c r="S450" s="4" t="str">
        <f>IFERROR(__xludf.DUMMYFUNCTION("""COMPUTED_VALUE"""),"Tape")</f>
        <v>Tape</v>
      </c>
      <c r="T450" s="4" t="str">
        <f>IFERROR(__xludf.DUMMYFUNCTION("""COMPUTED_VALUE"""),"1124")</f>
        <v>1124</v>
      </c>
      <c r="U450" s="4">
        <f>IFERROR(__xludf.DUMMYFUNCTION("""COMPUTED_VALUE"""),97.0)</f>
        <v>97</v>
      </c>
      <c r="V450" s="4" t="str">
        <f>IFERROR(__xludf.DUMMYFUNCTION("""COMPUTED_VALUE"""),"Tape")</f>
        <v>Tape</v>
      </c>
      <c r="W450" s="4" t="str">
        <f>IFERROR(__xludf.DUMMYFUNCTION("""COMPUTED_VALUE"""),"0625")</f>
        <v>0625</v>
      </c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>
      <c r="A451" s="4" t="str">
        <f>IFERROR(__xludf.DUMMYFUNCTION("""COMPUTED_VALUE"""),"IC:   LDO 3.3V 250mA (OEPS Z00 004)   [NCP163AMX330TBG] [4-XDFN]")</f>
        <v>IC:   LDO 3.3V 250mA (OEPS Z00 004)   [NCP163AMX330TBG] [4-XDFN]</v>
      </c>
      <c r="B451" s="4" t="str">
        <f>IFERROR(__xludf.DUMMYFUNCTION("""COMPUTED_VALUE"""),"OEPS080076")</f>
        <v>OEPS080076</v>
      </c>
      <c r="C451" s="4" t="str">
        <f>IFERROR(__xludf.DUMMYFUNCTION("""COMPUTED_VALUE"""),"SMD")</f>
        <v>SMD</v>
      </c>
      <c r="D451" s="4" t="str">
        <f>IFERROR(__xludf.DUMMYFUNCTION("""COMPUTED_VALUE"""),"NCP163AMX330TBG")</f>
        <v>NCP163AMX330TBG</v>
      </c>
      <c r="E451" s="4">
        <f>IFERROR(__xludf.DUMMYFUNCTION("""COMPUTED_VALUE"""),10.0)</f>
        <v>10</v>
      </c>
      <c r="F451" s="4" t="str">
        <f>IFERROR(__xludf.DUMMYFUNCTION("""COMPUTED_VALUE"""),"DigiKey")</f>
        <v>DigiKey</v>
      </c>
      <c r="G451" s="4" t="str">
        <f>IFERROR(__xludf.DUMMYFUNCTION("""COMPUTED_VALUE"""),"NCP163AMX330TBGOSDKR-ND")</f>
        <v>NCP163AMX330TBGOSDKR-ND</v>
      </c>
      <c r="H451" s="4"/>
      <c r="I451" s="4"/>
      <c r="J451" s="4"/>
      <c r="K451" s="4"/>
      <c r="L451" s="4"/>
      <c r="M451" s="4"/>
      <c r="N451" s="9" t="str">
        <f>IFERROR(__xludf.DUMMYFUNCTION("""COMPUTED_VALUE"""),"OEPS010002")</f>
        <v>OEPS010002</v>
      </c>
      <c r="O451" s="4" t="str">
        <f>IFERROR(__xludf.DUMMYFUNCTION("""COMPUTED_VALUE"""),"GCM155R71E103KA37D")</f>
        <v>GCM155R71E103KA37D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>
      <c r="A452" s="4" t="str">
        <f>IFERROR(__xludf.DUMMYFUNCTION("""COMPUTED_VALUE"""),"IC:   LDO 3.3V 300mA   [MIC5504-3.3YM5-TR] [SOT-23-5]")</f>
        <v>IC:   LDO 3.3V 300mA   [MIC5504-3.3YM5-TR] [SOT-23-5]</v>
      </c>
      <c r="B452" s="4" t="str">
        <f>IFERROR(__xludf.DUMMYFUNCTION("""COMPUTED_VALUE"""),"OEPS080052")</f>
        <v>OEPS080052</v>
      </c>
      <c r="C452" s="4" t="str">
        <f>IFERROR(__xludf.DUMMYFUNCTION("""COMPUTED_VALUE"""),"SMD")</f>
        <v>SMD</v>
      </c>
      <c r="D452" s="4" t="str">
        <f>IFERROR(__xludf.DUMMYFUNCTION("""COMPUTED_VALUE"""),"MIC5504-3.3YM5-TR")</f>
        <v>MIC5504-3.3YM5-TR</v>
      </c>
      <c r="E452" s="4">
        <f>IFERROR(__xludf.DUMMYFUNCTION("""COMPUTED_VALUE"""),3.0)</f>
        <v>3</v>
      </c>
      <c r="F452" s="4" t="str">
        <f>IFERROR(__xludf.DUMMYFUNCTION("""COMPUTED_VALUE"""),"DigiKey")</f>
        <v>DigiKey</v>
      </c>
      <c r="G452" s="4" t="str">
        <f>IFERROR(__xludf.DUMMYFUNCTION("""COMPUTED_VALUE"""),"576-4764-6-ND")</f>
        <v>576-4764-6-ND</v>
      </c>
      <c r="H452" s="4"/>
      <c r="I452" s="4"/>
      <c r="J452" s="4"/>
      <c r="K452" s="4"/>
      <c r="L452" s="4"/>
      <c r="M452" s="4"/>
      <c r="N452" s="9" t="str">
        <f>IFERROR(__xludf.DUMMYFUNCTION("""COMPUTED_VALUE"""),"OEPS010003")</f>
        <v>OEPS010003</v>
      </c>
      <c r="O452" s="4" t="str">
        <f>IFERROR(__xludf.DUMMYFUNCTION("""COMPUTED_VALUE"""),"GRM155R71E473KA88D")</f>
        <v>GRM155R71E473KA88D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>
      <c r="A453" s="4" t="str">
        <f>IFERROR(__xludf.DUMMYFUNCTION("""COMPUTED_VALUE"""),"IC:   LDO 3.3V 400mA   [NCV4274ADT33RKG] [TO-252-3]")</f>
        <v>IC:   LDO 3.3V 400mA   [NCV4274ADT33RKG] [TO-252-3]</v>
      </c>
      <c r="B453" s="4" t="str">
        <f>IFERROR(__xludf.DUMMYFUNCTION("""COMPUTED_VALUE"""),"OEPS080011")</f>
        <v>OEPS080011</v>
      </c>
      <c r="C453" s="4" t="str">
        <f>IFERROR(__xludf.DUMMYFUNCTION("""COMPUTED_VALUE"""),"SMD")</f>
        <v>SMD</v>
      </c>
      <c r="D453" s="4" t="str">
        <f>IFERROR(__xludf.DUMMYFUNCTION("""COMPUTED_VALUE"""),"NCV4274ADT33RKG")</f>
        <v>NCV4274ADT33RKG</v>
      </c>
      <c r="E453" s="4">
        <f>IFERROR(__xludf.DUMMYFUNCTION("""COMPUTED_VALUE"""),3.0)</f>
        <v>3</v>
      </c>
      <c r="F453" s="4" t="str">
        <f>IFERROR(__xludf.DUMMYFUNCTION("""COMPUTED_VALUE"""),"DigiKey")</f>
        <v>DigiKey</v>
      </c>
      <c r="G453" s="4" t="str">
        <f>IFERROR(__xludf.DUMMYFUNCTION("""COMPUTED_VALUE"""),"NCV4274ADT33RKGOSDKR-ND")</f>
        <v>NCV4274ADT33RKGOSDKR-ND</v>
      </c>
      <c r="H453" s="4"/>
      <c r="I453" s="4"/>
      <c r="J453" s="4"/>
      <c r="K453" s="4"/>
      <c r="L453" s="4"/>
      <c r="M453" s="4"/>
      <c r="N453" s="9" t="str">
        <f>IFERROR(__xludf.DUMMYFUNCTION("""COMPUTED_VALUE"""),"OEPS010004")</f>
        <v>OEPS010004</v>
      </c>
      <c r="O453" s="4" t="str">
        <f>IFERROR(__xludf.DUMMYFUNCTION("""COMPUTED_VALUE"""),"GRM155R71E104KE14D")</f>
        <v>GRM155R71E104KE14D</v>
      </c>
      <c r="P453" s="4" t="str">
        <f>IFERROR(__xludf.DUMMYFUNCTION("""COMPUTED_VALUE"""),"107(Tp) ")</f>
        <v>107(Tp) </v>
      </c>
      <c r="Q453" s="4">
        <f>IFERROR(__xludf.DUMMYFUNCTION("""COMPUTED_VALUE"""),107.0)</f>
        <v>107</v>
      </c>
      <c r="R453" s="4">
        <f>IFERROR(__xludf.DUMMYFUNCTION("""COMPUTED_VALUE"""),107.0)</f>
        <v>107</v>
      </c>
      <c r="S453" s="4" t="str">
        <f>IFERROR(__xludf.DUMMYFUNCTION("""COMPUTED_VALUE"""),"Tape")</f>
        <v>Tape</v>
      </c>
      <c r="T453" s="4" t="str">
        <f>IFERROR(__xludf.DUMMYFUNCTION("""COMPUTED_VALUE"""),"1124")</f>
        <v>1124</v>
      </c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>
      <c r="A454" s="4" t="str">
        <f>IFERROR(__xludf.DUMMYFUNCTION("""COMPUTED_VALUE"""),"IC:   LDO 3.3V 400mA   [SPX3819-3.3] [SOT-23-5]")</f>
        <v>IC:   LDO 3.3V 400mA   [SPX3819-3.3] [SOT-23-5]</v>
      </c>
      <c r="B454" s="4" t="str">
        <f>IFERROR(__xludf.DUMMYFUNCTION("""COMPUTED_VALUE"""),"OEPS080165")</f>
        <v>OEPS080165</v>
      </c>
      <c r="C454" s="4" t="str">
        <f>IFERROR(__xludf.DUMMYFUNCTION("""COMPUTED_VALUE"""),"SMD")</f>
        <v>SMD</v>
      </c>
      <c r="D454" s="4" t="str">
        <f>IFERROR(__xludf.DUMMYFUNCTION("""COMPUTED_VALUE"""),"SPX3819-3.3")</f>
        <v>SPX3819-3.3</v>
      </c>
      <c r="E454" s="4">
        <f>IFERROR(__xludf.DUMMYFUNCTION("""COMPUTED_VALUE"""),5.0)</f>
        <v>5</v>
      </c>
      <c r="F454" s="4" t="str">
        <f>IFERROR(__xludf.DUMMYFUNCTION("""COMPUTED_VALUE"""),"Mouser")</f>
        <v>Mouser</v>
      </c>
      <c r="G454" s="4" t="str">
        <f>IFERROR(__xludf.DUMMYFUNCTION("""COMPUTED_VALUE"""),"701-SPX3819M5-L/TR")</f>
        <v>701-SPX3819M5-L/TR</v>
      </c>
      <c r="H454" s="4"/>
      <c r="I454" s="4"/>
      <c r="J454" s="4"/>
      <c r="K454" s="4"/>
      <c r="L454" s="4"/>
      <c r="M454" s="4"/>
      <c r="N454" s="9" t="str">
        <f>IFERROR(__xludf.DUMMYFUNCTION("""COMPUTED_VALUE"""),"OEPS010005")</f>
        <v>OEPS010005</v>
      </c>
      <c r="O454" s="4" t="str">
        <f>IFERROR(__xludf.DUMMYFUNCTION("""COMPUTED_VALUE"""),"GCM21BR71E105KA56L")</f>
        <v>GCM21BR71E105KA56L</v>
      </c>
      <c r="P454" s="4" t="str">
        <f>IFERROR(__xludf.DUMMYFUNCTION("""COMPUTED_VALUE"""),"16(Tp) ")</f>
        <v>16(Tp) </v>
      </c>
      <c r="Q454" s="4">
        <f>IFERROR(__xludf.DUMMYFUNCTION("""COMPUTED_VALUE"""),16.0)</f>
        <v>16</v>
      </c>
      <c r="R454" s="4">
        <f>IFERROR(__xludf.DUMMYFUNCTION("""COMPUTED_VALUE"""),16.0)</f>
        <v>16</v>
      </c>
      <c r="S454" s="4" t="str">
        <f>IFERROR(__xludf.DUMMYFUNCTION("""COMPUTED_VALUE"""),"Tape")</f>
        <v>Tape</v>
      </c>
      <c r="T454" s="4" t="str">
        <f>IFERROR(__xludf.DUMMYFUNCTION("""COMPUTED_VALUE"""),"XXXX")</f>
        <v>XXXX</v>
      </c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>
      <c r="A455" s="4" t="str">
        <f>IFERROR(__xludf.DUMMYFUNCTION("""COMPUTED_VALUE"""),"IC:   LDO 3.3V 600mA   [AP2112K-3.3TRG1] [SOT-23-5]")</f>
        <v>IC:   LDO 3.3V 600mA   [AP2112K-3.3TRG1] [SOT-23-5]</v>
      </c>
      <c r="B455" s="4" t="str">
        <f>IFERROR(__xludf.DUMMYFUNCTION("""COMPUTED_VALUE"""),"OEPS080155")</f>
        <v>OEPS080155</v>
      </c>
      <c r="C455" s="4" t="str">
        <f>IFERROR(__xludf.DUMMYFUNCTION("""COMPUTED_VALUE"""),"SMD")</f>
        <v>SMD</v>
      </c>
      <c r="D455" s="4" t="str">
        <f>IFERROR(__xludf.DUMMYFUNCTION("""COMPUTED_VALUE"""),"AP2112K-3.3TRG1")</f>
        <v>AP2112K-3.3TRG1</v>
      </c>
      <c r="E455" s="4">
        <f>IFERROR(__xludf.DUMMYFUNCTION("""COMPUTED_VALUE"""),5.0)</f>
        <v>5</v>
      </c>
      <c r="F455" s="4" t="str">
        <f>IFERROR(__xludf.DUMMYFUNCTION("""COMPUTED_VALUE"""),"Digikey")</f>
        <v>Digikey</v>
      </c>
      <c r="G455" s="4" t="str">
        <f>IFERROR(__xludf.DUMMYFUNCTION("""COMPUTED_VALUE"""),"AP2112K-3.3TRG1DIDKR-ND")</f>
        <v>AP2112K-3.3TRG1DIDKR-ND</v>
      </c>
      <c r="H455" s="4"/>
      <c r="I455" s="4"/>
      <c r="J455" s="4"/>
      <c r="K455" s="4"/>
      <c r="L455" s="4"/>
      <c r="M455" s="4"/>
      <c r="N455" s="9" t="str">
        <f>IFERROR(__xludf.DUMMYFUNCTION("""COMPUTED_VALUE"""),"OEPS010006")</f>
        <v>OEPS010006</v>
      </c>
      <c r="O455" s="4" t="str">
        <f>IFERROR(__xludf.DUMMYFUNCTION("""COMPUTED_VALUE"""),"GRM21BR61E106KA73L")</f>
        <v>GRM21BR61E106KA73L</v>
      </c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>
      <c r="A456" s="4" t="str">
        <f>IFERROR(__xludf.DUMMYFUNCTION("""COMPUTED_VALUE"""),"IC:   LDO 3.3V 800mA   [LD1117S33TR] [SOT-223]")</f>
        <v>IC:   LDO 3.3V 800mA   [LD1117S33TR] [SOT-223]</v>
      </c>
      <c r="B456" s="4" t="str">
        <f>IFERROR(__xludf.DUMMYFUNCTION("""COMPUTED_VALUE"""),"OEPS080020")</f>
        <v>OEPS080020</v>
      </c>
      <c r="C456" s="4" t="str">
        <f>IFERROR(__xludf.DUMMYFUNCTION("""COMPUTED_VALUE"""),"SMD")</f>
        <v>SMD</v>
      </c>
      <c r="D456" s="4" t="str">
        <f>IFERROR(__xludf.DUMMYFUNCTION("""COMPUTED_VALUE"""),"LD1117S33TR")</f>
        <v>LD1117S33TR</v>
      </c>
      <c r="E456" s="4">
        <f>IFERROR(__xludf.DUMMYFUNCTION("""COMPUTED_VALUE"""),5.0)</f>
        <v>5</v>
      </c>
      <c r="F456" s="4" t="str">
        <f>IFERROR(__xludf.DUMMYFUNCTION("""COMPUTED_VALUE"""),"DigiKey")</f>
        <v>DigiKey</v>
      </c>
      <c r="G456" s="4" t="str">
        <f>IFERROR(__xludf.DUMMYFUNCTION("""COMPUTED_VALUE"""),"497-1242-6-ND")</f>
        <v>497-1242-6-ND</v>
      </c>
      <c r="H456" s="4"/>
      <c r="I456" s="4"/>
      <c r="J456" s="4"/>
      <c r="K456" s="4"/>
      <c r="L456" s="4"/>
      <c r="M456" s="4"/>
      <c r="N456" s="9" t="str">
        <f>IFERROR(__xludf.DUMMYFUNCTION("""COMPUTED_VALUE"""),"OEPS010007")</f>
        <v>OEPS010007</v>
      </c>
      <c r="O456" s="4" t="str">
        <f>IFERROR(__xludf.DUMMYFUNCTION("""COMPUTED_VALUE"""),"GRM31CR71E106KA12L")</f>
        <v>GRM31CR71E106KA12L</v>
      </c>
      <c r="P456" s="4" t="str">
        <f>IFERROR(__xludf.DUMMYFUNCTION("""COMPUTED_VALUE"""),"9(Tp) 151(R) ")</f>
        <v>9(Tp) 151(R) </v>
      </c>
      <c r="Q456" s="4">
        <f>IFERROR(__xludf.DUMMYFUNCTION("""COMPUTED_VALUE"""),160.0)</f>
        <v>160</v>
      </c>
      <c r="R456" s="4"/>
      <c r="S456" s="4"/>
      <c r="T456" s="4"/>
      <c r="U456" s="4">
        <f>IFERROR(__xludf.DUMMYFUNCTION("""COMPUTED_VALUE"""),9.0)</f>
        <v>9</v>
      </c>
      <c r="V456" s="4" t="str">
        <f>IFERROR(__xludf.DUMMYFUNCTION("""COMPUTED_VALUE"""),"Tape")</f>
        <v>Tape</v>
      </c>
      <c r="W456" s="4" t="str">
        <f>IFERROR(__xludf.DUMMYFUNCTION("""COMPUTED_VALUE"""),"0325")</f>
        <v>0325</v>
      </c>
      <c r="X456" s="4">
        <f>IFERROR(__xludf.DUMMYFUNCTION("""COMPUTED_VALUE"""),151.0)</f>
        <v>151</v>
      </c>
      <c r="Y456" s="4" t="str">
        <f>IFERROR(__xludf.DUMMYFUNCTION("""COMPUTED_VALUE"""),"Reel")</f>
        <v>Reel</v>
      </c>
      <c r="Z456" s="4" t="str">
        <f>IFERROR(__xludf.DUMMYFUNCTION("""COMPUTED_VALUE"""),"0425")</f>
        <v>0425</v>
      </c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>
      <c r="A457" s="4" t="str">
        <f>IFERROR(__xludf.DUMMYFUNCTION("""COMPUTED_VALUE"""),"IC:   LDO 3.3V 800mA   [LD1117S33TR] [SOT-223]")</f>
        <v>IC:   LDO 3.3V 800mA   [LD1117S33TR] [SOT-223]</v>
      </c>
      <c r="B457" s="4" t="str">
        <f>IFERROR(__xludf.DUMMYFUNCTION("""COMPUTED_VALUE"""),"OEPS080146")</f>
        <v>OEPS080146</v>
      </c>
      <c r="C457" s="4" t="str">
        <f>IFERROR(__xludf.DUMMYFUNCTION("""COMPUTED_VALUE"""),"SMD")</f>
        <v>SMD</v>
      </c>
      <c r="D457" s="4" t="str">
        <f>IFERROR(__xludf.DUMMYFUNCTION("""COMPUTED_VALUE"""),"LD1117S33TR")</f>
        <v>LD1117S33TR</v>
      </c>
      <c r="E457" s="4">
        <f>IFERROR(__xludf.DUMMYFUNCTION("""COMPUTED_VALUE"""),3.0)</f>
        <v>3</v>
      </c>
      <c r="F457" s="4" t="str">
        <f>IFERROR(__xludf.DUMMYFUNCTION("""COMPUTED_VALUE"""),"Digikey")</f>
        <v>Digikey</v>
      </c>
      <c r="G457" s="4" t="str">
        <f>IFERROR(__xludf.DUMMYFUNCTION("""COMPUTED_VALUE"""),"497-1242-6-ND")</f>
        <v>497-1242-6-ND</v>
      </c>
      <c r="H457" s="4"/>
      <c r="I457" s="4"/>
      <c r="J457" s="4"/>
      <c r="K457" s="4"/>
      <c r="L457" s="4"/>
      <c r="M457" s="4"/>
      <c r="N457" s="9" t="str">
        <f>IFERROR(__xludf.DUMMYFUNCTION("""COMPUTED_VALUE"""),"OEPS010008")</f>
        <v>OEPS010008</v>
      </c>
      <c r="O457" s="4" t="str">
        <f>IFERROR(__xludf.DUMMYFUNCTION("""COMPUTED_VALUE"""),"TMK325ABJ476MM-T")</f>
        <v>TMK325ABJ476MM-T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>
      <c r="A458" s="4" t="str">
        <f>IFERROR(__xludf.DUMMYFUNCTION("""COMPUTED_VALUE"""),"IC:   LDO 3V 500mA   [TLV75530PDBVR] [SOT-23-5]")</f>
        <v>IC:   LDO 3V 500mA   [TLV75530PDBVR] [SOT-23-5]</v>
      </c>
      <c r="B458" s="4" t="str">
        <f>IFERROR(__xludf.DUMMYFUNCTION("""COMPUTED_VALUE"""),"OEPS080199")</f>
        <v>OEPS080199</v>
      </c>
      <c r="C458" s="4" t="str">
        <f>IFERROR(__xludf.DUMMYFUNCTION("""COMPUTED_VALUE"""),"SMD")</f>
        <v>SMD</v>
      </c>
      <c r="D458" s="4" t="str">
        <f>IFERROR(__xludf.DUMMYFUNCTION("""COMPUTED_VALUE"""),"TLV75530PDBVR")</f>
        <v>TLV75530PDBVR</v>
      </c>
      <c r="E458" s="4">
        <f>IFERROR(__xludf.DUMMYFUNCTION("""COMPUTED_VALUE"""),5.0)</f>
        <v>5</v>
      </c>
      <c r="F458" s="4" t="str">
        <f>IFERROR(__xludf.DUMMYFUNCTION("""COMPUTED_VALUE"""),"Mouser")</f>
        <v>Mouser</v>
      </c>
      <c r="G458" s="4" t="str">
        <f>IFERROR(__xludf.DUMMYFUNCTION("""COMPUTED_VALUE"""),"296-TLV75530PDBVRDKR-ND")</f>
        <v>296-TLV75530PDBVRDKR-ND</v>
      </c>
      <c r="H458" s="4"/>
      <c r="I458" s="4"/>
      <c r="J458" s="4"/>
      <c r="K458" s="4"/>
      <c r="L458" s="4"/>
      <c r="M458" s="4"/>
      <c r="N458" s="9" t="str">
        <f>IFERROR(__xludf.DUMMYFUNCTION("""COMPUTED_VALUE"""),"OEPS010009")</f>
        <v>OEPS010009</v>
      </c>
      <c r="O458" s="4" t="str">
        <f>IFERROR(__xludf.DUMMYFUNCTION("""COMPUTED_VALUE"""),"GRM188R72A104KA35D")</f>
        <v>GRM188R72A104KA35D</v>
      </c>
      <c r="P458" s="4" t="str">
        <f>IFERROR(__xludf.DUMMYFUNCTION("""COMPUTED_VALUE"""),"1(Tp) 1281(R) ")</f>
        <v>1(Tp) 1281(R) </v>
      </c>
      <c r="Q458" s="4">
        <f>IFERROR(__xludf.DUMMYFUNCTION("""COMPUTED_VALUE"""),1282.0)</f>
        <v>1282</v>
      </c>
      <c r="R458" s="4"/>
      <c r="S458" s="4"/>
      <c r="T458" s="4"/>
      <c r="U458" s="4"/>
      <c r="V458" s="4"/>
      <c r="W458" s="4"/>
      <c r="X458" s="4">
        <f>IFERROR(__xludf.DUMMYFUNCTION("""COMPUTED_VALUE"""),1.0)</f>
        <v>1</v>
      </c>
      <c r="Y458" s="4" t="str">
        <f>IFERROR(__xludf.DUMMYFUNCTION("""COMPUTED_VALUE"""),"Tape")</f>
        <v>Tape</v>
      </c>
      <c r="Z458" s="4" t="str">
        <f>IFERROR(__xludf.DUMMYFUNCTION("""COMPUTED_VALUE"""),"0425")</f>
        <v>0425</v>
      </c>
      <c r="AA458" s="4">
        <f>IFERROR(__xludf.DUMMYFUNCTION("""COMPUTED_VALUE"""),1281.0)</f>
        <v>1281</v>
      </c>
      <c r="AB458" s="4" t="str">
        <f>IFERROR(__xludf.DUMMYFUNCTION("""COMPUTED_VALUE"""),"Reel")</f>
        <v>Reel</v>
      </c>
      <c r="AC458" s="4" t="str">
        <f>IFERROR(__xludf.DUMMYFUNCTION("""COMPUTED_VALUE"""),"0625")</f>
        <v>0625</v>
      </c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>
      <c r="A459" s="4" t="str">
        <f>IFERROR(__xludf.DUMMYFUNCTION("""COMPUTED_VALUE"""),"IC:   LDO 5.0V 1A   [MC7805BDTRKG] [TO-252-3]")</f>
        <v>IC:   LDO 5.0V 1A   [MC7805BDTRKG] [TO-252-3]</v>
      </c>
      <c r="B459" s="4" t="str">
        <f>IFERROR(__xludf.DUMMYFUNCTION("""COMPUTED_VALUE"""),"OEPS080174")</f>
        <v>OEPS080174</v>
      </c>
      <c r="C459" s="4" t="str">
        <f>IFERROR(__xludf.DUMMYFUNCTION("""COMPUTED_VALUE"""),"SMD")</f>
        <v>SMD</v>
      </c>
      <c r="D459" s="4" t="str">
        <f>IFERROR(__xludf.DUMMYFUNCTION("""COMPUTED_VALUE"""),"MC7805BDTRKG")</f>
        <v>MC7805BDTRKG</v>
      </c>
      <c r="E459" s="4">
        <f>IFERROR(__xludf.DUMMYFUNCTION("""COMPUTED_VALUE"""),3.0)</f>
        <v>3</v>
      </c>
      <c r="F459" s="4" t="str">
        <f>IFERROR(__xludf.DUMMYFUNCTION("""COMPUTED_VALUE"""),"Digikey")</f>
        <v>Digikey</v>
      </c>
      <c r="G459" s="4" t="str">
        <f>IFERROR(__xludf.DUMMYFUNCTION("""COMPUTED_VALUE"""),"MC7805BDTRKGOSDKR-ND")</f>
        <v>MC7805BDTRKGOSDKR-ND</v>
      </c>
      <c r="H459" s="4"/>
      <c r="I459" s="4"/>
      <c r="J459" s="4"/>
      <c r="K459" s="4"/>
      <c r="L459" s="4"/>
      <c r="M459" s="4"/>
      <c r="N459" s="9" t="str">
        <f>IFERROR(__xludf.DUMMYFUNCTION("""COMPUTED_VALUE"""),"OEPS010010")</f>
        <v>OEPS010010</v>
      </c>
      <c r="O459" s="4" t="str">
        <f>IFERROR(__xludf.DUMMYFUNCTION("""COMPUTED_VALUE"""),"GRM31CR71E106KA12L")</f>
        <v>GRM31CR71E106KA12L</v>
      </c>
      <c r="P459" s="4" t="str">
        <f>IFERROR(__xludf.DUMMYFUNCTION("""COMPUTED_VALUE"""),"3(Tp) ")</f>
        <v>3(Tp) </v>
      </c>
      <c r="Q459" s="4">
        <f>IFERROR(__xludf.DUMMYFUNCTION("""COMPUTED_VALUE"""),3.0)</f>
        <v>3</v>
      </c>
      <c r="R459" s="4">
        <f>IFERROR(__xludf.DUMMYFUNCTION("""COMPUTED_VALUE"""),3.0)</f>
        <v>3</v>
      </c>
      <c r="S459" s="4" t="str">
        <f>IFERROR(__xludf.DUMMYFUNCTION("""COMPUTED_VALUE"""),"Tape")</f>
        <v>Tape</v>
      </c>
      <c r="T459" s="4" t="str">
        <f>IFERROR(__xludf.DUMMYFUNCTION("""COMPUTED_VALUE"""),"1022")</f>
        <v>1022</v>
      </c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>
      <c r="A460" s="4" t="str">
        <f>IFERROR(__xludf.DUMMYFUNCTION("""COMPUTED_VALUE"""),"IC:   LDO 5.0V 300mA   [NCP718BSN500T1G] [TSOT-23-5]")</f>
        <v>IC:   LDO 5.0V 300mA   [NCP718BSN500T1G] [TSOT-23-5]</v>
      </c>
      <c r="B460" s="4" t="str">
        <f>IFERROR(__xludf.DUMMYFUNCTION("""COMPUTED_VALUE"""),"OEPS080041")</f>
        <v>OEPS080041</v>
      </c>
      <c r="C460" s="4" t="str">
        <f>IFERROR(__xludf.DUMMYFUNCTION("""COMPUTED_VALUE"""),"SMD")</f>
        <v>SMD</v>
      </c>
      <c r="D460" s="4" t="str">
        <f>IFERROR(__xludf.DUMMYFUNCTION("""COMPUTED_VALUE"""),"NCP718BSN500T1G")</f>
        <v>NCP718BSN500T1G</v>
      </c>
      <c r="E460" s="4">
        <f>IFERROR(__xludf.DUMMYFUNCTION("""COMPUTED_VALUE"""),5.0)</f>
        <v>5</v>
      </c>
      <c r="F460" s="4" t="str">
        <f>IFERROR(__xludf.DUMMYFUNCTION("""COMPUTED_VALUE"""),"DigiKey")</f>
        <v>DigiKey</v>
      </c>
      <c r="G460" s="4" t="str">
        <f>IFERROR(__xludf.DUMMYFUNCTION("""COMPUTED_VALUE"""),"NCP718BSN500T1GOSDKR-ND")</f>
        <v>NCP718BSN500T1GOSDKR-ND</v>
      </c>
      <c r="H460" s="4"/>
      <c r="I460" s="4"/>
      <c r="J460" s="4"/>
      <c r="K460" s="4"/>
      <c r="L460" s="4"/>
      <c r="M460" s="4"/>
      <c r="N460" s="9" t="str">
        <f>IFERROR(__xludf.DUMMYFUNCTION("""COMPUTED_VALUE"""),"OEPS010011")</f>
        <v>OEPS010011</v>
      </c>
      <c r="O460" s="4" t="str">
        <f>IFERROR(__xludf.DUMMYFUNCTION("""COMPUTED_VALUE"""),"04025A470JAT2A")</f>
        <v>04025A470JAT2A</v>
      </c>
      <c r="P460" s="4"/>
      <c r="Q460" s="4"/>
      <c r="R460" s="4">
        <f>IFERROR(__xludf.DUMMYFUNCTION("""COMPUTED_VALUE"""),1.0)</f>
        <v>1</v>
      </c>
      <c r="S460" s="4" t="str">
        <f>IFERROR(__xludf.DUMMYFUNCTION("""COMPUTED_VALUE"""),"Tape")</f>
        <v>Tape</v>
      </c>
      <c r="T460" s="4" t="str">
        <f>IFERROR(__xludf.DUMMYFUNCTION("""COMPUTED_VALUE"""),"0224")</f>
        <v>0224</v>
      </c>
      <c r="U460" s="4">
        <f>IFERROR(__xludf.DUMMYFUNCTION("""COMPUTED_VALUE"""),2.0)</f>
        <v>2</v>
      </c>
      <c r="V460" s="4" t="str">
        <f>IFERROR(__xludf.DUMMYFUNCTION("""COMPUTED_VALUE"""),"Tape")</f>
        <v>Tape</v>
      </c>
      <c r="W460" s="4" t="str">
        <f>IFERROR(__xludf.DUMMYFUNCTION("""COMPUTED_VALUE"""),"0221")</f>
        <v>0221</v>
      </c>
      <c r="X460" s="4">
        <f>IFERROR(__xludf.DUMMYFUNCTION("""COMPUTED_VALUE"""),8.0)</f>
        <v>8</v>
      </c>
      <c r="Y460" s="4" t="str">
        <f>IFERROR(__xludf.DUMMYFUNCTION("""COMPUTED_VALUE"""),"Tape")</f>
        <v>Tape</v>
      </c>
      <c r="Z460" s="4" t="str">
        <f>IFERROR(__xludf.DUMMYFUNCTION("""COMPUTED_VALUE"""),"1123")</f>
        <v>1123</v>
      </c>
      <c r="AA460" s="4">
        <f>IFERROR(__xludf.DUMMYFUNCTION("""COMPUTED_VALUE"""),7.0)</f>
        <v>7</v>
      </c>
      <c r="AB460" s="4" t="str">
        <f>IFERROR(__xludf.DUMMYFUNCTION("""COMPUTED_VALUE"""),"Tape")</f>
        <v>Tape</v>
      </c>
      <c r="AC460" s="4" t="str">
        <f>IFERROR(__xludf.DUMMYFUNCTION("""COMPUTED_VALUE"""),"0326")</f>
        <v>0326</v>
      </c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>
      <c r="A461" s="4" t="str">
        <f>IFERROR(__xludf.DUMMYFUNCTION("""COMPUTED_VALUE"""),"IC:   LDO 5V 100mA   [MC78L05ACDR2G] [8-SOIC]")</f>
        <v>IC:   LDO 5V 100mA   [MC78L05ACDR2G] [8-SOIC]</v>
      </c>
      <c r="B461" s="4" t="str">
        <f>IFERROR(__xludf.DUMMYFUNCTION("""COMPUTED_VALUE"""),"OEPS080226")</f>
        <v>OEPS080226</v>
      </c>
      <c r="C461" s="4" t="str">
        <f>IFERROR(__xludf.DUMMYFUNCTION("""COMPUTED_VALUE"""),"SMD")</f>
        <v>SMD</v>
      </c>
      <c r="D461" s="4" t="str">
        <f>IFERROR(__xludf.DUMMYFUNCTION("""COMPUTED_VALUE"""),"MC78L05ACDR2G")</f>
        <v>MC78L05ACDR2G</v>
      </c>
      <c r="E461" s="4">
        <f>IFERROR(__xludf.DUMMYFUNCTION("""COMPUTED_VALUE"""),5.0)</f>
        <v>5</v>
      </c>
      <c r="F461" s="4" t="str">
        <f>IFERROR(__xludf.DUMMYFUNCTION("""COMPUTED_VALUE"""),"Digikey")</f>
        <v>Digikey</v>
      </c>
      <c r="G461" s="4" t="str">
        <f>IFERROR(__xludf.DUMMYFUNCTION("""COMPUTED_VALUE"""),"MC78L05ACDR2GOSDKR-ND")</f>
        <v>MC78L05ACDR2GOSDKR-ND</v>
      </c>
      <c r="H461" s="4"/>
      <c r="I461" s="4"/>
      <c r="J461" s="4"/>
      <c r="K461" s="4"/>
      <c r="L461" s="4"/>
      <c r="M461" s="4"/>
      <c r="N461" s="9" t="str">
        <f>IFERROR(__xludf.DUMMYFUNCTION("""COMPUTED_VALUE"""),"OEPS010012")</f>
        <v>OEPS010012</v>
      </c>
      <c r="O461" s="4" t="str">
        <f>IFERROR(__xludf.DUMMYFUNCTION("""COMPUTED_VALUE"""),"06035A470JAT2A")</f>
        <v>06035A470JAT2A</v>
      </c>
      <c r="P461" s="4" t="str">
        <f>IFERROR(__xludf.DUMMYFUNCTION("""COMPUTED_VALUE"""),"3(Tp) ")</f>
        <v>3(Tp) </v>
      </c>
      <c r="Q461" s="4">
        <f>IFERROR(__xludf.DUMMYFUNCTION("""COMPUTED_VALUE"""),3.0)</f>
        <v>3</v>
      </c>
      <c r="R461" s="4">
        <f>IFERROR(__xludf.DUMMYFUNCTION("""COMPUTED_VALUE"""),3.0)</f>
        <v>3</v>
      </c>
      <c r="S461" s="4" t="str">
        <f>IFERROR(__xludf.DUMMYFUNCTION("""COMPUTED_VALUE"""),"Tape")</f>
        <v>Tape</v>
      </c>
      <c r="T461" s="4" t="str">
        <f>IFERROR(__xludf.DUMMYFUNCTION("""COMPUTED_VALUE"""),"1022")</f>
        <v>1022</v>
      </c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>
      <c r="A462" s="4" t="str">
        <f>IFERROR(__xludf.DUMMYFUNCTION("""COMPUTED_VALUE"""),"IC:   LDO ADJ 1.5A (OEPS J30 041)   [TPS74801DRCR] [10-VFDFN Exposed Pad]")</f>
        <v>IC:   LDO ADJ 1.5A (OEPS J30 041)   [TPS74801DRCR] [10-VFDFN Exposed Pad]</v>
      </c>
      <c r="B462" s="4" t="str">
        <f>IFERROR(__xludf.DUMMYFUNCTION("""COMPUTED_VALUE"""),"OEPS080137")</f>
        <v>OEPS080137</v>
      </c>
      <c r="C462" s="4" t="str">
        <f>IFERROR(__xludf.DUMMYFUNCTION("""COMPUTED_VALUE"""),"SMD")</f>
        <v>SMD</v>
      </c>
      <c r="D462" s="4" t="str">
        <f>IFERROR(__xludf.DUMMYFUNCTION("""COMPUTED_VALUE"""),"TPS74801DRCR")</f>
        <v>TPS74801DRCR</v>
      </c>
      <c r="E462" s="4">
        <f>IFERROR(__xludf.DUMMYFUNCTION("""COMPUTED_VALUE"""),1.0)</f>
        <v>1</v>
      </c>
      <c r="F462" s="4" t="str">
        <f>IFERROR(__xludf.DUMMYFUNCTION("""COMPUTED_VALUE"""),"Digikey")</f>
        <v>Digikey</v>
      </c>
      <c r="G462" s="4" t="str">
        <f>IFERROR(__xludf.DUMMYFUNCTION("""COMPUTED_VALUE"""),"296-21563-6-ND")</f>
        <v>296-21563-6-ND</v>
      </c>
      <c r="H462" s="4"/>
      <c r="I462" s="4"/>
      <c r="J462" s="4"/>
      <c r="K462" s="4"/>
      <c r="L462" s="4"/>
      <c r="M462" s="4"/>
      <c r="N462" s="9" t="str">
        <f>IFERROR(__xludf.DUMMYFUNCTION("""COMPUTED_VALUE"""),"OEPS010013")</f>
        <v>OEPS010013</v>
      </c>
      <c r="O462" s="4" t="str">
        <f>IFERROR(__xludf.DUMMYFUNCTION("""COMPUTED_VALUE"""),"GRM21BR61H475KE51L")</f>
        <v>GRM21BR61H475KE51L</v>
      </c>
      <c r="P462" s="4" t="str">
        <f>IFERROR(__xludf.DUMMYFUNCTION("""COMPUTED_VALUE"""),"42(Tp) 8(Tp) 3(Tp) 349(R) ")</f>
        <v>42(Tp) 8(Tp) 3(Tp) 349(R) </v>
      </c>
      <c r="Q462" s="4">
        <f>IFERROR(__xludf.DUMMYFUNCTION("""COMPUTED_VALUE"""),402.0)</f>
        <v>402</v>
      </c>
      <c r="R462" s="4">
        <f>IFERROR(__xludf.DUMMYFUNCTION("""COMPUTED_VALUE"""),42.0)</f>
        <v>42</v>
      </c>
      <c r="S462" s="4" t="str">
        <f>IFERROR(__xludf.DUMMYFUNCTION("""COMPUTED_VALUE"""),"Tape")</f>
        <v>Tape</v>
      </c>
      <c r="T462" s="4" t="str">
        <f>IFERROR(__xludf.DUMMYFUNCTION("""COMPUTED_VALUE"""),"1124")</f>
        <v>1124</v>
      </c>
      <c r="U462" s="4">
        <f>IFERROR(__xludf.DUMMYFUNCTION("""COMPUTED_VALUE"""),8.0)</f>
        <v>8</v>
      </c>
      <c r="V462" s="4" t="str">
        <f>IFERROR(__xludf.DUMMYFUNCTION("""COMPUTED_VALUE"""),"Tape")</f>
        <v>Tape</v>
      </c>
      <c r="W462" s="4" t="str">
        <f>IFERROR(__xludf.DUMMYFUNCTION("""COMPUTED_VALUE"""),"0325")</f>
        <v>0325</v>
      </c>
      <c r="X462" s="4">
        <f>IFERROR(__xludf.DUMMYFUNCTION("""COMPUTED_VALUE"""),3.0)</f>
        <v>3</v>
      </c>
      <c r="Y462" s="4" t="str">
        <f>IFERROR(__xludf.DUMMYFUNCTION("""COMPUTED_VALUE"""),"Tape")</f>
        <v>Tape</v>
      </c>
      <c r="Z462" s="4" t="str">
        <f>IFERROR(__xludf.DUMMYFUNCTION("""COMPUTED_VALUE"""),"1022")</f>
        <v>1022</v>
      </c>
      <c r="AA462" s="4">
        <f>IFERROR(__xludf.DUMMYFUNCTION("""COMPUTED_VALUE"""),349.0)</f>
        <v>349</v>
      </c>
      <c r="AB462" s="4" t="str">
        <f>IFERROR(__xludf.DUMMYFUNCTION("""COMPUTED_VALUE"""),"Reel")</f>
        <v>Reel</v>
      </c>
      <c r="AC462" s="4" t="str">
        <f>IFERROR(__xludf.DUMMYFUNCTION("""COMPUTED_VALUE"""),"0425")</f>
        <v>0425</v>
      </c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>
      <c r="A463" s="4" t="str">
        <f>IFERROR(__xludf.DUMMYFUNCTION("""COMPUTED_VALUE"""),"IC:   LDO ADJ 150mA   [TPS7A4901DRBR] [8-SON (3x3)]")</f>
        <v>IC:   LDO ADJ 150mA   [TPS7A4901DRBR] [8-SON (3x3)]</v>
      </c>
      <c r="B463" s="4" t="str">
        <f>IFERROR(__xludf.DUMMYFUNCTION("""COMPUTED_VALUE"""),"OEPS080215")</f>
        <v>OEPS080215</v>
      </c>
      <c r="C463" s="4" t="str">
        <f>IFERROR(__xludf.DUMMYFUNCTION("""COMPUTED_VALUE"""),"SMD")</f>
        <v>SMD</v>
      </c>
      <c r="D463" s="4" t="str">
        <f>IFERROR(__xludf.DUMMYFUNCTION("""COMPUTED_VALUE"""),"TPS7A4901DRBR")</f>
        <v>TPS7A4901DRBR</v>
      </c>
      <c r="E463" s="4">
        <f>IFERROR(__xludf.DUMMYFUNCTION("""COMPUTED_VALUE"""),1.0)</f>
        <v>1</v>
      </c>
      <c r="F463" s="4" t="str">
        <f>IFERROR(__xludf.DUMMYFUNCTION("""COMPUTED_VALUE"""),"Digikey")</f>
        <v>Digikey</v>
      </c>
      <c r="G463" s="4" t="str">
        <f>IFERROR(__xludf.DUMMYFUNCTION("""COMPUTED_VALUE"""),"296-42154-6-ND")</f>
        <v>296-42154-6-ND</v>
      </c>
      <c r="H463" s="4"/>
      <c r="I463" s="4"/>
      <c r="J463" s="4"/>
      <c r="K463" s="4"/>
      <c r="L463" s="4"/>
      <c r="M463" s="4"/>
      <c r="N463" s="9" t="str">
        <f>IFERROR(__xludf.DUMMYFUNCTION("""COMPUTED_VALUE"""),"OEPS010014")</f>
        <v>OEPS010014</v>
      </c>
      <c r="O463" s="4" t="str">
        <f>IFERROR(__xludf.DUMMYFUNCTION("""COMPUTED_VALUE"""),"885012206112")</f>
        <v>885012206112</v>
      </c>
      <c r="P463" s="4" t="str">
        <f>IFERROR(__xludf.DUMMYFUNCTION("""COMPUTED_VALUE"""),"4(Tp) ")</f>
        <v>4(Tp) </v>
      </c>
      <c r="Q463" s="4">
        <f>IFERROR(__xludf.DUMMYFUNCTION("""COMPUTED_VALUE"""),4.0)</f>
        <v>4</v>
      </c>
      <c r="R463" s="4">
        <f>IFERROR(__xludf.DUMMYFUNCTION("""COMPUTED_VALUE"""),4.0)</f>
        <v>4</v>
      </c>
      <c r="S463" s="4" t="str">
        <f>IFERROR(__xludf.DUMMYFUNCTION("""COMPUTED_VALUE"""),"Tape")</f>
        <v>Tape</v>
      </c>
      <c r="T463" s="4" t="str">
        <f>IFERROR(__xludf.DUMMYFUNCTION("""COMPUTED_VALUE"""),"1022")</f>
        <v>1022</v>
      </c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>
      <c r="A464" s="4" t="str">
        <f>IFERROR(__xludf.DUMMYFUNCTION("""COMPUTED_VALUE"""),"IC:   LDO ADJ 1A   [TLV76701DRVR] [WSON-6]")</f>
        <v>IC:   LDO ADJ 1A   [TLV76701DRVR] [WSON-6]</v>
      </c>
      <c r="B464" s="4" t="str">
        <f>IFERROR(__xludf.DUMMYFUNCTION("""COMPUTED_VALUE"""),"OEPS080107")</f>
        <v>OEPS080107</v>
      </c>
      <c r="C464" s="4" t="str">
        <f>IFERROR(__xludf.DUMMYFUNCTION("""COMPUTED_VALUE"""),"SMD")</f>
        <v>SMD</v>
      </c>
      <c r="D464" s="4" t="str">
        <f>IFERROR(__xludf.DUMMYFUNCTION("""COMPUTED_VALUE"""),"TLV76701DRVR")</f>
        <v>TLV76701DRVR</v>
      </c>
      <c r="E464" s="4">
        <f>IFERROR(__xludf.DUMMYFUNCTION("""COMPUTED_VALUE"""),4.0)</f>
        <v>4</v>
      </c>
      <c r="F464" s="4" t="str">
        <f>IFERROR(__xludf.DUMMYFUNCTION("""COMPUTED_VALUE"""),"DigiKey")</f>
        <v>DigiKey</v>
      </c>
      <c r="G464" s="4" t="str">
        <f>IFERROR(__xludf.DUMMYFUNCTION("""COMPUTED_VALUE"""),"296-TLV76701DRVRDKR-ND")</f>
        <v>296-TLV76701DRVRDKR-ND</v>
      </c>
      <c r="H464" s="4"/>
      <c r="I464" s="4"/>
      <c r="J464" s="4"/>
      <c r="K464" s="4"/>
      <c r="L464" s="4"/>
      <c r="M464" s="4"/>
      <c r="N464" s="9" t="str">
        <f>IFERROR(__xludf.DUMMYFUNCTION("""COMPUTED_VALUE"""),"OEPS010015")</f>
        <v>OEPS010015</v>
      </c>
      <c r="O464" s="4" t="str">
        <f>IFERROR(__xludf.DUMMYFUNCTION("""COMPUTED_VALUE"""),"EMK107BBJ106MA-T")</f>
        <v>EMK107BBJ106MA-T</v>
      </c>
      <c r="P464" s="4" t="str">
        <f>IFERROR(__xludf.DUMMYFUNCTION("""COMPUTED_VALUE"""),"4(Tp) 49(Tp) ")</f>
        <v>4(Tp) 49(Tp) </v>
      </c>
      <c r="Q464" s="4">
        <f>IFERROR(__xludf.DUMMYFUNCTION("""COMPUTED_VALUE"""),53.0)</f>
        <v>53</v>
      </c>
      <c r="R464" s="4">
        <f>IFERROR(__xludf.DUMMYFUNCTION("""COMPUTED_VALUE"""),4.0)</f>
        <v>4</v>
      </c>
      <c r="S464" s="4" t="str">
        <f>IFERROR(__xludf.DUMMYFUNCTION("""COMPUTED_VALUE"""),"Tape")</f>
        <v>Tape</v>
      </c>
      <c r="T464" s="4" t="str">
        <f>IFERROR(__xludf.DUMMYFUNCTION("""COMPUTED_VALUE"""),"0426")</f>
        <v>0426</v>
      </c>
      <c r="U464" s="4">
        <f>IFERROR(__xludf.DUMMYFUNCTION("""COMPUTED_VALUE"""),49.0)</f>
        <v>49</v>
      </c>
      <c r="V464" s="4" t="str">
        <f>IFERROR(__xludf.DUMMYFUNCTION("""COMPUTED_VALUE"""),"Tape")</f>
        <v>Tape</v>
      </c>
      <c r="W464" s="4" t="str">
        <f>IFERROR(__xludf.DUMMYFUNCTION("""COMPUTED_VALUE"""),"XXXX")</f>
        <v>XXXX</v>
      </c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>
      <c r="A465" s="4" t="str">
        <f>IFERROR(__xludf.DUMMYFUNCTION("""COMPUTED_VALUE"""),"IC:   LDO ADJ 1A   [TPS73801DCQR] [SOT-223-6]")</f>
        <v>IC:   LDO ADJ 1A   [TPS73801DCQR] [SOT-223-6]</v>
      </c>
      <c r="B465" s="4" t="str">
        <f>IFERROR(__xludf.DUMMYFUNCTION("""COMPUTED_VALUE"""),"OEPS080085")</f>
        <v>OEPS080085</v>
      </c>
      <c r="C465" s="4" t="str">
        <f>IFERROR(__xludf.DUMMYFUNCTION("""COMPUTED_VALUE"""),"SMD")</f>
        <v>SMD</v>
      </c>
      <c r="D465" s="4" t="str">
        <f>IFERROR(__xludf.DUMMYFUNCTION("""COMPUTED_VALUE"""),"TPS73801DCQR")</f>
        <v>TPS73801DCQR</v>
      </c>
      <c r="E465" s="4">
        <f>IFERROR(__xludf.DUMMYFUNCTION("""COMPUTED_VALUE"""),2.0)</f>
        <v>2</v>
      </c>
      <c r="F465" s="4" t="str">
        <f>IFERROR(__xludf.DUMMYFUNCTION("""COMPUTED_VALUE"""),"DigiKey")</f>
        <v>DigiKey</v>
      </c>
      <c r="G465" s="4" t="str">
        <f>IFERROR(__xludf.DUMMYFUNCTION("""COMPUTED_VALUE"""),"296-39489-6-ND")</f>
        <v>296-39489-6-ND</v>
      </c>
      <c r="H465" s="4"/>
      <c r="I465" s="4"/>
      <c r="J465" s="4"/>
      <c r="K465" s="4"/>
      <c r="L465" s="4"/>
      <c r="M465" s="4"/>
      <c r="N465" s="9" t="str">
        <f>IFERROR(__xludf.DUMMYFUNCTION("""COMPUTED_VALUE"""),"OEPS010016")</f>
        <v>OEPS010016</v>
      </c>
      <c r="O465" s="4" t="str">
        <f>IFERROR(__xludf.DUMMYFUNCTION("""COMPUTED_VALUE"""),"CGA2B3X7R1H104K050BB")</f>
        <v>CGA2B3X7R1H104K050BB</v>
      </c>
      <c r="P465" s="4" t="str">
        <f>IFERROR(__xludf.DUMMYFUNCTION("""COMPUTED_VALUE"""),"3(Tp) ")</f>
        <v>3(Tp) </v>
      </c>
      <c r="Q465" s="4">
        <f>IFERROR(__xludf.DUMMYFUNCTION("""COMPUTED_VALUE"""),3.0)</f>
        <v>3</v>
      </c>
      <c r="R465" s="4">
        <f>IFERROR(__xludf.DUMMYFUNCTION("""COMPUTED_VALUE"""),3.0)</f>
        <v>3</v>
      </c>
      <c r="S465" s="4" t="str">
        <f>IFERROR(__xludf.DUMMYFUNCTION("""COMPUTED_VALUE"""),"Tape")</f>
        <v>Tape</v>
      </c>
      <c r="T465" s="4" t="str">
        <f>IFERROR(__xludf.DUMMYFUNCTION("""COMPUTED_VALUE"""),"0126")</f>
        <v>0126</v>
      </c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>
      <c r="A466" s="4" t="str">
        <f>IFERROR(__xludf.DUMMYFUNCTION("""COMPUTED_VALUE"""),"IC:   LDO ADJ 1A (OEPS J30 042)   [TPS76801QD] [8-SOIC]")</f>
        <v>IC:   LDO ADJ 1A (OEPS J30 042)   [TPS76801QD] [8-SOIC]</v>
      </c>
      <c r="B466" s="4" t="str">
        <f>IFERROR(__xludf.DUMMYFUNCTION("""COMPUTED_VALUE"""),"OEPS080138")</f>
        <v>OEPS080138</v>
      </c>
      <c r="C466" s="4" t="str">
        <f>IFERROR(__xludf.DUMMYFUNCTION("""COMPUTED_VALUE"""),"SMD")</f>
        <v>SMD</v>
      </c>
      <c r="D466" s="4" t="str">
        <f>IFERROR(__xludf.DUMMYFUNCTION("""COMPUTED_VALUE"""),"TPS76801QD")</f>
        <v>TPS76801QD</v>
      </c>
      <c r="E466" s="4">
        <f>IFERROR(__xludf.DUMMYFUNCTION("""COMPUTED_VALUE"""),5.0)</f>
        <v>5</v>
      </c>
      <c r="F466" s="4" t="str">
        <f>IFERROR(__xludf.DUMMYFUNCTION("""COMPUTED_VALUE"""),"Digikey")</f>
        <v>Digikey</v>
      </c>
      <c r="G466" s="4" t="str">
        <f>IFERROR(__xludf.DUMMYFUNCTION("""COMPUTED_VALUE"""),"296-2743-5-ND")</f>
        <v>296-2743-5-ND</v>
      </c>
      <c r="H466" s="4"/>
      <c r="I466" s="4"/>
      <c r="J466" s="4"/>
      <c r="K466" s="4"/>
      <c r="L466" s="4"/>
      <c r="M466" s="4"/>
      <c r="N466" s="9" t="str">
        <f>IFERROR(__xludf.DUMMYFUNCTION("""COMPUTED_VALUE"""),"OEPS010017")</f>
        <v>OEPS010017</v>
      </c>
      <c r="O466" s="4" t="str">
        <f>IFERROR(__xludf.DUMMYFUNCTION("""COMPUTED_VALUE"""),"885012205084")</f>
        <v>885012205084</v>
      </c>
      <c r="P466" s="4" t="str">
        <f>IFERROR(__xludf.DUMMYFUNCTION("""COMPUTED_VALUE"""),"6(Tp) 9(Tp) ")</f>
        <v>6(Tp) 9(Tp) </v>
      </c>
      <c r="Q466" s="4">
        <f>IFERROR(__xludf.DUMMYFUNCTION("""COMPUTED_VALUE"""),15.0)</f>
        <v>15</v>
      </c>
      <c r="R466" s="4">
        <f>IFERROR(__xludf.DUMMYFUNCTION("""COMPUTED_VALUE"""),6.0)</f>
        <v>6</v>
      </c>
      <c r="S466" s="4" t="str">
        <f>IFERROR(__xludf.DUMMYFUNCTION("""COMPUTED_VALUE"""),"Tape")</f>
        <v>Tape</v>
      </c>
      <c r="T466" s="4" t="str">
        <f>IFERROR(__xludf.DUMMYFUNCTION("""COMPUTED_VALUE"""),"XXXX")</f>
        <v>XXXX</v>
      </c>
      <c r="U466" s="4">
        <f>IFERROR(__xludf.DUMMYFUNCTION("""COMPUTED_VALUE"""),9.0)</f>
        <v>9</v>
      </c>
      <c r="V466" s="4" t="str">
        <f>IFERROR(__xludf.DUMMYFUNCTION("""COMPUTED_VALUE"""),"Tape")</f>
        <v>Tape</v>
      </c>
      <c r="W466" s="4" t="str">
        <f>IFERROR(__xludf.DUMMYFUNCTION("""COMPUTED_VALUE"""),"0126")</f>
        <v>0126</v>
      </c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>
      <c r="A467" s="4" t="str">
        <f>IFERROR(__xludf.DUMMYFUNCTION("""COMPUTED_VALUE"""),"IC:   LDO ADJ 200mA   [TPS79301DBVRG4] [SOT-23-6]")</f>
        <v>IC:   LDO ADJ 200mA   [TPS79301DBVRG4] [SOT-23-6]</v>
      </c>
      <c r="B467" s="4" t="str">
        <f>IFERROR(__xludf.DUMMYFUNCTION("""COMPUTED_VALUE"""),"OEPS080129")</f>
        <v>OEPS080129</v>
      </c>
      <c r="C467" s="4" t="str">
        <f>IFERROR(__xludf.DUMMYFUNCTION("""COMPUTED_VALUE"""),"SMD")</f>
        <v>SMD</v>
      </c>
      <c r="D467" s="4" t="str">
        <f>IFERROR(__xludf.DUMMYFUNCTION("""COMPUTED_VALUE"""),"TPS79301DBVRG4")</f>
        <v>TPS79301DBVRG4</v>
      </c>
      <c r="E467" s="4">
        <f>IFERROR(__xludf.DUMMYFUNCTION("""COMPUTED_VALUE"""),4.0)</f>
        <v>4</v>
      </c>
      <c r="F467" s="4" t="str">
        <f>IFERROR(__xludf.DUMMYFUNCTION("""COMPUTED_VALUE"""),"Digikey")</f>
        <v>Digikey</v>
      </c>
      <c r="G467" s="4" t="str">
        <f>IFERROR(__xludf.DUMMYFUNCTION("""COMPUTED_VALUE"""),"296-52825-6-ND")</f>
        <v>296-52825-6-ND</v>
      </c>
      <c r="H467" s="4"/>
      <c r="I467" s="4"/>
      <c r="J467" s="4"/>
      <c r="K467" s="4"/>
      <c r="L467" s="4"/>
      <c r="M467" s="4"/>
      <c r="N467" s="9" t="str">
        <f>IFERROR(__xludf.DUMMYFUNCTION("""COMPUTED_VALUE"""),"OEPS010018")</f>
        <v>OEPS010018</v>
      </c>
      <c r="O467" s="4" t="str">
        <f>IFERROR(__xludf.DUMMYFUNCTION("""COMPUTED_VALUE"""),"C1608X6S1C475K080AC")</f>
        <v>C1608X6S1C475K080AC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>
      <c r="A468" s="4" t="str">
        <f>IFERROR(__xludf.DUMMYFUNCTION("""COMPUTED_VALUE"""),"IC:   LDO ADJ 240mA   [NJM11100F1-TE2] [SOT-23-6]")</f>
        <v>IC:   LDO ADJ 240mA   [NJM11100F1-TE2] [SOT-23-6]</v>
      </c>
      <c r="B468" s="4" t="str">
        <f>IFERROR(__xludf.DUMMYFUNCTION("""COMPUTED_VALUE"""),"OEPS080147")</f>
        <v>OEPS080147</v>
      </c>
      <c r="C468" s="4" t="str">
        <f>IFERROR(__xludf.DUMMYFUNCTION("""COMPUTED_VALUE"""),"SMD")</f>
        <v>SMD</v>
      </c>
      <c r="D468" s="4" t="str">
        <f>IFERROR(__xludf.DUMMYFUNCTION("""COMPUTED_VALUE"""),"NJM11100F1-TE2")</f>
        <v>NJM11100F1-TE2</v>
      </c>
      <c r="E468" s="4">
        <f>IFERROR(__xludf.DUMMYFUNCTION("""COMPUTED_VALUE"""),3.0)</f>
        <v>3</v>
      </c>
      <c r="F468" s="4" t="str">
        <f>IFERROR(__xludf.DUMMYFUNCTION("""COMPUTED_VALUE"""),"Digikey")</f>
        <v>Digikey</v>
      </c>
      <c r="G468" s="4" t="str">
        <f>IFERROR(__xludf.DUMMYFUNCTION("""COMPUTED_VALUE"""),"2129-NJM11100F1-TE2DKR-ND")</f>
        <v>2129-NJM11100F1-TE2DKR-ND</v>
      </c>
      <c r="H468" s="4"/>
      <c r="I468" s="4"/>
      <c r="J468" s="4"/>
      <c r="K468" s="4"/>
      <c r="L468" s="4"/>
      <c r="M468" s="4"/>
      <c r="N468" s="9" t="str">
        <f>IFERROR(__xludf.DUMMYFUNCTION("""COMPUTED_VALUE"""),"OEPS010019")</f>
        <v>OEPS010019</v>
      </c>
      <c r="O468" s="4" t="str">
        <f>IFERROR(__xludf.DUMMYFUNCTION("""COMPUTED_VALUE"""),"GCG188R91H184KA01D")</f>
        <v>GCG188R91H184KA01D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>
      <c r="A469" s="4" t="str">
        <f>IFERROR(__xludf.DUMMYFUNCTION("""COMPUTED_VALUE"""),"IC:   LDO DUAL 1.2V 1.8V 200mA 200mA   [ADP220ACBZ-1812R7] [6-WLCSP]")</f>
        <v>IC:   LDO DUAL 1.2V 1.8V 200mA 200mA   [ADP220ACBZ-1812R7] [6-WLCSP]</v>
      </c>
      <c r="B469" s="4" t="str">
        <f>IFERROR(__xludf.DUMMYFUNCTION("""COMPUTED_VALUE"""),"OEPS080061")</f>
        <v>OEPS080061</v>
      </c>
      <c r="C469" s="4" t="str">
        <f>IFERROR(__xludf.DUMMYFUNCTION("""COMPUTED_VALUE"""),"SMD")</f>
        <v>SMD</v>
      </c>
      <c r="D469" s="4" t="str">
        <f>IFERROR(__xludf.DUMMYFUNCTION("""COMPUTED_VALUE"""),"ADP220ACBZ-1812R7")</f>
        <v>ADP220ACBZ-1812R7</v>
      </c>
      <c r="E469" s="4">
        <f>IFERROR(__xludf.DUMMYFUNCTION("""COMPUTED_VALUE"""),3.0)</f>
        <v>3</v>
      </c>
      <c r="F469" s="4" t="str">
        <f>IFERROR(__xludf.DUMMYFUNCTION("""COMPUTED_VALUE"""),"DigiKey")</f>
        <v>DigiKey</v>
      </c>
      <c r="G469" s="4" t="str">
        <f>IFERROR(__xludf.DUMMYFUNCTION("""COMPUTED_VALUE"""),"505-ADP220ACBZ-1812R7DKR-ND")</f>
        <v>505-ADP220ACBZ-1812R7DKR-ND</v>
      </c>
      <c r="H469" s="4"/>
      <c r="I469" s="4"/>
      <c r="J469" s="4"/>
      <c r="K469" s="4"/>
      <c r="L469" s="4"/>
      <c r="M469" s="4"/>
      <c r="N469" s="9" t="str">
        <f>IFERROR(__xludf.DUMMYFUNCTION("""COMPUTED_VALUE"""),"OEPS010020")</f>
        <v>OEPS010020</v>
      </c>
      <c r="O469" s="4" t="str">
        <f>IFERROR(__xludf.DUMMYFUNCTION("""COMPUTED_VALUE"""),"C0402C331J5GAC7867")</f>
        <v>C0402C331J5GAC7867</v>
      </c>
      <c r="P469" s="4" t="str">
        <f>IFERROR(__xludf.DUMMYFUNCTION("""COMPUTED_VALUE"""),"24(Tp) ")</f>
        <v>24(Tp) </v>
      </c>
      <c r="Q469" s="4">
        <f>IFERROR(__xludf.DUMMYFUNCTION("""COMPUTED_VALUE"""),24.0)</f>
        <v>24</v>
      </c>
      <c r="R469" s="4">
        <f>IFERROR(__xludf.DUMMYFUNCTION("""COMPUTED_VALUE"""),24.0)</f>
        <v>24</v>
      </c>
      <c r="S469" s="4" t="str">
        <f>IFERROR(__xludf.DUMMYFUNCTION("""COMPUTED_VALUE"""),"Tape")</f>
        <v>Tape</v>
      </c>
      <c r="T469" s="4" t="str">
        <f>IFERROR(__xludf.DUMMYFUNCTION("""COMPUTED_VALUE"""),"1122")</f>
        <v>1122</v>
      </c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>
      <c r="A470" s="4" t="str">
        <f>IFERROR(__xludf.DUMMYFUNCTION("""COMPUTED_VALUE"""),"IC:   LDO DUAL 1.8V 1.2V 200mA 200mA   [TPS71918-12DRVR] [WSON-6]")</f>
        <v>IC:   LDO DUAL 1.8V 1.2V 200mA 200mA   [TPS71918-12DRVR] [WSON-6]</v>
      </c>
      <c r="B470" s="4" t="str">
        <f>IFERROR(__xludf.DUMMYFUNCTION("""COMPUTED_VALUE"""),"OEPS080046")</f>
        <v>OEPS080046</v>
      </c>
      <c r="C470" s="4" t="str">
        <f>IFERROR(__xludf.DUMMYFUNCTION("""COMPUTED_VALUE"""),"SMD")</f>
        <v>SMD</v>
      </c>
      <c r="D470" s="4" t="str">
        <f>IFERROR(__xludf.DUMMYFUNCTION("""COMPUTED_VALUE"""),"TPS71918-12DRVR")</f>
        <v>TPS71918-12DRVR</v>
      </c>
      <c r="E470" s="4">
        <f>IFERROR(__xludf.DUMMYFUNCTION("""COMPUTED_VALUE"""),2.0)</f>
        <v>2</v>
      </c>
      <c r="F470" s="4" t="str">
        <f>IFERROR(__xludf.DUMMYFUNCTION("""COMPUTED_VALUE"""),"DigiKey")</f>
        <v>DigiKey</v>
      </c>
      <c r="G470" s="4" t="str">
        <f>IFERROR(__xludf.DUMMYFUNCTION("""COMPUTED_VALUE"""),"296-22010-6-ND")</f>
        <v>296-22010-6-ND</v>
      </c>
      <c r="H470" s="4"/>
      <c r="I470" s="4"/>
      <c r="J470" s="4"/>
      <c r="K470" s="4"/>
      <c r="L470" s="4"/>
      <c r="M470" s="4"/>
      <c r="N470" s="9" t="str">
        <f>IFERROR(__xludf.DUMMYFUNCTION("""COMPUTED_VALUE"""),"OEPS010021")</f>
        <v>OEPS010021</v>
      </c>
      <c r="O470" s="4" t="str">
        <f>IFERROR(__xludf.DUMMYFUNCTION("""COMPUTED_VALUE"""),"GRM155R61A334KE15D")</f>
        <v>GRM155R61A334KE15D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>
      <c r="A471" s="4" t="str">
        <f>IFERROR(__xludf.DUMMYFUNCTION("""COMPUTED_VALUE"""),"IC:   LDO DUAL 2.5V 1.8V 300mA 300mA   [MIC5335-JGYMT] [MLF-6]")</f>
        <v>IC:   LDO DUAL 2.5V 1.8V 300mA 300mA   [MIC5335-JGYMT] [MLF-6]</v>
      </c>
      <c r="B471" s="4" t="str">
        <f>IFERROR(__xludf.DUMMYFUNCTION("""COMPUTED_VALUE"""),"OEPS080045")</f>
        <v>OEPS080045</v>
      </c>
      <c r="C471" s="4" t="str">
        <f>IFERROR(__xludf.DUMMYFUNCTION("""COMPUTED_VALUE"""),"SMD")</f>
        <v>SMD</v>
      </c>
      <c r="D471" s="4" t="str">
        <f>IFERROR(__xludf.DUMMYFUNCTION("""COMPUTED_VALUE"""),"MIC5335-JGYMT")</f>
        <v>MIC5335-JGYMT</v>
      </c>
      <c r="E471" s="4">
        <f>IFERROR(__xludf.DUMMYFUNCTION("""COMPUTED_VALUE"""),2.0)</f>
        <v>2</v>
      </c>
      <c r="F471" s="4" t="str">
        <f>IFERROR(__xludf.DUMMYFUNCTION("""COMPUTED_VALUE"""),"DigiKey")</f>
        <v>DigiKey</v>
      </c>
      <c r="G471" s="4" t="str">
        <f>IFERROR(__xludf.DUMMYFUNCTION("""COMPUTED_VALUE"""),"2156-MIC5335-JGYMT-ND")</f>
        <v>2156-MIC5335-JGYMT-ND</v>
      </c>
      <c r="H471" s="4"/>
      <c r="I471" s="4"/>
      <c r="J471" s="4"/>
      <c r="K471" s="4"/>
      <c r="L471" s="4"/>
      <c r="M471" s="4"/>
      <c r="N471" s="9" t="str">
        <f>IFERROR(__xludf.DUMMYFUNCTION("""COMPUTED_VALUE"""),"OEPS010022")</f>
        <v>OEPS010022</v>
      </c>
      <c r="O471" s="4" t="str">
        <f>IFERROR(__xludf.DUMMYFUNCTION("""COMPUTED_VALUE"""),"CL10A105KA8NNNC")</f>
        <v>CL10A105KA8NNNC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>
      <c r="A472" s="4" t="str">
        <f>IFERROR(__xludf.DUMMYFUNCTION("""COMPUTED_VALUE"""),"IC:   LDO DUAL 3.3V 1.8V 200mA 200mA (OEPS J05 036)   [TLV7103318DSER] [6-WFDFN]")</f>
        <v>IC:   LDO DUAL 3.3V 1.8V 200mA 200mA (OEPS J05 036)   [TLV7103318DSER] [6-WFDFN]</v>
      </c>
      <c r="B472" s="4" t="str">
        <f>IFERROR(__xludf.DUMMYFUNCTION("""COMPUTED_VALUE"""),"OEPS080074")</f>
        <v>OEPS080074</v>
      </c>
      <c r="C472" s="4" t="str">
        <f>IFERROR(__xludf.DUMMYFUNCTION("""COMPUTED_VALUE"""),"SMD")</f>
        <v>SMD</v>
      </c>
      <c r="D472" s="4" t="str">
        <f>IFERROR(__xludf.DUMMYFUNCTION("""COMPUTED_VALUE"""),"TLV7103318DSER")</f>
        <v>TLV7103318DSER</v>
      </c>
      <c r="E472" s="4">
        <f>IFERROR(__xludf.DUMMYFUNCTION("""COMPUTED_VALUE"""),4.0)</f>
        <v>4</v>
      </c>
      <c r="F472" s="4" t="str">
        <f>IFERROR(__xludf.DUMMYFUNCTION("""COMPUTED_VALUE"""),"DigiKey")</f>
        <v>DigiKey</v>
      </c>
      <c r="G472" s="4" t="str">
        <f>IFERROR(__xludf.DUMMYFUNCTION("""COMPUTED_VALUE"""),"296-46453-6-ND")</f>
        <v>296-46453-6-ND</v>
      </c>
      <c r="H472" s="4"/>
      <c r="I472" s="4"/>
      <c r="J472" s="4"/>
      <c r="K472" s="4"/>
      <c r="L472" s="4"/>
      <c r="M472" s="4"/>
      <c r="N472" s="9" t="str">
        <f>IFERROR(__xludf.DUMMYFUNCTION("""COMPUTED_VALUE"""),"OEPS010023")</f>
        <v>OEPS010023</v>
      </c>
      <c r="O472" s="4" t="str">
        <f>IFERROR(__xludf.DUMMYFUNCTION("""COMPUTED_VALUE"""),"CGA2B3X7R1V153K050BB")</f>
        <v>CGA2B3X7R1V153K050BB</v>
      </c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>
      <c r="A473" s="4" t="str">
        <f>IFERROR(__xludf.DUMMYFUNCTION("""COMPUTED_VALUE"""),"IC:   LDO NEGATIVE ADJ 200mA   [TPS72301DBVR] [SOT-23-5]")</f>
        <v>IC:   LDO NEGATIVE ADJ 200mA   [TPS72301DBVR] [SOT-23-5]</v>
      </c>
      <c r="B473" s="4" t="str">
        <f>IFERROR(__xludf.DUMMYFUNCTION("""COMPUTED_VALUE"""),"OEPS080130")</f>
        <v>OEPS080130</v>
      </c>
      <c r="C473" s="4" t="str">
        <f>IFERROR(__xludf.DUMMYFUNCTION("""COMPUTED_VALUE"""),"SMD")</f>
        <v>SMD</v>
      </c>
      <c r="D473" s="4" t="str">
        <f>IFERROR(__xludf.DUMMYFUNCTION("""COMPUTED_VALUE"""),"TPS72301DBVR")</f>
        <v>TPS72301DBVR</v>
      </c>
      <c r="E473" s="4">
        <f>IFERROR(__xludf.DUMMYFUNCTION("""COMPUTED_VALUE"""),2.0)</f>
        <v>2</v>
      </c>
      <c r="F473" s="4" t="str">
        <f>IFERROR(__xludf.DUMMYFUNCTION("""COMPUTED_VALUE"""),"Digikey")</f>
        <v>Digikey</v>
      </c>
      <c r="G473" s="4" t="str">
        <f>IFERROR(__xludf.DUMMYFUNCTION("""COMPUTED_VALUE"""),"296-27049-6-ND")</f>
        <v>296-27049-6-ND</v>
      </c>
      <c r="H473" s="4"/>
      <c r="I473" s="4"/>
      <c r="J473" s="4"/>
      <c r="K473" s="4"/>
      <c r="L473" s="4"/>
      <c r="M473" s="4"/>
      <c r="N473" s="9" t="str">
        <f>IFERROR(__xludf.DUMMYFUNCTION("""COMPUTED_VALUE"""),"OEPS010024")</f>
        <v>OEPS010024</v>
      </c>
      <c r="O473" s="4" t="str">
        <f>IFERROR(__xludf.DUMMYFUNCTION("""COMPUTED_VALUE"""),"K220J15C0GF53L2")</f>
        <v>K220J15C0GF53L2</v>
      </c>
      <c r="P473" s="4" t="str">
        <f>IFERROR(__xludf.DUMMYFUNCTION("""COMPUTED_VALUE"""),"115 35 ")</f>
        <v>115 35 </v>
      </c>
      <c r="Q473" s="4">
        <f>IFERROR(__xludf.DUMMYFUNCTION("""COMPUTED_VALUE"""),150.0)</f>
        <v>150</v>
      </c>
      <c r="R473" s="4">
        <f>IFERROR(__xludf.DUMMYFUNCTION("""COMPUTED_VALUE"""),115.0)</f>
        <v>115</v>
      </c>
      <c r="S473" s="4" t="str">
        <f>IFERROR(__xludf.DUMMYFUNCTION("""COMPUTED_VALUE"""),"Bag")</f>
        <v>Bag</v>
      </c>
      <c r="T473" s="4" t="str">
        <f>IFERROR(__xludf.DUMMYFUNCTION("""COMPUTED_VALUE"""),"0622")</f>
        <v>0622</v>
      </c>
      <c r="U473" s="4">
        <f>IFERROR(__xludf.DUMMYFUNCTION("""COMPUTED_VALUE"""),35.0)</f>
        <v>35</v>
      </c>
      <c r="V473" s="4" t="str">
        <f>IFERROR(__xludf.DUMMYFUNCTION("""COMPUTED_VALUE"""),"Bag")</f>
        <v>Bag</v>
      </c>
      <c r="W473" s="4" t="str">
        <f>IFERROR(__xludf.DUMMYFUNCTION("""COMPUTED_VALUE"""),"0823")</f>
        <v>0823</v>
      </c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>
      <c r="A474" s="4" t="str">
        <f>IFERROR(__xludf.DUMMYFUNCTION("""COMPUTED_VALUE"""),"IC:   LDO NEGATIVE ADJ 200mA   [TPS7A3001DRBT] [8-SON (3x3)]")</f>
        <v>IC:   LDO NEGATIVE ADJ 200mA   [TPS7A3001DRBT] [8-SON (3x3)]</v>
      </c>
      <c r="B474" s="4" t="str">
        <f>IFERROR(__xludf.DUMMYFUNCTION("""COMPUTED_VALUE"""),"OEPS080216")</f>
        <v>OEPS080216</v>
      </c>
      <c r="C474" s="4" t="str">
        <f>IFERROR(__xludf.DUMMYFUNCTION("""COMPUTED_VALUE"""),"SMD")</f>
        <v>SMD</v>
      </c>
      <c r="D474" s="4" t="str">
        <f>IFERROR(__xludf.DUMMYFUNCTION("""COMPUTED_VALUE"""),"TPS7A3001DRBT")</f>
        <v>TPS7A3001DRBT</v>
      </c>
      <c r="E474" s="4">
        <f>IFERROR(__xludf.DUMMYFUNCTION("""COMPUTED_VALUE"""),1.0)</f>
        <v>1</v>
      </c>
      <c r="F474" s="4" t="str">
        <f>IFERROR(__xludf.DUMMYFUNCTION("""COMPUTED_VALUE"""),"Digikey")</f>
        <v>Digikey</v>
      </c>
      <c r="G474" s="4" t="str">
        <f>IFERROR(__xludf.DUMMYFUNCTION("""COMPUTED_VALUE"""),"296-42285-6-ND")</f>
        <v>296-42285-6-ND</v>
      </c>
      <c r="H474" s="4"/>
      <c r="I474" s="4"/>
      <c r="J474" s="4"/>
      <c r="K474" s="4"/>
      <c r="L474" s="4"/>
      <c r="M474" s="4"/>
      <c r="N474" s="9" t="str">
        <f>IFERROR(__xludf.DUMMYFUNCTION("""COMPUTED_VALUE"""),"OEPS010025")</f>
        <v>OEPS010025</v>
      </c>
      <c r="O474" s="4" t="str">
        <f>IFERROR(__xludf.DUMMYFUNCTION("""COMPUTED_VALUE"""),"K102K15X7RH53L2")</f>
        <v>K102K15X7RH53L2</v>
      </c>
      <c r="P474" s="4" t="str">
        <f>IFERROR(__xludf.DUMMYFUNCTION("""COMPUTED_VALUE"""),"110 38 ")</f>
        <v>110 38 </v>
      </c>
      <c r="Q474" s="4">
        <f>IFERROR(__xludf.DUMMYFUNCTION("""COMPUTED_VALUE"""),148.0)</f>
        <v>148</v>
      </c>
      <c r="R474" s="4">
        <f>IFERROR(__xludf.DUMMYFUNCTION("""COMPUTED_VALUE"""),110.0)</f>
        <v>110</v>
      </c>
      <c r="S474" s="4" t="str">
        <f>IFERROR(__xludf.DUMMYFUNCTION("""COMPUTED_VALUE"""),"Bag")</f>
        <v>Bag</v>
      </c>
      <c r="T474" s="4" t="str">
        <f>IFERROR(__xludf.DUMMYFUNCTION("""COMPUTED_VALUE"""),"0823")</f>
        <v>0823</v>
      </c>
      <c r="U474" s="4">
        <f>IFERROR(__xludf.DUMMYFUNCTION("""COMPUTED_VALUE"""),38.0)</f>
        <v>38</v>
      </c>
      <c r="V474" s="4" t="str">
        <f>IFERROR(__xludf.DUMMYFUNCTION("""COMPUTED_VALUE"""),"Bag")</f>
        <v>Bag</v>
      </c>
      <c r="W474" s="4" t="str">
        <f>IFERROR(__xludf.DUMMYFUNCTION("""COMPUTED_VALUE"""),"0622")</f>
        <v>0622</v>
      </c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>
      <c r="A475" s="4" t="str">
        <f>IFERROR(__xludf.DUMMYFUNCTION("""COMPUTED_VALUE"""),"IC:   LED Driver 1.5A Buck Regulator DC/CC    [LM3406HVMH/NOPB] [14-HTSSOP]")</f>
        <v>IC:   LED Driver 1.5A Buck Regulator DC/CC    [LM3406HVMH/NOPB] [14-HTSSOP]</v>
      </c>
      <c r="B475" s="4" t="str">
        <f>IFERROR(__xludf.DUMMYFUNCTION("""COMPUTED_VALUE"""),"OEPS080021")</f>
        <v>OEPS080021</v>
      </c>
      <c r="C475" s="4" t="str">
        <f>IFERROR(__xludf.DUMMYFUNCTION("""COMPUTED_VALUE"""),"SMD")</f>
        <v>SMD</v>
      </c>
      <c r="D475" s="4" t="str">
        <f>IFERROR(__xludf.DUMMYFUNCTION("""COMPUTED_VALUE"""),"LM3406HVMH/NOPB")</f>
        <v>LM3406HVMH/NOPB</v>
      </c>
      <c r="E475" s="4">
        <f>IFERROR(__xludf.DUMMYFUNCTION("""COMPUTED_VALUE"""),3.0)</f>
        <v>3</v>
      </c>
      <c r="F475" s="4" t="str">
        <f>IFERROR(__xludf.DUMMYFUNCTION("""COMPUTED_VALUE"""),"DigiKey")</f>
        <v>DigiKey</v>
      </c>
      <c r="G475" s="4" t="str">
        <f>IFERROR(__xludf.DUMMYFUNCTION("""COMPUTED_VALUE"""),"LM3406HVMH/NOPB-ND")</f>
        <v>LM3406HVMH/NOPB-ND</v>
      </c>
      <c r="H475" s="4"/>
      <c r="I475" s="4"/>
      <c r="J475" s="4"/>
      <c r="K475" s="4"/>
      <c r="L475" s="4"/>
      <c r="M475" s="4"/>
      <c r="N475" s="9" t="str">
        <f>IFERROR(__xludf.DUMMYFUNCTION("""COMPUTED_VALUE"""),"OEPS010026")</f>
        <v>OEPS010026</v>
      </c>
      <c r="O475" s="4" t="str">
        <f>IFERROR(__xludf.DUMMYFUNCTION("""COMPUTED_VALUE"""),"C322C104K5R5TA")</f>
        <v>C322C104K5R5TA</v>
      </c>
      <c r="P475" s="4" t="str">
        <f>IFERROR(__xludf.DUMMYFUNCTION("""COMPUTED_VALUE"""),"111 35 ")</f>
        <v>111 35 </v>
      </c>
      <c r="Q475" s="4">
        <f>IFERROR(__xludf.DUMMYFUNCTION("""COMPUTED_VALUE"""),146.0)</f>
        <v>146</v>
      </c>
      <c r="R475" s="4">
        <f>IFERROR(__xludf.DUMMYFUNCTION("""COMPUTED_VALUE"""),111.0)</f>
        <v>111</v>
      </c>
      <c r="S475" s="4" t="str">
        <f>IFERROR(__xludf.DUMMYFUNCTION("""COMPUTED_VALUE"""),"Bag")</f>
        <v>Bag</v>
      </c>
      <c r="T475" s="4" t="str">
        <f>IFERROR(__xludf.DUMMYFUNCTION("""COMPUTED_VALUE"""),"0622")</f>
        <v>0622</v>
      </c>
      <c r="U475" s="4">
        <f>IFERROR(__xludf.DUMMYFUNCTION("""COMPUTED_VALUE"""),35.0)</f>
        <v>35</v>
      </c>
      <c r="V475" s="4" t="str">
        <f>IFERROR(__xludf.DUMMYFUNCTION("""COMPUTED_VALUE"""),"Bag")</f>
        <v>Bag</v>
      </c>
      <c r="W475" s="4" t="str">
        <f>IFERROR(__xludf.DUMMYFUNCTION("""COMPUTED_VALUE"""),"0823")</f>
        <v>0823</v>
      </c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>
      <c r="A476" s="4" t="str">
        <f>IFERROR(__xludf.DUMMYFUNCTION("""COMPUTED_VALUE"""),"IC:   LED Driver 150mA (OEPS J1 022)   [LTC3218EDDB#TRMPBF] [10-WFDFN]")</f>
        <v>IC:   LED Driver 150mA (OEPS J1 022)   [LTC3218EDDB#TRMPBF] [10-WFDFN]</v>
      </c>
      <c r="B476" s="4" t="str">
        <f>IFERROR(__xludf.DUMMYFUNCTION("""COMPUTED_VALUE"""),"OEPS080069")</f>
        <v>OEPS080069</v>
      </c>
      <c r="C476" s="4" t="str">
        <f>IFERROR(__xludf.DUMMYFUNCTION("""COMPUTED_VALUE"""),"SMD")</f>
        <v>SMD</v>
      </c>
      <c r="D476" s="4" t="str">
        <f>IFERROR(__xludf.DUMMYFUNCTION("""COMPUTED_VALUE"""),"LTC3218EDDB#TRMPBF")</f>
        <v>LTC3218EDDB#TRMPBF</v>
      </c>
      <c r="E476" s="4">
        <f>IFERROR(__xludf.DUMMYFUNCTION("""COMPUTED_VALUE"""),1.0)</f>
        <v>1</v>
      </c>
      <c r="F476" s="4" t="str">
        <f>IFERROR(__xludf.DUMMYFUNCTION("""COMPUTED_VALUE"""),"DigiKey")</f>
        <v>DigiKey</v>
      </c>
      <c r="G476" s="4" t="str">
        <f>IFERROR(__xludf.DUMMYFUNCTION("""COMPUTED_VALUE"""),"505-LTC3218EDDB#TRMPBFDKR-ND")</f>
        <v>505-LTC3218EDDB#TRMPBFDKR-ND</v>
      </c>
      <c r="H476" s="4"/>
      <c r="I476" s="4"/>
      <c r="J476" s="4"/>
      <c r="K476" s="4"/>
      <c r="L476" s="4"/>
      <c r="M476" s="4"/>
      <c r="N476" s="9" t="str">
        <f>IFERROR(__xludf.DUMMYFUNCTION("""COMPUTED_VALUE"""),"OEPS010027")</f>
        <v>OEPS010027</v>
      </c>
      <c r="O476" s="4" t="str">
        <f>IFERROR(__xludf.DUMMYFUNCTION("""COMPUTED_VALUE"""),"MCRH35V106M5X11")</f>
        <v>MCRH35V106M5X11</v>
      </c>
      <c r="P476" s="4" t="str">
        <f>IFERROR(__xludf.DUMMYFUNCTION("""COMPUTED_VALUE"""),"44 249 ")</f>
        <v>44 249 </v>
      </c>
      <c r="Q476" s="4">
        <f>IFERROR(__xludf.DUMMYFUNCTION("""COMPUTED_VALUE"""),293.0)</f>
        <v>293</v>
      </c>
      <c r="R476" s="4">
        <f>IFERROR(__xludf.DUMMYFUNCTION("""COMPUTED_VALUE"""),44.0)</f>
        <v>44</v>
      </c>
      <c r="S476" s="4" t="str">
        <f>IFERROR(__xludf.DUMMYFUNCTION("""COMPUTED_VALUE"""),"Bag")</f>
        <v>Bag</v>
      </c>
      <c r="T476" s="4" t="str">
        <f>IFERROR(__xludf.DUMMYFUNCTION("""COMPUTED_VALUE"""),"0322")</f>
        <v>0322</v>
      </c>
      <c r="U476" s="4">
        <f>IFERROR(__xludf.DUMMYFUNCTION("""COMPUTED_VALUE"""),249.0)</f>
        <v>249</v>
      </c>
      <c r="V476" s="4" t="str">
        <f>IFERROR(__xludf.DUMMYFUNCTION("""COMPUTED_VALUE"""),"Bag")</f>
        <v>Bag</v>
      </c>
      <c r="W476" s="4" t="str">
        <f>IFERROR(__xludf.DUMMYFUNCTION("""COMPUTED_VALUE"""),"0723")</f>
        <v>0723</v>
      </c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>
      <c r="A477" s="4" t="str">
        <f>IFERROR(__xludf.DUMMYFUNCTION("""COMPUTED_VALUE"""),"IC:   LED Driver 1A Buck Regulator DC/CC    [AL8860WT-7] [SOT-23-5]")</f>
        <v>IC:   LED Driver 1A Buck Regulator DC/CC    [AL8860WT-7] [SOT-23-5]</v>
      </c>
      <c r="B477" s="4" t="str">
        <f>IFERROR(__xludf.DUMMYFUNCTION("""COMPUTED_VALUE"""),"OEPS080191")</f>
        <v>OEPS080191</v>
      </c>
      <c r="C477" s="4" t="str">
        <f>IFERROR(__xludf.DUMMYFUNCTION("""COMPUTED_VALUE"""),"SMD")</f>
        <v>SMD</v>
      </c>
      <c r="D477" s="4" t="str">
        <f>IFERROR(__xludf.DUMMYFUNCTION("""COMPUTED_VALUE"""),"AL8860WT-7")</f>
        <v>AL8860WT-7</v>
      </c>
      <c r="E477" s="4">
        <f>IFERROR(__xludf.DUMMYFUNCTION("""COMPUTED_VALUE"""),3.0)</f>
        <v>3</v>
      </c>
      <c r="F477" s="4" t="str">
        <f>IFERROR(__xludf.DUMMYFUNCTION("""COMPUTED_VALUE"""),"DigiKey")</f>
        <v>DigiKey</v>
      </c>
      <c r="G477" s="4" t="str">
        <f>IFERROR(__xludf.DUMMYFUNCTION("""COMPUTED_VALUE"""),"AL8860WT-7DIDKR-ND")</f>
        <v>AL8860WT-7DIDKR-ND</v>
      </c>
      <c r="H477" s="4"/>
      <c r="I477" s="4"/>
      <c r="J477" s="4"/>
      <c r="K477" s="4"/>
      <c r="L477" s="4"/>
      <c r="M477" s="4"/>
      <c r="N477" s="9" t="str">
        <f>IFERROR(__xludf.DUMMYFUNCTION("""COMPUTED_VALUE"""),"OEPS010028")</f>
        <v>OEPS010028</v>
      </c>
      <c r="O477" s="4" t="str">
        <f>IFERROR(__xludf.DUMMYFUNCTION("""COMPUTED_VALUE"""),"ESK107M025AE3EA")</f>
        <v>ESK107M025AE3EA</v>
      </c>
      <c r="P477" s="4" t="str">
        <f>IFERROR(__xludf.DUMMYFUNCTION("""COMPUTED_VALUE"""),"120 36 ")</f>
        <v>120 36 </v>
      </c>
      <c r="Q477" s="4">
        <f>IFERROR(__xludf.DUMMYFUNCTION("""COMPUTED_VALUE"""),156.0)</f>
        <v>156</v>
      </c>
      <c r="R477" s="4">
        <f>IFERROR(__xludf.DUMMYFUNCTION("""COMPUTED_VALUE"""),120.0)</f>
        <v>120</v>
      </c>
      <c r="S477" s="4" t="str">
        <f>IFERROR(__xludf.DUMMYFUNCTION("""COMPUTED_VALUE"""),"Bag")</f>
        <v>Bag</v>
      </c>
      <c r="T477" s="4" t="str">
        <f>IFERROR(__xludf.DUMMYFUNCTION("""COMPUTED_VALUE"""),"0723")</f>
        <v>0723</v>
      </c>
      <c r="U477" s="4">
        <f>IFERROR(__xludf.DUMMYFUNCTION("""COMPUTED_VALUE"""),36.0)</f>
        <v>36</v>
      </c>
      <c r="V477" s="4" t="str">
        <f>IFERROR(__xludf.DUMMYFUNCTION("""COMPUTED_VALUE"""),"Bag")</f>
        <v>Bag</v>
      </c>
      <c r="W477" s="4" t="str">
        <f>IFERROR(__xludf.DUMMYFUNCTION("""COMPUTED_VALUE"""),"0322")</f>
        <v>0322</v>
      </c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>
      <c r="A478" s="4" t="str">
        <f>IFERROR(__xludf.DUMMYFUNCTION("""COMPUTED_VALUE"""),"IC:   LED DRIVER LENS   [HV892K7-G] [10-WDFN]")</f>
        <v>IC:   LED DRIVER LENS   [HV892K7-G] [10-WDFN]</v>
      </c>
      <c r="B478" s="4" t="str">
        <f>IFERROR(__xludf.DUMMYFUNCTION("""COMPUTED_VALUE"""),"OEPS080111")</f>
        <v>OEPS080111</v>
      </c>
      <c r="C478" s="4" t="str">
        <f>IFERROR(__xludf.DUMMYFUNCTION("""COMPUTED_VALUE"""),"SMD")</f>
        <v>SMD</v>
      </c>
      <c r="D478" s="4" t="str">
        <f>IFERROR(__xludf.DUMMYFUNCTION("""COMPUTED_VALUE"""),"HV892K7-G")</f>
        <v>HV892K7-G</v>
      </c>
      <c r="E478" s="4">
        <f>IFERROR(__xludf.DUMMYFUNCTION("""COMPUTED_VALUE"""),5.0)</f>
        <v>5</v>
      </c>
      <c r="F478" s="4" t="str">
        <f>IFERROR(__xludf.DUMMYFUNCTION("""COMPUTED_VALUE"""),"DigiKey")</f>
        <v>DigiKey</v>
      </c>
      <c r="G478" s="4" t="str">
        <f>IFERROR(__xludf.DUMMYFUNCTION("""COMPUTED_VALUE"""),"HV892K7-GDKR-ND")</f>
        <v>HV892K7-GDKR-ND</v>
      </c>
      <c r="H478" s="4"/>
      <c r="I478" s="4"/>
      <c r="J478" s="4"/>
      <c r="K478" s="4"/>
      <c r="L478" s="4"/>
      <c r="M478" s="4"/>
      <c r="N478" s="9" t="str">
        <f>IFERROR(__xludf.DUMMYFUNCTION("""COMPUTED_VALUE"""),"OEPS010029")</f>
        <v>OEPS010029</v>
      </c>
      <c r="O478" s="4" t="str">
        <f>IFERROR(__xludf.DUMMYFUNCTION("""COMPUTED_VALUE"""),"GRM0335C1H270GA01D")</f>
        <v>GRM0335C1H270GA01D</v>
      </c>
      <c r="P478" s="4" t="str">
        <f>IFERROR(__xludf.DUMMYFUNCTION("""COMPUTED_VALUE"""),"13(Tp) ")</f>
        <v>13(Tp) </v>
      </c>
      <c r="Q478" s="4">
        <f>IFERROR(__xludf.DUMMYFUNCTION("""COMPUTED_VALUE"""),13.0)</f>
        <v>13</v>
      </c>
      <c r="R478" s="4">
        <f>IFERROR(__xludf.DUMMYFUNCTION("""COMPUTED_VALUE"""),13.0)</f>
        <v>13</v>
      </c>
      <c r="S478" s="4" t="str">
        <f>IFERROR(__xludf.DUMMYFUNCTION("""COMPUTED_VALUE"""),"Tape")</f>
        <v>Tape</v>
      </c>
      <c r="T478" s="4" t="str">
        <f>IFERROR(__xludf.DUMMYFUNCTION("""COMPUTED_VALUE"""),"0923")</f>
        <v>0923</v>
      </c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>
      <c r="A479" s="4" t="str">
        <f>IFERROR(__xludf.DUMMYFUNCTION("""COMPUTED_VALUE"""),"IC:   LED DRIVER LINEAR 42MA   [IS31FL3193-DLS2-TR] [10-DFN-EP]")</f>
        <v>IC:   LED DRIVER LINEAR 42MA   [IS31FL3193-DLS2-TR] [10-DFN-EP]</v>
      </c>
      <c r="B479" s="4" t="str">
        <f>IFERROR(__xludf.DUMMYFUNCTION("""COMPUTED_VALUE"""),"OEPS080232")</f>
        <v>OEPS080232</v>
      </c>
      <c r="C479" s="4" t="str">
        <f>IFERROR(__xludf.DUMMYFUNCTION("""COMPUTED_VALUE"""),"SMD")</f>
        <v>SMD</v>
      </c>
      <c r="D479" s="4" t="str">
        <f>IFERROR(__xludf.DUMMYFUNCTION("""COMPUTED_VALUE"""),"IS31FL3193-DLS2-TR")</f>
        <v>IS31FL3193-DLS2-TR</v>
      </c>
      <c r="E479" s="4">
        <f>IFERROR(__xludf.DUMMYFUNCTION("""COMPUTED_VALUE"""),3.0)</f>
        <v>3</v>
      </c>
      <c r="F479" s="4" t="str">
        <f>IFERROR(__xludf.DUMMYFUNCTION("""COMPUTED_VALUE"""),"DigiKey")</f>
        <v>DigiKey</v>
      </c>
      <c r="G479" s="4" t="str">
        <f>IFERROR(__xludf.DUMMYFUNCTION("""COMPUTED_VALUE"""),"2521-IS31FL3193-DLS2-TRDKR-ND")</f>
        <v>2521-IS31FL3193-DLS2-TRDKR-ND</v>
      </c>
      <c r="H479" s="4"/>
      <c r="I479" s="4"/>
      <c r="J479" s="4"/>
      <c r="K479" s="4"/>
      <c r="L479" s="4"/>
      <c r="M479" s="4"/>
      <c r="N479" s="9" t="str">
        <f>IFERROR(__xludf.DUMMYFUNCTION("""COMPUTED_VALUE"""),"OEPS010030")</f>
        <v>OEPS010030</v>
      </c>
      <c r="O479" s="4" t="str">
        <f>IFERROR(__xludf.DUMMYFUNCTION("""COMPUTED_VALUE"""),"C1005X5R1E105K050BC")</f>
        <v>C1005X5R1E105K050BC</v>
      </c>
      <c r="P479" s="4" t="str">
        <f>IFERROR(__xludf.DUMMYFUNCTION("""COMPUTED_VALUE"""),"91(Tp) ")</f>
        <v>91(Tp) </v>
      </c>
      <c r="Q479" s="4">
        <f>IFERROR(__xludf.DUMMYFUNCTION("""COMPUTED_VALUE"""),91.0)</f>
        <v>91</v>
      </c>
      <c r="R479" s="4">
        <f>IFERROR(__xludf.DUMMYFUNCTION("""COMPUTED_VALUE"""),91.0)</f>
        <v>91</v>
      </c>
      <c r="S479" s="4" t="str">
        <f>IFERROR(__xludf.DUMMYFUNCTION("""COMPUTED_VALUE"""),"Tape")</f>
        <v>Tape</v>
      </c>
      <c r="T479" s="4" t="str">
        <f>IFERROR(__xludf.DUMMYFUNCTION("""COMPUTED_VALUE"""),"0723")</f>
        <v>0723</v>
      </c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>
      <c r="A480" s="4" t="str">
        <f>IFERROR(__xludf.DUMMYFUNCTION("""COMPUTED_VALUE"""),"IC:   LEVEL SHIFTER bidirectional 1way   [TXB0101DBVR] [SOT-23-6]")</f>
        <v>IC:   LEVEL SHIFTER bidirectional 1way   [TXB0101DBVR] [SOT-23-6]</v>
      </c>
      <c r="B480" s="4" t="str">
        <f>IFERROR(__xludf.DUMMYFUNCTION("""COMPUTED_VALUE"""),"OEPS080002")</f>
        <v>OEPS080002</v>
      </c>
      <c r="C480" s="4" t="str">
        <f>IFERROR(__xludf.DUMMYFUNCTION("""COMPUTED_VALUE"""),"SMD")</f>
        <v>SMD</v>
      </c>
      <c r="D480" s="4" t="str">
        <f>IFERROR(__xludf.DUMMYFUNCTION("""COMPUTED_VALUE"""),"TXB0101DBVR")</f>
        <v>TXB0101DBVR</v>
      </c>
      <c r="E480" s="4">
        <f>IFERROR(__xludf.DUMMYFUNCTION("""COMPUTED_VALUE"""),5.0)</f>
        <v>5</v>
      </c>
      <c r="F480" s="4" t="str">
        <f>IFERROR(__xludf.DUMMYFUNCTION("""COMPUTED_VALUE"""),"DigiKey")</f>
        <v>DigiKey</v>
      </c>
      <c r="G480" s="4" t="str">
        <f>IFERROR(__xludf.DUMMYFUNCTION("""COMPUTED_VALUE"""),"296-21664-6-ND")</f>
        <v>296-21664-6-ND</v>
      </c>
      <c r="H480" s="4"/>
      <c r="I480" s="4"/>
      <c r="J480" s="4"/>
      <c r="K480" s="4"/>
      <c r="L480" s="4"/>
      <c r="M480" s="4"/>
      <c r="N480" s="9" t="str">
        <f>IFERROR(__xludf.DUMMYFUNCTION("""COMPUTED_VALUE"""),"OEPS010031")</f>
        <v>OEPS010031</v>
      </c>
      <c r="O480" s="4" t="str">
        <f>IFERROR(__xludf.DUMMYFUNCTION("""COMPUTED_VALUE"""),"CC0201KRX5R8BB473")</f>
        <v>CC0201KRX5R8BB473</v>
      </c>
      <c r="P480" s="4" t="str">
        <f>IFERROR(__xludf.DUMMYFUNCTION("""COMPUTED_VALUE"""),"13(Tp) ")</f>
        <v>13(Tp) </v>
      </c>
      <c r="Q480" s="4">
        <f>IFERROR(__xludf.DUMMYFUNCTION("""COMPUTED_VALUE"""),13.0)</f>
        <v>13</v>
      </c>
      <c r="R480" s="4">
        <f>IFERROR(__xludf.DUMMYFUNCTION("""COMPUTED_VALUE"""),13.0)</f>
        <v>13</v>
      </c>
      <c r="S480" s="4" t="str">
        <f>IFERROR(__xludf.DUMMYFUNCTION("""COMPUTED_VALUE"""),"Tape")</f>
        <v>Tape</v>
      </c>
      <c r="T480" s="4" t="str">
        <f>IFERROR(__xludf.DUMMYFUNCTION("""COMPUTED_VALUE"""),"0923")</f>
        <v>0923</v>
      </c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>
      <c r="A481" s="4" t="str">
        <f>IFERROR(__xludf.DUMMYFUNCTION("""COMPUTED_VALUE"""),"IC:   LEVEL TRANSLATOR 2CH BIDIRECTIONAL   [TCA9406DCUR] [8-VFSOP]")</f>
        <v>IC:   LEVEL TRANSLATOR 2CH BIDIRECTIONAL   [TCA9406DCUR] [8-VFSOP]</v>
      </c>
      <c r="B481" s="4" t="str">
        <f>IFERROR(__xludf.DUMMYFUNCTION("""COMPUTED_VALUE"""),"OEPS080127")</f>
        <v>OEPS080127</v>
      </c>
      <c r="C481" s="4" t="str">
        <f>IFERROR(__xludf.DUMMYFUNCTION("""COMPUTED_VALUE"""),"SMD")</f>
        <v>SMD</v>
      </c>
      <c r="D481" s="4" t="str">
        <f>IFERROR(__xludf.DUMMYFUNCTION("""COMPUTED_VALUE"""),"TCA9406DCUR")</f>
        <v>TCA9406DCUR</v>
      </c>
      <c r="E481" s="4">
        <f>IFERROR(__xludf.DUMMYFUNCTION("""COMPUTED_VALUE"""),3.0)</f>
        <v>3</v>
      </c>
      <c r="F481" s="4" t="str">
        <f>IFERROR(__xludf.DUMMYFUNCTION("""COMPUTED_VALUE"""),"Digikey")</f>
        <v>Digikey</v>
      </c>
      <c r="G481" s="4" t="str">
        <f>IFERROR(__xludf.DUMMYFUNCTION("""COMPUTED_VALUE"""),"296-28109-6-ND")</f>
        <v>296-28109-6-ND</v>
      </c>
      <c r="H481" s="4"/>
      <c r="I481" s="4"/>
      <c r="J481" s="4"/>
      <c r="K481" s="4"/>
      <c r="L481" s="4"/>
      <c r="M481" s="4"/>
      <c r="N481" s="9" t="str">
        <f>IFERROR(__xludf.DUMMYFUNCTION("""COMPUTED_VALUE"""),"OEPS010032")</f>
        <v>OEPS010032</v>
      </c>
      <c r="O481" s="4" t="str">
        <f>IFERROR(__xludf.DUMMYFUNCTION("""COMPUTED_VALUE"""),"CL31B106KBHNNNE")</f>
        <v>CL31B106KBHNNNE</v>
      </c>
      <c r="P481" s="4" t="str">
        <f>IFERROR(__xludf.DUMMYFUNCTION("""COMPUTED_VALUE"""),"9(Tp) 1 ")</f>
        <v>9(Tp) 1 </v>
      </c>
      <c r="Q481" s="4">
        <f>IFERROR(__xludf.DUMMYFUNCTION("""COMPUTED_VALUE"""),10.0)</f>
        <v>10</v>
      </c>
      <c r="R481" s="4">
        <f>IFERROR(__xludf.DUMMYFUNCTION("""COMPUTED_VALUE"""),9.0)</f>
        <v>9</v>
      </c>
      <c r="S481" s="4" t="str">
        <f>IFERROR(__xludf.DUMMYFUNCTION("""COMPUTED_VALUE"""),"Tape")</f>
        <v>Tape</v>
      </c>
      <c r="T481" s="4" t="str">
        <f>IFERROR(__xludf.DUMMYFUNCTION("""COMPUTED_VALUE"""),"0425")</f>
        <v>0425</v>
      </c>
      <c r="U481" s="4">
        <f>IFERROR(__xludf.DUMMYFUNCTION("""COMPUTED_VALUE"""),1.0)</f>
        <v>1</v>
      </c>
      <c r="V481" s="4" t="str">
        <f>IFERROR(__xludf.DUMMYFUNCTION("""COMPUTED_VALUE"""),"Bag")</f>
        <v>Bag</v>
      </c>
      <c r="W481" s="4" t="str">
        <f>IFERROR(__xludf.DUMMYFUNCTION("""COMPUTED_VALUE"""),"0425")</f>
        <v>0425</v>
      </c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>
      <c r="A482" s="4" t="str">
        <f>IFERROR(__xludf.DUMMYFUNCTION("""COMPUTED_VALUE"""),"IC:   LEVEL TRANSLATOR 8CH BIDIRECTIONAL   [SN74LVC4245APWR] [24-TSSOP]")</f>
        <v>IC:   LEVEL TRANSLATOR 8CH BIDIRECTIONAL   [SN74LVC4245APWR] [24-TSSOP]</v>
      </c>
      <c r="B482" s="4" t="str">
        <f>IFERROR(__xludf.DUMMYFUNCTION("""COMPUTED_VALUE"""),"OEPS080126")</f>
        <v>OEPS080126</v>
      </c>
      <c r="C482" s="4" t="str">
        <f>IFERROR(__xludf.DUMMYFUNCTION("""COMPUTED_VALUE"""),"SMD")</f>
        <v>SMD</v>
      </c>
      <c r="D482" s="4" t="str">
        <f>IFERROR(__xludf.DUMMYFUNCTION("""COMPUTED_VALUE"""),"SN74LVC4245APWR")</f>
        <v>SN74LVC4245APWR</v>
      </c>
      <c r="E482" s="4">
        <f>IFERROR(__xludf.DUMMYFUNCTION("""COMPUTED_VALUE"""),3.0)</f>
        <v>3</v>
      </c>
      <c r="F482" s="4" t="str">
        <f>IFERROR(__xludf.DUMMYFUNCTION("""COMPUTED_VALUE"""),"Digikey")</f>
        <v>Digikey</v>
      </c>
      <c r="G482" s="4" t="str">
        <f>IFERROR(__xludf.DUMMYFUNCTION("""COMPUTED_VALUE"""),"296-12183-6-ND")</f>
        <v>296-12183-6-ND</v>
      </c>
      <c r="H482" s="4"/>
      <c r="I482" s="4"/>
      <c r="J482" s="4"/>
      <c r="K482" s="4"/>
      <c r="L482" s="4"/>
      <c r="M482" s="4"/>
      <c r="N482" s="9" t="str">
        <f>IFERROR(__xludf.DUMMYFUNCTION("""COMPUTED_VALUE"""),"OEPS010033")</f>
        <v>OEPS010033</v>
      </c>
      <c r="O482" s="4" t="str">
        <f>IFERROR(__xludf.DUMMYFUNCTION("""COMPUTED_VALUE"""),"C0402C471J5GAC7867")</f>
        <v>C0402C471J5GAC7867</v>
      </c>
      <c r="P482" s="4" t="str">
        <f>IFERROR(__xludf.DUMMYFUNCTION("""COMPUTED_VALUE"""),"81(Tp) ")</f>
        <v>81(Tp) </v>
      </c>
      <c r="Q482" s="4">
        <f>IFERROR(__xludf.DUMMYFUNCTION("""COMPUTED_VALUE"""),81.0)</f>
        <v>81</v>
      </c>
      <c r="R482" s="4">
        <f>IFERROR(__xludf.DUMMYFUNCTION("""COMPUTED_VALUE"""),81.0)</f>
        <v>81</v>
      </c>
      <c r="S482" s="4" t="str">
        <f>IFERROR(__xludf.DUMMYFUNCTION("""COMPUTED_VALUE"""),"Tape")</f>
        <v>Tape</v>
      </c>
      <c r="T482" s="4" t="str">
        <f>IFERROR(__xludf.DUMMYFUNCTION("""COMPUTED_VALUE"""),"0923")</f>
        <v>0923</v>
      </c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>
      <c r="A483" s="4" t="str">
        <f>IFERROR(__xludf.DUMMYFUNCTION("""COMPUTED_VALUE"""),"IC:   LOW POWER HIGH-SIDE CURRENT MONITORS   [ZXCT1109SA-7] [SOT-23-3]")</f>
        <v>IC:   LOW POWER HIGH-SIDE CURRENT MONITORS   [ZXCT1109SA-7] [SOT-23-3]</v>
      </c>
      <c r="B483" s="4" t="str">
        <f>IFERROR(__xludf.DUMMYFUNCTION("""COMPUTED_VALUE"""),"OEPS080104")</f>
        <v>OEPS080104</v>
      </c>
      <c r="C483" s="4" t="str">
        <f>IFERROR(__xludf.DUMMYFUNCTION("""COMPUTED_VALUE"""),"SMD")</f>
        <v>SMD</v>
      </c>
      <c r="D483" s="4" t="str">
        <f>IFERROR(__xludf.DUMMYFUNCTION("""COMPUTED_VALUE"""),"ZXCT1109SA-7")</f>
        <v>ZXCT1109SA-7</v>
      </c>
      <c r="E483" s="4">
        <f>IFERROR(__xludf.DUMMYFUNCTION("""COMPUTED_VALUE"""),5.0)</f>
        <v>5</v>
      </c>
      <c r="F483" s="4" t="str">
        <f>IFERROR(__xludf.DUMMYFUNCTION("""COMPUTED_VALUE"""),"DigiKey")</f>
        <v>DigiKey</v>
      </c>
      <c r="G483" s="4" t="str">
        <f>IFERROR(__xludf.DUMMYFUNCTION("""COMPUTED_VALUE"""),"ZXCT1109SA-7DIDKR-ND")</f>
        <v>ZXCT1109SA-7DIDKR-ND</v>
      </c>
      <c r="H483" s="4"/>
      <c r="I483" s="4"/>
      <c r="J483" s="4"/>
      <c r="K483" s="4"/>
      <c r="L483" s="4"/>
      <c r="M483" s="4"/>
      <c r="N483" s="9" t="str">
        <f>IFERROR(__xludf.DUMMYFUNCTION("""COMPUTED_VALUE"""),"OEPS010034")</f>
        <v>OEPS010034</v>
      </c>
      <c r="O483" s="4" t="str">
        <f>IFERROR(__xludf.DUMMYFUNCTION("""COMPUTED_VALUE"""),"GRM155R71H223KA12D")</f>
        <v>GRM155R71H223KA12D</v>
      </c>
      <c r="P483" s="4" t="str">
        <f>IFERROR(__xludf.DUMMYFUNCTION("""COMPUTED_VALUE"""),"24(Tp) ")</f>
        <v>24(Tp) </v>
      </c>
      <c r="Q483" s="4">
        <f>IFERROR(__xludf.DUMMYFUNCTION("""COMPUTED_VALUE"""),24.0)</f>
        <v>24</v>
      </c>
      <c r="R483" s="4">
        <f>IFERROR(__xludf.DUMMYFUNCTION("""COMPUTED_VALUE"""),24.0)</f>
        <v>24</v>
      </c>
      <c r="S483" s="4" t="str">
        <f>IFERROR(__xludf.DUMMYFUNCTION("""COMPUTED_VALUE"""),"Tape")</f>
        <v>Tape</v>
      </c>
      <c r="T483" s="4" t="str">
        <f>IFERROR(__xludf.DUMMYFUNCTION("""COMPUTED_VALUE"""),"XXXX")</f>
        <v>XXXX</v>
      </c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>
      <c r="A484" s="4" t="str">
        <f>IFERROR(__xludf.DUMMYFUNCTION("""COMPUTED_VALUE"""),"IC:   LVDS 2channel driver   [SN65LVDS9638DGN] [8-MSOP-PowerPad]")</f>
        <v>IC:   LVDS 2channel driver   [SN65LVDS9638DGN] [8-MSOP-PowerPad]</v>
      </c>
      <c r="B484" s="4" t="str">
        <f>IFERROR(__xludf.DUMMYFUNCTION("""COMPUTED_VALUE"""),"OEPS080007")</f>
        <v>OEPS080007</v>
      </c>
      <c r="C484" s="4" t="str">
        <f>IFERROR(__xludf.DUMMYFUNCTION("""COMPUTED_VALUE"""),"SMD")</f>
        <v>SMD</v>
      </c>
      <c r="D484" s="4" t="str">
        <f>IFERROR(__xludf.DUMMYFUNCTION("""COMPUTED_VALUE"""),"SN65LVDS9638DGN")</f>
        <v>SN65LVDS9638DGN</v>
      </c>
      <c r="E484" s="4">
        <f>IFERROR(__xludf.DUMMYFUNCTION("""COMPUTED_VALUE"""),3.0)</f>
        <v>3</v>
      </c>
      <c r="F484" s="4" t="str">
        <f>IFERROR(__xludf.DUMMYFUNCTION("""COMPUTED_VALUE"""),"DigiKey")</f>
        <v>DigiKey</v>
      </c>
      <c r="G484" s="4" t="str">
        <f>IFERROR(__xludf.DUMMYFUNCTION("""COMPUTED_VALUE"""),"296-50530-6-ND")</f>
        <v>296-50530-6-ND</v>
      </c>
      <c r="H484" s="4"/>
      <c r="I484" s="4"/>
      <c r="J484" s="4"/>
      <c r="K484" s="4"/>
      <c r="L484" s="4"/>
      <c r="M484" s="4"/>
      <c r="N484" s="9" t="str">
        <f>IFERROR(__xludf.DUMMYFUNCTION("""COMPUTED_VALUE"""),"OEPS010035")</f>
        <v>OEPS010035</v>
      </c>
      <c r="O484" s="4" t="str">
        <f>IFERROR(__xludf.DUMMYFUNCTION("""COMPUTED_VALUE"""),"GRM033R61E104KE14J")</f>
        <v>GRM033R61E104KE14J</v>
      </c>
      <c r="P484" s="4" t="str">
        <f>IFERROR(__xludf.DUMMYFUNCTION("""COMPUTED_VALUE"""),"80(Tp) ")</f>
        <v>80(Tp) </v>
      </c>
      <c r="Q484" s="4">
        <f>IFERROR(__xludf.DUMMYFUNCTION("""COMPUTED_VALUE"""),80.0)</f>
        <v>80</v>
      </c>
      <c r="R484" s="4">
        <f>IFERROR(__xludf.DUMMYFUNCTION("""COMPUTED_VALUE"""),80.0)</f>
        <v>80</v>
      </c>
      <c r="S484" s="4" t="str">
        <f>IFERROR(__xludf.DUMMYFUNCTION("""COMPUTED_VALUE"""),"Tape")</f>
        <v>Tape</v>
      </c>
      <c r="T484" s="4" t="str">
        <f>IFERROR(__xludf.DUMMYFUNCTION("""COMPUTED_VALUE"""),"0923")</f>
        <v>0923</v>
      </c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>
      <c r="A485" s="4" t="str">
        <f>IFERROR(__xludf.DUMMYFUNCTION("""COMPUTED_VALUE"""),"IC:   LVDS 4channel receiver   [FIN1032MTCX] [16-TSSOP]")</f>
        <v>IC:   LVDS 4channel receiver   [FIN1032MTCX] [16-TSSOP]</v>
      </c>
      <c r="B485" s="4" t="str">
        <f>IFERROR(__xludf.DUMMYFUNCTION("""COMPUTED_VALUE"""),"OEPS080006")</f>
        <v>OEPS080006</v>
      </c>
      <c r="C485" s="4" t="str">
        <f>IFERROR(__xludf.DUMMYFUNCTION("""COMPUTED_VALUE"""),"SMD")</f>
        <v>SMD</v>
      </c>
      <c r="D485" s="4" t="str">
        <f>IFERROR(__xludf.DUMMYFUNCTION("""COMPUTED_VALUE"""),"FIN1032MTCX")</f>
        <v>FIN1032MTCX</v>
      </c>
      <c r="E485" s="4">
        <f>IFERROR(__xludf.DUMMYFUNCTION("""COMPUTED_VALUE"""),3.0)</f>
        <v>3</v>
      </c>
      <c r="F485" s="4" t="str">
        <f>IFERROR(__xludf.DUMMYFUNCTION("""COMPUTED_VALUE"""),"DigiKey")</f>
        <v>DigiKey</v>
      </c>
      <c r="G485" s="4" t="str">
        <f>IFERROR(__xludf.DUMMYFUNCTION("""COMPUTED_VALUE"""),"FIN1032MTCXFSDKR-ND")</f>
        <v>FIN1032MTCXFSDKR-ND</v>
      </c>
      <c r="H485" s="4"/>
      <c r="I485" s="4"/>
      <c r="J485" s="4"/>
      <c r="K485" s="4"/>
      <c r="L485" s="4"/>
      <c r="M485" s="4"/>
      <c r="N485" s="9" t="str">
        <f>IFERROR(__xludf.DUMMYFUNCTION("""COMPUTED_VALUE"""),"OEPS010036")</f>
        <v>OEPS010036</v>
      </c>
      <c r="O485" s="4" t="str">
        <f>IFERROR(__xludf.DUMMYFUNCTION("""COMPUTED_VALUE"""),"CL03A105MO3NRNH")</f>
        <v>CL03A105MO3NRNH</v>
      </c>
      <c r="P485" s="4" t="str">
        <f>IFERROR(__xludf.DUMMYFUNCTION("""COMPUTED_VALUE"""),"80(Tp) ")</f>
        <v>80(Tp) </v>
      </c>
      <c r="Q485" s="4">
        <f>IFERROR(__xludf.DUMMYFUNCTION("""COMPUTED_VALUE"""),80.0)</f>
        <v>80</v>
      </c>
      <c r="R485" s="4">
        <f>IFERROR(__xludf.DUMMYFUNCTION("""COMPUTED_VALUE"""),80.0)</f>
        <v>80</v>
      </c>
      <c r="S485" s="4" t="str">
        <f>IFERROR(__xludf.DUMMYFUNCTION("""COMPUTED_VALUE"""),"Tape")</f>
        <v>Tape</v>
      </c>
      <c r="T485" s="4" t="str">
        <f>IFERROR(__xludf.DUMMYFUNCTION("""COMPUTED_VALUE"""),"0923")</f>
        <v>0923</v>
      </c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>
      <c r="A486" s="4" t="str">
        <f>IFERROR(__xludf.DUMMYFUNCTION("""COMPUTED_VALUE"""),"IC:   MCU 120MHZ 1024KB FLASH 64   [ATSAMD51J20A-UUT-EFP] [8-SOIC]")</f>
        <v>IC:   MCU 120MHZ 1024KB FLASH 64   [ATSAMD51J20A-UUT-EFP] [8-SOIC]</v>
      </c>
      <c r="B486" s="4" t="str">
        <f>IFERROR(__xludf.DUMMYFUNCTION("""COMPUTED_VALUE"""),"OEPS080115")</f>
        <v>OEPS080115</v>
      </c>
      <c r="C486" s="4" t="str">
        <f>IFERROR(__xludf.DUMMYFUNCTION("""COMPUTED_VALUE"""),"SMD")</f>
        <v>SMD</v>
      </c>
      <c r="D486" s="4" t="str">
        <f>IFERROR(__xludf.DUMMYFUNCTION("""COMPUTED_VALUE"""),"ATSAMD51J20A-UUT-EFP")</f>
        <v>ATSAMD51J20A-UUT-EFP</v>
      </c>
      <c r="E486" s="4">
        <f>IFERROR(__xludf.DUMMYFUNCTION("""COMPUTED_VALUE"""),0.0)</f>
        <v>0</v>
      </c>
      <c r="F486" s="4" t="str">
        <f>IFERROR(__xludf.DUMMYFUNCTION("""COMPUTED_VALUE"""),"DigiKey")</f>
        <v>DigiKey</v>
      </c>
      <c r="G486" s="4" t="str">
        <f>IFERROR(__xludf.DUMMYFUNCTION("""COMPUTED_VALUE"""),"150-ATSAMD51J20A-UUT-EFPTR-ND")</f>
        <v>150-ATSAMD51J20A-UUT-EFPTR-ND</v>
      </c>
      <c r="H486" s="4"/>
      <c r="I486" s="4"/>
      <c r="J486" s="4"/>
      <c r="K486" s="4"/>
      <c r="L486" s="4"/>
      <c r="M486" s="4"/>
      <c r="N486" s="9" t="str">
        <f>IFERROR(__xludf.DUMMYFUNCTION("""COMPUTED_VALUE"""),"OEPS010037")</f>
        <v>OEPS010037</v>
      </c>
      <c r="O486" s="4" t="str">
        <f>IFERROR(__xludf.DUMMYFUNCTION("""COMPUTED_VALUE"""),"GRM033R71E103KE14D")</f>
        <v>GRM033R71E103KE14D</v>
      </c>
      <c r="P486" s="4" t="str">
        <f>IFERROR(__xludf.DUMMYFUNCTION("""COMPUTED_VALUE"""),"33(Tp) ")</f>
        <v>33(Tp) </v>
      </c>
      <c r="Q486" s="4">
        <f>IFERROR(__xludf.DUMMYFUNCTION("""COMPUTED_VALUE"""),33.0)</f>
        <v>33</v>
      </c>
      <c r="R486" s="4">
        <f>IFERROR(__xludf.DUMMYFUNCTION("""COMPUTED_VALUE"""),33.0)</f>
        <v>33</v>
      </c>
      <c r="S486" s="4" t="str">
        <f>IFERROR(__xludf.DUMMYFUNCTION("""COMPUTED_VALUE"""),"Tape")</f>
        <v>Tape</v>
      </c>
      <c r="T486" s="4" t="str">
        <f>IFERROR(__xludf.DUMMYFUNCTION("""COMPUTED_VALUE"""),"0923")</f>
        <v>0923</v>
      </c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>
      <c r="A487" s="4" t="str">
        <f>IFERROR(__xludf.DUMMYFUNCTION("""COMPUTED_VALUE"""),"IC:   MCU ARM CORTEX-M0+ 32-BIT DUAL-CORE 133MHZ RP2040   [SC0914(13)] [56-VFQFN Exposed Pad]")</f>
        <v>IC:   MCU ARM CORTEX-M0+ 32-BIT DUAL-CORE 133MHZ RP2040   [SC0914(13)] [56-VFQFN Exposed Pad]</v>
      </c>
      <c r="B487" s="4" t="str">
        <f>IFERROR(__xludf.DUMMYFUNCTION("""COMPUTED_VALUE"""),"OEPS080158")</f>
        <v>OEPS080158</v>
      </c>
      <c r="C487" s="4" t="str">
        <f>IFERROR(__xludf.DUMMYFUNCTION("""COMPUTED_VALUE"""),"SMD")</f>
        <v>SMD</v>
      </c>
      <c r="D487" s="4" t="str">
        <f>IFERROR(__xludf.DUMMYFUNCTION("""COMPUTED_VALUE"""),"SC0914(13)")</f>
        <v>SC0914(13)</v>
      </c>
      <c r="E487" s="4">
        <f>IFERROR(__xludf.DUMMYFUNCTION("""COMPUTED_VALUE"""),3.0)</f>
        <v>3</v>
      </c>
      <c r="F487" s="4" t="str">
        <f>IFERROR(__xludf.DUMMYFUNCTION("""COMPUTED_VALUE"""),"Digikey")</f>
        <v>Digikey</v>
      </c>
      <c r="G487" s="4" t="str">
        <f>IFERROR(__xludf.DUMMYFUNCTION("""COMPUTED_VALUE"""),"2648-SC0914(13)DKR-ND")</f>
        <v>2648-SC0914(13)DKR-ND</v>
      </c>
      <c r="H487" s="4"/>
      <c r="I487" s="4"/>
      <c r="J487" s="4"/>
      <c r="K487" s="4"/>
      <c r="L487" s="4"/>
      <c r="M487" s="4"/>
      <c r="N487" s="9" t="str">
        <f>IFERROR(__xludf.DUMMYFUNCTION("""COMPUTED_VALUE"""),"OEPS010038")</f>
        <v>OEPS010038</v>
      </c>
      <c r="O487" s="4" t="str">
        <f>IFERROR(__xludf.DUMMYFUNCTION("""COMPUTED_VALUE"""),"CL05A106MP5NUNC")</f>
        <v>CL05A106MP5NUNC</v>
      </c>
      <c r="P487" s="4" t="str">
        <f>IFERROR(__xludf.DUMMYFUNCTION("""COMPUTED_VALUE"""),"1(Tp) ")</f>
        <v>1(Tp) </v>
      </c>
      <c r="Q487" s="4">
        <f>IFERROR(__xludf.DUMMYFUNCTION("""COMPUTED_VALUE"""),1.0)</f>
        <v>1</v>
      </c>
      <c r="R487" s="4">
        <f>IFERROR(__xludf.DUMMYFUNCTION("""COMPUTED_VALUE"""),1.0)</f>
        <v>1</v>
      </c>
      <c r="S487" s="4" t="str">
        <f>IFERROR(__xludf.DUMMYFUNCTION("""COMPUTED_VALUE"""),"Tape")</f>
        <v>Tape</v>
      </c>
      <c r="T487" s="4" t="str">
        <f>IFERROR(__xludf.DUMMYFUNCTION("""COMPUTED_VALUE"""),"0825")</f>
        <v>0825</v>
      </c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>
      <c r="A488" s="4" t="str">
        <f>IFERROR(__xludf.DUMMYFUNCTION("""COMPUTED_VALUE"""),"IC:   MCU ARM RP2354B0A4   [SC1512-A4] [QFN-80]")</f>
        <v>IC:   MCU ARM RP2354B0A4   [SC1512-A4] [QFN-80]</v>
      </c>
      <c r="B488" s="4" t="str">
        <f>IFERROR(__xludf.DUMMYFUNCTION("""COMPUTED_VALUE"""),"OEPS080220")</f>
        <v>OEPS080220</v>
      </c>
      <c r="C488" s="4" t="str">
        <f>IFERROR(__xludf.DUMMYFUNCTION("""COMPUTED_VALUE"""),"SMD")</f>
        <v>SMD</v>
      </c>
      <c r="D488" s="4" t="str">
        <f>IFERROR(__xludf.DUMMYFUNCTION("""COMPUTED_VALUE"""),"SC1512-A4")</f>
        <v>SC1512-A4</v>
      </c>
      <c r="E488" s="4">
        <f>IFERROR(__xludf.DUMMYFUNCTION("""COMPUTED_VALUE"""),3.0)</f>
        <v>3</v>
      </c>
      <c r="F488" s="4" t="str">
        <f>IFERROR(__xludf.DUMMYFUNCTION("""COMPUTED_VALUE"""),"Mouser")</f>
        <v>Mouser</v>
      </c>
      <c r="G488" s="4" t="str">
        <f>IFERROR(__xludf.DUMMYFUNCTION("""COMPUTED_VALUE"""),"358-SC1512")</f>
        <v>358-SC1512</v>
      </c>
      <c r="H488" s="4"/>
      <c r="I488" s="4"/>
      <c r="J488" s="4"/>
      <c r="K488" s="4"/>
      <c r="L488" s="4"/>
      <c r="M488" s="4"/>
      <c r="N488" s="9" t="str">
        <f>IFERROR(__xludf.DUMMYFUNCTION("""COMPUTED_VALUE"""),"OEPS010039")</f>
        <v>OEPS010039</v>
      </c>
      <c r="O488" s="4" t="str">
        <f>IFERROR(__xludf.DUMMYFUNCTION("""COMPUTED_VALUE"""),"GRJ188R72A104KE11D")</f>
        <v>GRJ188R72A104KE11D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>
      <c r="A489" s="4" t="str">
        <f>IFERROR(__xludf.DUMMYFUNCTION("""COMPUTED_VALUE"""),"IC:   MCU ARM STM32 405 32bits 64KB   [STM32F405RGT6] [64-LQFP]")</f>
        <v>IC:   MCU ARM STM32 405 32bits 64KB   [STM32F405RGT6] [64-LQFP]</v>
      </c>
      <c r="B489" s="4" t="str">
        <f>IFERROR(__xludf.DUMMYFUNCTION("""COMPUTED_VALUE"""),"OEPS080178")</f>
        <v>OEPS080178</v>
      </c>
      <c r="C489" s="4" t="str">
        <f>IFERROR(__xludf.DUMMYFUNCTION("""COMPUTED_VALUE"""),"SMD")</f>
        <v>SMD</v>
      </c>
      <c r="D489" s="4" t="str">
        <f>IFERROR(__xludf.DUMMYFUNCTION("""COMPUTED_VALUE"""),"STM32F405RGT6")</f>
        <v>STM32F405RGT6</v>
      </c>
      <c r="E489" s="4">
        <f>IFERROR(__xludf.DUMMYFUNCTION("""COMPUTED_VALUE"""),1.0)</f>
        <v>1</v>
      </c>
      <c r="F489" s="4" t="str">
        <f>IFERROR(__xludf.DUMMYFUNCTION("""COMPUTED_VALUE"""),"Digikey")</f>
        <v>Digikey</v>
      </c>
      <c r="G489" s="4" t="str">
        <f>IFERROR(__xludf.DUMMYFUNCTION("""COMPUTED_VALUE"""),"497-11767-ND")</f>
        <v>497-11767-ND</v>
      </c>
      <c r="H489" s="4"/>
      <c r="I489" s="4"/>
      <c r="J489" s="4"/>
      <c r="K489" s="4"/>
      <c r="L489" s="4"/>
      <c r="M489" s="4"/>
      <c r="N489" s="9" t="str">
        <f>IFERROR(__xludf.DUMMYFUNCTION("""COMPUTED_VALUE"""),"OEPS010041")</f>
        <v>OEPS010041</v>
      </c>
      <c r="O489" s="4" t="str">
        <f>IFERROR(__xludf.DUMMYFUNCTION("""COMPUTED_VALUE"""),"GRM033R61A105ME15D")</f>
        <v>GRM033R61A105ME15D</v>
      </c>
      <c r="P489" s="4" t="str">
        <f>IFERROR(__xludf.DUMMYFUNCTION("""COMPUTED_VALUE"""),"12(Tp) ")</f>
        <v>12(Tp) </v>
      </c>
      <c r="Q489" s="4">
        <f>IFERROR(__xludf.DUMMYFUNCTION("""COMPUTED_VALUE"""),12.0)</f>
        <v>12</v>
      </c>
      <c r="R489" s="4">
        <f>IFERROR(__xludf.DUMMYFUNCTION("""COMPUTED_VALUE"""),12.0)</f>
        <v>12</v>
      </c>
      <c r="S489" s="4" t="str">
        <f>IFERROR(__xludf.DUMMYFUNCTION("""COMPUTED_VALUE"""),"Tape")</f>
        <v>Tape</v>
      </c>
      <c r="T489" s="4" t="str">
        <f>IFERROR(__xludf.DUMMYFUNCTION("""COMPUTED_VALUE"""),"0224")</f>
        <v>0224</v>
      </c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>
      <c r="A490" s="4" t="str">
        <f>IFERROR(__xludf.DUMMYFUNCTION("""COMPUTED_VALUE"""),"IC:   MCU ATMEGA 8bits 16KB (OEPS J05 027A)   [ATMEGA168V-10MQR] [32-VQFN]")</f>
        <v>IC:   MCU ATMEGA 8bits 16KB (OEPS J05 027A)   [ATMEGA168V-10MQR] [32-VQFN]</v>
      </c>
      <c r="B490" s="4" t="str">
        <f>IFERROR(__xludf.DUMMYFUNCTION("""COMPUTED_VALUE"""),"OEPS080065")</f>
        <v>OEPS080065</v>
      </c>
      <c r="C490" s="4" t="str">
        <f>IFERROR(__xludf.DUMMYFUNCTION("""COMPUTED_VALUE"""),"SMD")</f>
        <v>SMD</v>
      </c>
      <c r="D490" s="4" t="str">
        <f>IFERROR(__xludf.DUMMYFUNCTION("""COMPUTED_VALUE"""),"ATMEGA168V-10MQR")</f>
        <v>ATMEGA168V-10MQR</v>
      </c>
      <c r="E490" s="4">
        <f>IFERROR(__xludf.DUMMYFUNCTION("""COMPUTED_VALUE"""),2.0)</f>
        <v>2</v>
      </c>
      <c r="F490" s="4" t="str">
        <f>IFERROR(__xludf.DUMMYFUNCTION("""COMPUTED_VALUE"""),"DigiKey")</f>
        <v>DigiKey</v>
      </c>
      <c r="G490" s="4" t="str">
        <f>IFERROR(__xludf.DUMMYFUNCTION("""COMPUTED_VALUE"""),"ATMEGA168V-10MQRDKR-ND")</f>
        <v>ATMEGA168V-10MQRDKR-ND</v>
      </c>
      <c r="H490" s="4"/>
      <c r="I490" s="4"/>
      <c r="J490" s="4"/>
      <c r="K490" s="4"/>
      <c r="L490" s="4"/>
      <c r="M490" s="4"/>
      <c r="N490" s="9" t="str">
        <f>IFERROR(__xludf.DUMMYFUNCTION("""COMPUTED_VALUE"""),"OEPS010042")</f>
        <v>OEPS010042</v>
      </c>
      <c r="O490" s="4" t="str">
        <f>IFERROR(__xludf.DUMMYFUNCTION("""COMPUTED_VALUE"""),"CM03X5R225M10AH")</f>
        <v>CM03X5R225M10AH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>
      <c r="A491" s="4" t="str">
        <f>IFERROR(__xludf.DUMMYFUNCTION("""COMPUTED_VALUE"""),"IC:   MCU ATMEGA 8bits 32KB (OEPS J05 027)   [ATMEGA328-MUR] [32-VQFN]")</f>
        <v>IC:   MCU ATMEGA 8bits 32KB (OEPS J05 027)   [ATMEGA328-MUR] [32-VQFN]</v>
      </c>
      <c r="B491" s="4" t="str">
        <f>IFERROR(__xludf.DUMMYFUNCTION("""COMPUTED_VALUE"""),"OEPS080066")</f>
        <v>OEPS080066</v>
      </c>
      <c r="C491" s="4" t="str">
        <f>IFERROR(__xludf.DUMMYFUNCTION("""COMPUTED_VALUE"""),"SMD")</f>
        <v>SMD</v>
      </c>
      <c r="D491" s="4" t="str">
        <f>IFERROR(__xludf.DUMMYFUNCTION("""COMPUTED_VALUE"""),"ATMEGA328-MUR")</f>
        <v>ATMEGA328-MUR</v>
      </c>
      <c r="E491" s="4">
        <f>IFERROR(__xludf.DUMMYFUNCTION("""COMPUTED_VALUE"""),2.0)</f>
        <v>2</v>
      </c>
      <c r="F491" s="4" t="str">
        <f>IFERROR(__xludf.DUMMYFUNCTION("""COMPUTED_VALUE"""),"DigiKey")</f>
        <v>DigiKey</v>
      </c>
      <c r="G491" s="4" t="str">
        <f>IFERROR(__xludf.DUMMYFUNCTION("""COMPUTED_VALUE"""),"ATMEGA328-MURDKR-ND")</f>
        <v>ATMEGA328-MURDKR-ND</v>
      </c>
      <c r="H491" s="4"/>
      <c r="I491" s="4"/>
      <c r="J491" s="4"/>
      <c r="K491" s="4"/>
      <c r="L491" s="4"/>
      <c r="M491" s="4"/>
      <c r="N491" s="9" t="str">
        <f>IFERROR(__xludf.DUMMYFUNCTION("""COMPUTED_VALUE"""),"OEPS010043")</f>
        <v>OEPS010043</v>
      </c>
      <c r="O491" s="4" t="str">
        <f>IFERROR(__xludf.DUMMYFUNCTION("""COMPUTED_VALUE"""),"GRM033R61C473KE84D")</f>
        <v>GRM033R61C473KE84D</v>
      </c>
      <c r="P491" s="4" t="str">
        <f>IFERROR(__xludf.DUMMYFUNCTION("""COMPUTED_VALUE"""),"8(Tp) ")</f>
        <v>8(Tp) </v>
      </c>
      <c r="Q491" s="4">
        <f>IFERROR(__xludf.DUMMYFUNCTION("""COMPUTED_VALUE"""),8.0)</f>
        <v>8</v>
      </c>
      <c r="R491" s="4">
        <f>IFERROR(__xludf.DUMMYFUNCTION("""COMPUTED_VALUE"""),8.0)</f>
        <v>8</v>
      </c>
      <c r="S491" s="4" t="str">
        <f>IFERROR(__xludf.DUMMYFUNCTION("""COMPUTED_VALUE"""),"Tape")</f>
        <v>Tape</v>
      </c>
      <c r="T491" s="4" t="str">
        <f>IFERROR(__xludf.DUMMYFUNCTION("""COMPUTED_VALUE"""),"0224")</f>
        <v>0224</v>
      </c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>
      <c r="A492" s="4" t="str">
        <f>IFERROR(__xludf.DUMMYFUNCTION("""COMPUTED_VALUE"""),"IC:   MCU ATXMEGA A1U 8bits 128KB (OEPS NP1 061)   [ATXMEGA128A1U-AU] [100-TQFP]")</f>
        <v>IC:   MCU ATXMEGA A1U 8bits 128KB (OEPS NP1 061)   [ATXMEGA128A1U-AU] [100-TQFP]</v>
      </c>
      <c r="B492" s="4" t="str">
        <f>IFERROR(__xludf.DUMMYFUNCTION("""COMPUTED_VALUE"""),"OEPS080083")</f>
        <v>OEPS080083</v>
      </c>
      <c r="C492" s="4" t="str">
        <f>IFERROR(__xludf.DUMMYFUNCTION("""COMPUTED_VALUE"""),"SMD")</f>
        <v>SMD</v>
      </c>
      <c r="D492" s="4" t="str">
        <f>IFERROR(__xludf.DUMMYFUNCTION("""COMPUTED_VALUE"""),"ATXMEGA128A1U-AU")</f>
        <v>ATXMEGA128A1U-AU</v>
      </c>
      <c r="E492" s="4">
        <f>IFERROR(__xludf.DUMMYFUNCTION("""COMPUTED_VALUE"""),1.0)</f>
        <v>1</v>
      </c>
      <c r="F492" s="4" t="str">
        <f>IFERROR(__xludf.DUMMYFUNCTION("""COMPUTED_VALUE"""),"DigiKey")</f>
        <v>DigiKey</v>
      </c>
      <c r="G492" s="4" t="str">
        <f>IFERROR(__xludf.DUMMYFUNCTION("""COMPUTED_VALUE"""),"ATXMEGA128A1U-AURDKR-ND")</f>
        <v>ATXMEGA128A1U-AURDKR-ND</v>
      </c>
      <c r="H492" s="4"/>
      <c r="I492" s="4"/>
      <c r="J492" s="4"/>
      <c r="K492" s="4"/>
      <c r="L492" s="4"/>
      <c r="M492" s="4"/>
      <c r="N492" s="9" t="str">
        <f>IFERROR(__xludf.DUMMYFUNCTION("""COMPUTED_VALUE"""),"OEPS010044")</f>
        <v>OEPS010044</v>
      </c>
      <c r="O492" s="4" t="str">
        <f>IFERROR(__xludf.DUMMYFUNCTION("""COMPUTED_VALUE"""),"GRM033R71A103KA01D")</f>
        <v>GRM033R71A103KA01D</v>
      </c>
      <c r="P492" s="4" t="str">
        <f>IFERROR(__xludf.DUMMYFUNCTION("""COMPUTED_VALUE"""),"8(Tp) ")</f>
        <v>8(Tp) </v>
      </c>
      <c r="Q492" s="4">
        <f>IFERROR(__xludf.DUMMYFUNCTION("""COMPUTED_VALUE"""),8.0)</f>
        <v>8</v>
      </c>
      <c r="R492" s="4">
        <f>IFERROR(__xludf.DUMMYFUNCTION("""COMPUTED_VALUE"""),8.0)</f>
        <v>8</v>
      </c>
      <c r="S492" s="4" t="str">
        <f>IFERROR(__xludf.DUMMYFUNCTION("""COMPUTED_VALUE"""),"Tape")</f>
        <v>Tape</v>
      </c>
      <c r="T492" s="4" t="str">
        <f>IFERROR(__xludf.DUMMYFUNCTION("""COMPUTED_VALUE"""),"0224")</f>
        <v>0224</v>
      </c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>
      <c r="A493" s="4" t="str">
        <f>IFERROR(__xludf.DUMMYFUNCTION("""COMPUTED_VALUE"""),"IC:   MCU ATXMEGA A1U 8bits 128KB (OEPS NP1 061)   [ATXMEGA64A1U-C7U] [100-VFBGA]")</f>
        <v>IC:   MCU ATXMEGA A1U 8bits 128KB (OEPS NP1 061)   [ATXMEGA64A1U-C7U] [100-VFBGA]</v>
      </c>
      <c r="B493" s="4" t="str">
        <f>IFERROR(__xludf.DUMMYFUNCTION("""COMPUTED_VALUE"""),"OEPS080090")</f>
        <v>OEPS080090</v>
      </c>
      <c r="C493" s="4" t="str">
        <f>IFERROR(__xludf.DUMMYFUNCTION("""COMPUTED_VALUE"""),"SMD")</f>
        <v>SMD</v>
      </c>
      <c r="D493" s="4" t="str">
        <f>IFERROR(__xludf.DUMMYFUNCTION("""COMPUTED_VALUE"""),"ATXMEGA64A1U-C7U")</f>
        <v>ATXMEGA64A1U-C7U</v>
      </c>
      <c r="E493" s="4">
        <f>IFERROR(__xludf.DUMMYFUNCTION("""COMPUTED_VALUE"""),1.0)</f>
        <v>1</v>
      </c>
      <c r="F493" s="4" t="str">
        <f>IFERROR(__xludf.DUMMYFUNCTION("""COMPUTED_VALUE"""),"Mouser")</f>
        <v>Mouser</v>
      </c>
      <c r="G493" s="4" t="str">
        <f>IFERROR(__xludf.DUMMYFUNCTION("""COMPUTED_VALUE"""),"556-ATXMEGA64A1U-C7U")</f>
        <v>556-ATXMEGA64A1U-C7U</v>
      </c>
      <c r="H493" s="4"/>
      <c r="I493" s="4"/>
      <c r="J493" s="4"/>
      <c r="K493" s="4"/>
      <c r="L493" s="4"/>
      <c r="M493" s="4"/>
      <c r="N493" s="9" t="str">
        <f>IFERROR(__xludf.DUMMYFUNCTION("""COMPUTED_VALUE"""),"OEPS010045")</f>
        <v>OEPS010045</v>
      </c>
      <c r="O493" s="4" t="str">
        <f>IFERROR(__xludf.DUMMYFUNCTION("""COMPUTED_VALUE"""),"CL05A106MQ5NUNC")</f>
        <v>CL05A106MQ5NUNC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>
      <c r="A494" s="4" t="str">
        <f>IFERROR(__xludf.DUMMYFUNCTION("""COMPUTED_VALUE"""),"IC:   MCU ATXMEGA A4U 8bits 16KB   [ATXMEGA16A4U-A] [	TQFP-44]")</f>
        <v>IC:   MCU ATXMEGA A4U 8bits 16KB   [ATXMEGA16A4U-A] [	TQFP-44]</v>
      </c>
      <c r="B494" s="4" t="str">
        <f>IFERROR(__xludf.DUMMYFUNCTION("""COMPUTED_VALUE"""),"OEPS080032")</f>
        <v>OEPS080032</v>
      </c>
      <c r="C494" s="4" t="str">
        <f>IFERROR(__xludf.DUMMYFUNCTION("""COMPUTED_VALUE"""),"SMD")</f>
        <v>SMD</v>
      </c>
      <c r="D494" s="4" t="str">
        <f>IFERROR(__xludf.DUMMYFUNCTION("""COMPUTED_VALUE"""),"ATXMEGA16A4U-A")</f>
        <v>ATXMEGA16A4U-A</v>
      </c>
      <c r="E494" s="4">
        <f>IFERROR(__xludf.DUMMYFUNCTION("""COMPUTED_VALUE"""),1.0)</f>
        <v>1</v>
      </c>
      <c r="F494" s="4" t="str">
        <f>IFERROR(__xludf.DUMMYFUNCTION("""COMPUTED_VALUE"""),"DigiKey")</f>
        <v>DigiKey</v>
      </c>
      <c r="G494" s="4" t="str">
        <f>IFERROR(__xludf.DUMMYFUNCTION("""COMPUTED_VALUE"""),"ATXMEGA16A4U-AURDKR-ND")</f>
        <v>ATXMEGA16A4U-AURDKR-ND</v>
      </c>
      <c r="H494" s="4"/>
      <c r="I494" s="4"/>
      <c r="J494" s="4"/>
      <c r="K494" s="4"/>
      <c r="L494" s="4"/>
      <c r="M494" s="4"/>
      <c r="N494" s="9" t="str">
        <f>IFERROR(__xludf.DUMMYFUNCTION("""COMPUTED_VALUE"""),"OEPS010046")</f>
        <v>OEPS010046</v>
      </c>
      <c r="O494" s="4" t="str">
        <f>IFERROR(__xludf.DUMMYFUNCTION("""COMPUTED_VALUE"""),"GRM155R60J475ME47D")</f>
        <v>GRM155R60J475ME47D</v>
      </c>
      <c r="P494" s="4" t="str">
        <f>IFERROR(__xludf.DUMMYFUNCTION("""COMPUTED_VALUE"""),"1(Tp) ")</f>
        <v>1(Tp) </v>
      </c>
      <c r="Q494" s="4">
        <f>IFERROR(__xludf.DUMMYFUNCTION("""COMPUTED_VALUE"""),1.0)</f>
        <v>1</v>
      </c>
      <c r="R494" s="4">
        <f>IFERROR(__xludf.DUMMYFUNCTION("""COMPUTED_VALUE"""),1.0)</f>
        <v>1</v>
      </c>
      <c r="S494" s="4" t="str">
        <f>IFERROR(__xludf.DUMMYFUNCTION("""COMPUTED_VALUE"""),"Tape")</f>
        <v>Tape</v>
      </c>
      <c r="T494" s="4" t="str">
        <f>IFERROR(__xludf.DUMMYFUNCTION("""COMPUTED_VALUE"""),"0224")</f>
        <v>0224</v>
      </c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>
      <c r="A495" s="4" t="str">
        <f>IFERROR(__xludf.DUMMYFUNCTION("""COMPUTED_VALUE"""),"IC:   MCU ATXMEGA A4U 8bits 32KB   [ATXMEGA32A4U-A] [	TQFP-44]")</f>
        <v>IC:   MCU ATXMEGA A4U 8bits 32KB   [ATXMEGA32A4U-A] [	TQFP-44]</v>
      </c>
      <c r="B495" s="4" t="str">
        <f>IFERROR(__xludf.DUMMYFUNCTION("""COMPUTED_VALUE"""),"OEPS080012")</f>
        <v>OEPS080012</v>
      </c>
      <c r="C495" s="4" t="str">
        <f>IFERROR(__xludf.DUMMYFUNCTION("""COMPUTED_VALUE"""),"SMD")</f>
        <v>SMD</v>
      </c>
      <c r="D495" s="4" t="str">
        <f>IFERROR(__xludf.DUMMYFUNCTION("""COMPUTED_VALUE"""),"ATXMEGA32A4U-A")</f>
        <v>ATXMEGA32A4U-A</v>
      </c>
      <c r="E495" s="4">
        <f>IFERROR(__xludf.DUMMYFUNCTION("""COMPUTED_VALUE"""),1.0)</f>
        <v>1</v>
      </c>
      <c r="F495" s="4" t="str">
        <f>IFERROR(__xludf.DUMMYFUNCTION("""COMPUTED_VALUE"""),"DigiKey")</f>
        <v>DigiKey</v>
      </c>
      <c r="G495" s="4" t="str">
        <f>IFERROR(__xludf.DUMMYFUNCTION("""COMPUTED_VALUE"""),"ATXMEGA32A4U-AURDKR-ND")</f>
        <v>ATXMEGA32A4U-AURDKR-ND</v>
      </c>
      <c r="H495" s="4"/>
      <c r="I495" s="4"/>
      <c r="J495" s="4"/>
      <c r="K495" s="4"/>
      <c r="L495" s="4"/>
      <c r="M495" s="4"/>
      <c r="N495" s="9" t="str">
        <f>IFERROR(__xludf.DUMMYFUNCTION("""COMPUTED_VALUE"""),"OEPS010047")</f>
        <v>OEPS010047</v>
      </c>
      <c r="O495" s="4" t="str">
        <f>IFERROR(__xludf.DUMMYFUNCTION("""COMPUTED_VALUE"""),"GRM188R61E475KE11D")</f>
        <v>GRM188R61E475KE11D</v>
      </c>
      <c r="P495" s="4" t="str">
        <f>IFERROR(__xludf.DUMMYFUNCTION("""COMPUTED_VALUE"""),"19(Tp) ")</f>
        <v>19(Tp) </v>
      </c>
      <c r="Q495" s="4">
        <f>IFERROR(__xludf.DUMMYFUNCTION("""COMPUTED_VALUE"""),19.0)</f>
        <v>19</v>
      </c>
      <c r="R495" s="4">
        <f>IFERROR(__xludf.DUMMYFUNCTION("""COMPUTED_VALUE"""),19.0)</f>
        <v>19</v>
      </c>
      <c r="S495" s="4" t="str">
        <f>IFERROR(__xludf.DUMMYFUNCTION("""COMPUTED_VALUE"""),"Tape")</f>
        <v>Tape</v>
      </c>
      <c r="T495" s="4" t="str">
        <f>IFERROR(__xludf.DUMMYFUNCTION("""COMPUTED_VALUE"""),"1123")</f>
        <v>1123</v>
      </c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>
      <c r="A496" s="4" t="str">
        <f>IFERROR(__xludf.DUMMYFUNCTION("""COMPUTED_VALUE"""),"IC:   MCU ATXMEGA A4U 8bits 32KB   [ATXMEGA32A4U-MHR] [44-VFQFN]")</f>
        <v>IC:   MCU ATXMEGA A4U 8bits 32KB   [ATXMEGA32A4U-MHR] [44-VFQFN]</v>
      </c>
      <c r="B496" s="4" t="str">
        <f>IFERROR(__xludf.DUMMYFUNCTION("""COMPUTED_VALUE"""),"OEPS080116")</f>
        <v>OEPS080116</v>
      </c>
      <c r="C496" s="4" t="str">
        <f>IFERROR(__xludf.DUMMYFUNCTION("""COMPUTED_VALUE"""),"SMD")</f>
        <v>SMD</v>
      </c>
      <c r="D496" s="4" t="str">
        <f>IFERROR(__xludf.DUMMYFUNCTION("""COMPUTED_VALUE"""),"ATXMEGA32A4U-MHR")</f>
        <v>ATXMEGA32A4U-MHR</v>
      </c>
      <c r="E496" s="4">
        <f>IFERROR(__xludf.DUMMYFUNCTION("""COMPUTED_VALUE"""),0.0)</f>
        <v>0</v>
      </c>
      <c r="F496" s="4" t="str">
        <f>IFERROR(__xludf.DUMMYFUNCTION("""COMPUTED_VALUE"""),"DigiKey")</f>
        <v>DigiKey</v>
      </c>
      <c r="G496" s="4" t="str">
        <f>IFERROR(__xludf.DUMMYFUNCTION("""COMPUTED_VALUE"""),"ATXMEGA32A4U-MHRDKR-ND")</f>
        <v>ATXMEGA32A4U-MHRDKR-ND</v>
      </c>
      <c r="H496" s="4"/>
      <c r="I496" s="4"/>
      <c r="J496" s="4"/>
      <c r="K496" s="4"/>
      <c r="L496" s="4"/>
      <c r="M496" s="4"/>
      <c r="N496" s="9" t="str">
        <f>IFERROR(__xludf.DUMMYFUNCTION("""COMPUTED_VALUE"""),"OEPS010048")</f>
        <v>OEPS010048</v>
      </c>
      <c r="O496" s="4" t="str">
        <f>IFERROR(__xludf.DUMMYFUNCTION("""COMPUTED_VALUE"""),"GRM21BR61A476ME15L")</f>
        <v>GRM21BR61A476ME15L</v>
      </c>
      <c r="P496" s="4" t="str">
        <f>IFERROR(__xludf.DUMMYFUNCTION("""COMPUTED_VALUE"""),"8(Tp) ")</f>
        <v>8(Tp) </v>
      </c>
      <c r="Q496" s="4">
        <f>IFERROR(__xludf.DUMMYFUNCTION("""COMPUTED_VALUE"""),8.0)</f>
        <v>8</v>
      </c>
      <c r="R496" s="4">
        <f>IFERROR(__xludf.DUMMYFUNCTION("""COMPUTED_VALUE"""),8.0)</f>
        <v>8</v>
      </c>
      <c r="S496" s="4" t="str">
        <f>IFERROR(__xludf.DUMMYFUNCTION("""COMPUTED_VALUE"""),"Tape")</f>
        <v>Tape</v>
      </c>
      <c r="T496" s="4" t="str">
        <f>IFERROR(__xludf.DUMMYFUNCTION("""COMPUTED_VALUE"""),"0224")</f>
        <v>0224</v>
      </c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  <row r="497">
      <c r="A497" s="4" t="str">
        <f>IFERROR(__xludf.DUMMYFUNCTION("""COMPUTED_VALUE"""),"IC:   MEMS OSC PROG BLANK 1MHZ-100MHZ   [DSC6101JE1A-000.0000] [4-SMD]")</f>
        <v>IC:   MEMS OSC PROG BLANK 1MHZ-100MHZ   [DSC6101JE1A-000.0000] [4-SMD]</v>
      </c>
      <c r="B497" s="4" t="str">
        <f>IFERROR(__xludf.DUMMYFUNCTION("""COMPUTED_VALUE"""),"OEPS080040")</f>
        <v>OEPS080040</v>
      </c>
      <c r="C497" s="4" t="str">
        <f>IFERROR(__xludf.DUMMYFUNCTION("""COMPUTED_VALUE"""),"SMD")</f>
        <v>SMD</v>
      </c>
      <c r="D497" s="4" t="str">
        <f>IFERROR(__xludf.DUMMYFUNCTION("""COMPUTED_VALUE"""),"DSC6101JE1A-000.0000")</f>
        <v>DSC6101JE1A-000.0000</v>
      </c>
      <c r="E497" s="4">
        <f>IFERROR(__xludf.DUMMYFUNCTION("""COMPUTED_VALUE"""),5.0)</f>
        <v>5</v>
      </c>
      <c r="F497" s="4" t="str">
        <f>IFERROR(__xludf.DUMMYFUNCTION("""COMPUTED_VALUE"""),"DigiKey")</f>
        <v>DigiKey</v>
      </c>
      <c r="G497" s="4" t="str">
        <f>IFERROR(__xludf.DUMMYFUNCTION("""COMPUTED_VALUE"""),"DSC6101JE1A-000.0000-ND")</f>
        <v>DSC6101JE1A-000.0000-ND</v>
      </c>
      <c r="H497" s="4"/>
      <c r="I497" s="4"/>
      <c r="J497" s="4"/>
      <c r="K497" s="4"/>
      <c r="L497" s="4"/>
      <c r="M497" s="4"/>
      <c r="N497" s="9" t="str">
        <f>IFERROR(__xludf.DUMMYFUNCTION("""COMPUTED_VALUE"""),"OEPS010049")</f>
        <v>OEPS010049</v>
      </c>
      <c r="O497" s="4" t="str">
        <f>IFERROR(__xludf.DUMMYFUNCTION("""COMPUTED_VALUE"""),"GRM0335C1H300GA01D")</f>
        <v>GRM0335C1H300GA01D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>
      <c r="A498" s="4" t="str">
        <f>IFERROR(__xludf.DUMMYFUNCTION("""COMPUTED_VALUE"""),"IC:   MEMS OSC PROG BLANK 1MHz-100MHZ   [DSC6102MI2A-000.0000T] [4-SMD]")</f>
        <v>IC:   MEMS OSC PROG BLANK 1MHz-100MHZ   [DSC6102MI2A-000.0000T] [4-SMD]</v>
      </c>
      <c r="B498" s="4" t="str">
        <f>IFERROR(__xludf.DUMMYFUNCTION("""COMPUTED_VALUE"""),"OEPS080092")</f>
        <v>OEPS080092</v>
      </c>
      <c r="C498" s="4" t="str">
        <f>IFERROR(__xludf.DUMMYFUNCTION("""COMPUTED_VALUE"""),"SMD")</f>
        <v>SMD</v>
      </c>
      <c r="D498" s="4" t="str">
        <f>IFERROR(__xludf.DUMMYFUNCTION("""COMPUTED_VALUE"""),"DSC6102MI2A-000.0000T")</f>
        <v>DSC6102MI2A-000.0000T</v>
      </c>
      <c r="E498" s="4">
        <f>IFERROR(__xludf.DUMMYFUNCTION("""COMPUTED_VALUE"""),3.0)</f>
        <v>3</v>
      </c>
      <c r="F498" s="4" t="str">
        <f>IFERROR(__xludf.DUMMYFUNCTION("""COMPUTED_VALUE"""),"DigiKey")</f>
        <v>DigiKey</v>
      </c>
      <c r="G498" s="4" t="str">
        <f>IFERROR(__xludf.DUMMYFUNCTION("""COMPUTED_VALUE"""),"DSC6102MI2A-000.0000TDKR-ND")</f>
        <v>DSC6102MI2A-000.0000TDKR-ND</v>
      </c>
      <c r="H498" s="4"/>
      <c r="I498" s="4"/>
      <c r="J498" s="4"/>
      <c r="K498" s="4"/>
      <c r="L498" s="4"/>
      <c r="M498" s="4"/>
      <c r="N498" s="9" t="str">
        <f>IFERROR(__xludf.DUMMYFUNCTION("""COMPUTED_VALUE"""),"OEPS010050")</f>
        <v>OEPS010050</v>
      </c>
      <c r="O498" s="4" t="str">
        <f>IFERROR(__xludf.DUMMYFUNCTION("""COMPUTED_VALUE"""),"C1005X7R1E104K050BB")</f>
        <v>C1005X7R1E104K050BB</v>
      </c>
      <c r="P498" s="4" t="str">
        <f>IFERROR(__xludf.DUMMYFUNCTION("""COMPUTED_VALUE"""),"1(Tp) 65(Tp) ")</f>
        <v>1(Tp) 65(Tp) </v>
      </c>
      <c r="Q498" s="4">
        <f>IFERROR(__xludf.DUMMYFUNCTION("""COMPUTED_VALUE"""),66.0)</f>
        <v>66</v>
      </c>
      <c r="R498" s="4">
        <f>IFERROR(__xludf.DUMMYFUNCTION("""COMPUTED_VALUE"""),1.0)</f>
        <v>1</v>
      </c>
      <c r="S498" s="4" t="str">
        <f>IFERROR(__xludf.DUMMYFUNCTION("""COMPUTED_VALUE"""),"Tape")</f>
        <v>Tape</v>
      </c>
      <c r="T498" s="4" t="str">
        <f>IFERROR(__xludf.DUMMYFUNCTION("""COMPUTED_VALUE"""),"1225")</f>
        <v>1225</v>
      </c>
      <c r="U498" s="4">
        <f>IFERROR(__xludf.DUMMYFUNCTION("""COMPUTED_VALUE"""),65.0)</f>
        <v>65</v>
      </c>
      <c r="V498" s="4" t="str">
        <f>IFERROR(__xludf.DUMMYFUNCTION("""COMPUTED_VALUE"""),"Tape")</f>
        <v>Tape</v>
      </c>
      <c r="W498" s="4" t="str">
        <f>IFERROR(__xludf.DUMMYFUNCTION("""COMPUTED_VALUE"""),"0526")</f>
        <v>0526</v>
      </c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</row>
    <row r="499">
      <c r="A499" s="4" t="str">
        <f>IFERROR(__xludf.DUMMYFUNCTION("""COMPUTED_VALUE"""),"IC:   MEMS OSC PROG BLANK 3.5KHZ-100MHZ   [DSC6101MA3B-PROGT ] [4-SMD]")</f>
        <v>IC:   MEMS OSC PROG BLANK 3.5KHZ-100MHZ   [DSC6101MA3B-PROGT ] [4-SMD]</v>
      </c>
      <c r="B499" s="4" t="str">
        <f>IFERROR(__xludf.DUMMYFUNCTION("""COMPUTED_VALUE"""),"OEPS080049")</f>
        <v>OEPS080049</v>
      </c>
      <c r="C499" s="4" t="str">
        <f>IFERROR(__xludf.DUMMYFUNCTION("""COMPUTED_VALUE"""),"SMD")</f>
        <v>SMD</v>
      </c>
      <c r="D499" s="4" t="str">
        <f>IFERROR(__xludf.DUMMYFUNCTION("""COMPUTED_VALUE"""),"DSC6101MA3B-PROGT ")</f>
        <v>DSC6101MA3B-PROGT </v>
      </c>
      <c r="E499" s="4">
        <f>IFERROR(__xludf.DUMMYFUNCTION("""COMPUTED_VALUE"""),2.0)</f>
        <v>2</v>
      </c>
      <c r="F499" s="4" t="str">
        <f>IFERROR(__xludf.DUMMYFUNCTION("""COMPUTED_VALUE"""),"DigiKey")</f>
        <v>DigiKey</v>
      </c>
      <c r="G499" s="4" t="str">
        <f>IFERROR(__xludf.DUMMYFUNCTION("""COMPUTED_VALUE"""),"150-DSC6101MA3B-PROGTDKR-ND")</f>
        <v>150-DSC6101MA3B-PROGTDKR-ND</v>
      </c>
      <c r="H499" s="4"/>
      <c r="I499" s="4"/>
      <c r="J499" s="4"/>
      <c r="K499" s="4"/>
      <c r="L499" s="4"/>
      <c r="M499" s="4"/>
      <c r="N499" s="9" t="str">
        <f>IFERROR(__xludf.DUMMYFUNCTION("""COMPUTED_VALUE"""),"OEPS010051")</f>
        <v>OEPS010051</v>
      </c>
      <c r="O499" s="4" t="str">
        <f>IFERROR(__xludf.DUMMYFUNCTION("""COMPUTED_VALUE"""),"GRM155R71H103KA88D")</f>
        <v>GRM155R71H103KA88D</v>
      </c>
      <c r="P499" s="4" t="str">
        <f>IFERROR(__xludf.DUMMYFUNCTION("""COMPUTED_VALUE"""),"1(Tp) 25(Tp) ")</f>
        <v>1(Tp) 25(Tp) </v>
      </c>
      <c r="Q499" s="4">
        <f>IFERROR(__xludf.DUMMYFUNCTION("""COMPUTED_VALUE"""),26.0)</f>
        <v>26</v>
      </c>
      <c r="R499" s="4">
        <f>IFERROR(__xludf.DUMMYFUNCTION("""COMPUTED_VALUE"""),1.0)</f>
        <v>1</v>
      </c>
      <c r="S499" s="4" t="str">
        <f>IFERROR(__xludf.DUMMYFUNCTION("""COMPUTED_VALUE"""),"Tape")</f>
        <v>Tape</v>
      </c>
      <c r="T499" s="4" t="str">
        <f>IFERROR(__xludf.DUMMYFUNCTION("""COMPUTED_VALUE"""),"0425")</f>
        <v>0425</v>
      </c>
      <c r="U499" s="4">
        <f>IFERROR(__xludf.DUMMYFUNCTION("""COMPUTED_VALUE"""),25.0)</f>
        <v>25</v>
      </c>
      <c r="V499" s="4" t="str">
        <f>IFERROR(__xludf.DUMMYFUNCTION("""COMPUTED_VALUE"""),"Tape")</f>
        <v>Tape</v>
      </c>
      <c r="W499" s="4" t="str">
        <f>IFERROR(__xludf.DUMMYFUNCTION("""COMPUTED_VALUE"""),"0325")</f>
        <v>0325</v>
      </c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  <row r="500">
      <c r="A500" s="4" t="str">
        <f>IFERROR(__xludf.DUMMYFUNCTION("""COMPUTED_VALUE"""),"IC:   MEMS OSC XO 16MHZ CMOS 25ppm   [DSC6001CI2A-016.0000] [4-SMD]")</f>
        <v>IC:   MEMS OSC XO 16MHZ CMOS 25ppm   [DSC6001CI2A-016.0000] [4-SMD]</v>
      </c>
      <c r="B500" s="4" t="str">
        <f>IFERROR(__xludf.DUMMYFUNCTION("""COMPUTED_VALUE"""),"OEPS080053")</f>
        <v>OEPS080053</v>
      </c>
      <c r="C500" s="4" t="str">
        <f>IFERROR(__xludf.DUMMYFUNCTION("""COMPUTED_VALUE"""),"SMD")</f>
        <v>SMD</v>
      </c>
      <c r="D500" s="4" t="str">
        <f>IFERROR(__xludf.DUMMYFUNCTION("""COMPUTED_VALUE"""),"DSC6001CI2A-016.0000")</f>
        <v>DSC6001CI2A-016.0000</v>
      </c>
      <c r="E500" s="4">
        <f>IFERROR(__xludf.DUMMYFUNCTION("""COMPUTED_VALUE"""),5.0)</f>
        <v>5</v>
      </c>
      <c r="F500" s="4" t="str">
        <f>IFERROR(__xludf.DUMMYFUNCTION("""COMPUTED_VALUE"""),"Mouser")</f>
        <v>Mouser</v>
      </c>
      <c r="G500" s="4" t="str">
        <f>IFERROR(__xludf.DUMMYFUNCTION("""COMPUTED_VALUE"""),"579-C6001CI2A0160000")</f>
        <v>579-C6001CI2A0160000</v>
      </c>
      <c r="H500" s="4"/>
      <c r="I500" s="4"/>
      <c r="J500" s="4"/>
      <c r="K500" s="4"/>
      <c r="L500" s="4"/>
      <c r="M500" s="4"/>
      <c r="N500" s="9" t="str">
        <f>IFERROR(__xludf.DUMMYFUNCTION("""COMPUTED_VALUE"""),"OEPS010052")</f>
        <v>OEPS010052</v>
      </c>
      <c r="O500" s="4" t="str">
        <f>IFERROR(__xludf.DUMMYFUNCTION("""COMPUTED_VALUE"""),"GRM155R61A475MEAAD")</f>
        <v>GRM155R61A475MEAAD</v>
      </c>
      <c r="P500" s="4" t="str">
        <f>IFERROR(__xludf.DUMMYFUNCTION("""COMPUTED_VALUE"""),"59(Tp) ")</f>
        <v>59(Tp) </v>
      </c>
      <c r="Q500" s="4">
        <f>IFERROR(__xludf.DUMMYFUNCTION("""COMPUTED_VALUE"""),59.0)</f>
        <v>59</v>
      </c>
      <c r="R500" s="4">
        <f>IFERROR(__xludf.DUMMYFUNCTION("""COMPUTED_VALUE"""),59.0)</f>
        <v>59</v>
      </c>
      <c r="S500" s="4" t="str">
        <f>IFERROR(__xludf.DUMMYFUNCTION("""COMPUTED_VALUE"""),"Tape")</f>
        <v>Tape</v>
      </c>
      <c r="T500" s="4" t="str">
        <f>IFERROR(__xludf.DUMMYFUNCTION("""COMPUTED_VALUE"""),"0526")</f>
        <v>0526</v>
      </c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</row>
    <row r="501">
      <c r="A501" s="4" t="str">
        <f>IFERROR(__xludf.DUMMYFUNCTION("""COMPUTED_VALUE"""),"IC:   MEMS OSC XO 32MHZ CMOS 10ppm   [DSC1001CI5-032.0000] [4-SMD]")</f>
        <v>IC:   MEMS OSC XO 32MHZ CMOS 10ppm   [DSC1001CI5-032.0000] [4-SMD]</v>
      </c>
      <c r="B501" s="4" t="str">
        <f>IFERROR(__xludf.DUMMYFUNCTION("""COMPUTED_VALUE"""),"OEPS080018")</f>
        <v>OEPS080018</v>
      </c>
      <c r="C501" s="4" t="str">
        <f>IFERROR(__xludf.DUMMYFUNCTION("""COMPUTED_VALUE"""),"SMD")</f>
        <v>SMD</v>
      </c>
      <c r="D501" s="4" t="str">
        <f>IFERROR(__xludf.DUMMYFUNCTION("""COMPUTED_VALUE"""),"DSC1001CI5-032.0000")</f>
        <v>DSC1001CI5-032.0000</v>
      </c>
      <c r="E501" s="4">
        <f>IFERROR(__xludf.DUMMYFUNCTION("""COMPUTED_VALUE"""),5.0)</f>
        <v>5</v>
      </c>
      <c r="F501" s="4" t="str">
        <f>IFERROR(__xludf.DUMMYFUNCTION("""COMPUTED_VALUE"""),"DigiKey")</f>
        <v>DigiKey</v>
      </c>
      <c r="G501" s="4" t="str">
        <f>IFERROR(__xludf.DUMMYFUNCTION("""COMPUTED_VALUE"""),"150-DSC1001CI5-032.0000TDKR-ND")</f>
        <v>150-DSC1001CI5-032.0000TDKR-ND</v>
      </c>
      <c r="H501" s="4"/>
      <c r="I501" s="4"/>
      <c r="J501" s="4"/>
      <c r="K501" s="4"/>
      <c r="L501" s="4"/>
      <c r="M501" s="4"/>
      <c r="N501" s="9" t="str">
        <f>IFERROR(__xludf.DUMMYFUNCTION("""COMPUTED_VALUE"""),"OEPS010053")</f>
        <v>OEPS010053</v>
      </c>
      <c r="O501" s="4" t="str">
        <f>IFERROR(__xludf.DUMMYFUNCTION("""COMPUTED_VALUE"""),"C1005C0G2A471J050BA")</f>
        <v>C1005C0G2A471J050BA</v>
      </c>
      <c r="P501" s="4" t="str">
        <f>IFERROR(__xludf.DUMMYFUNCTION("""COMPUTED_VALUE"""),"65(Tp) 11(Tp) ")</f>
        <v>65(Tp) 11(Tp) </v>
      </c>
      <c r="Q501" s="4">
        <f>IFERROR(__xludf.DUMMYFUNCTION("""COMPUTED_VALUE"""),76.0)</f>
        <v>76</v>
      </c>
      <c r="R501" s="4">
        <f>IFERROR(__xludf.DUMMYFUNCTION("""COMPUTED_VALUE"""),65.0)</f>
        <v>65</v>
      </c>
      <c r="S501" s="4" t="str">
        <f>IFERROR(__xludf.DUMMYFUNCTION("""COMPUTED_VALUE"""),"Tape")</f>
        <v>Tape</v>
      </c>
      <c r="T501" s="4" t="str">
        <f>IFERROR(__xludf.DUMMYFUNCTION("""COMPUTED_VALUE"""),"1023")</f>
        <v>1023</v>
      </c>
      <c r="U501" s="4">
        <f>IFERROR(__xludf.DUMMYFUNCTION("""COMPUTED_VALUE"""),11.0)</f>
        <v>11</v>
      </c>
      <c r="V501" s="4" t="str">
        <f>IFERROR(__xludf.DUMMYFUNCTION("""COMPUTED_VALUE"""),"Tape")</f>
        <v>Tape</v>
      </c>
      <c r="W501" s="4" t="str">
        <f>IFERROR(__xludf.DUMMYFUNCTION("""COMPUTED_VALUE"""),"0224")</f>
        <v>0224</v>
      </c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</row>
    <row r="502">
      <c r="A502" s="4" t="str">
        <f>IFERROR(__xludf.DUMMYFUNCTION("""COMPUTED_VALUE"""),"IC:   MEMS OSC XO 50MHZ CMOS 50ppm   [ECS-2520MVLC-500-BN-TR] [4-VLGA]")</f>
        <v>IC:   MEMS OSC XO 50MHZ CMOS 50ppm   [ECS-2520MVLC-500-BN-TR] [4-VLGA]</v>
      </c>
      <c r="B502" s="4" t="str">
        <f>IFERROR(__xludf.DUMMYFUNCTION("""COMPUTED_VALUE"""),"OEPS080102")</f>
        <v>OEPS080102</v>
      </c>
      <c r="C502" s="4" t="str">
        <f>IFERROR(__xludf.DUMMYFUNCTION("""COMPUTED_VALUE"""),"SMD")</f>
        <v>SMD</v>
      </c>
      <c r="D502" s="4" t="str">
        <f>IFERROR(__xludf.DUMMYFUNCTION("""COMPUTED_VALUE"""),"ECS-2520MVLC-500-BN-TR")</f>
        <v>ECS-2520MVLC-500-BN-TR</v>
      </c>
      <c r="E502" s="4">
        <f>IFERROR(__xludf.DUMMYFUNCTION("""COMPUTED_VALUE"""),5.0)</f>
        <v>5</v>
      </c>
      <c r="F502" s="4" t="str">
        <f>IFERROR(__xludf.DUMMYFUNCTION("""COMPUTED_VALUE"""),"DigiKey")</f>
        <v>DigiKey</v>
      </c>
      <c r="G502" s="4" t="str">
        <f>IFERROR(__xludf.DUMMYFUNCTION("""COMPUTED_VALUE"""),"50-ECS-2520MVLC-500-BN-DKR-ND")</f>
        <v>50-ECS-2520MVLC-500-BN-DKR-ND</v>
      </c>
      <c r="H502" s="4"/>
      <c r="I502" s="4"/>
      <c r="J502" s="4"/>
      <c r="K502" s="4"/>
      <c r="L502" s="4"/>
      <c r="M502" s="4"/>
      <c r="N502" s="9" t="str">
        <f>IFERROR(__xludf.DUMMYFUNCTION("""COMPUTED_VALUE"""),"OEPS010054")</f>
        <v>OEPS010054</v>
      </c>
      <c r="O502" s="4" t="str">
        <f>IFERROR(__xludf.DUMMYFUNCTION("""COMPUTED_VALUE"""),"06035C105KAT2A")</f>
        <v>06035C105KAT2A</v>
      </c>
      <c r="P502" s="4" t="str">
        <f>IFERROR(__xludf.DUMMYFUNCTION("""COMPUTED_VALUE"""),"3(Tp) 798(Tp) 2(Tp) 399(R) ")</f>
        <v>3(Tp) 798(Tp) 2(Tp) 399(R) </v>
      </c>
      <c r="Q502" s="4">
        <f>IFERROR(__xludf.DUMMYFUNCTION("""COMPUTED_VALUE"""),1202.0)</f>
        <v>1202</v>
      </c>
      <c r="R502" s="4">
        <f>IFERROR(__xludf.DUMMYFUNCTION("""COMPUTED_VALUE"""),3.0)</f>
        <v>3</v>
      </c>
      <c r="S502" s="4" t="str">
        <f>IFERROR(__xludf.DUMMYFUNCTION("""COMPUTED_VALUE"""),"Tape")</f>
        <v>Tape</v>
      </c>
      <c r="T502" s="4" t="str">
        <f>IFERROR(__xludf.DUMMYFUNCTION("""COMPUTED_VALUE"""),"0325")</f>
        <v>0325</v>
      </c>
      <c r="U502" s="4">
        <f>IFERROR(__xludf.DUMMYFUNCTION("""COMPUTED_VALUE"""),798.0)</f>
        <v>798</v>
      </c>
      <c r="V502" s="4" t="str">
        <f>IFERROR(__xludf.DUMMYFUNCTION("""COMPUTED_VALUE"""),"Tape")</f>
        <v>Tape</v>
      </c>
      <c r="W502" s="4" t="str">
        <f>IFERROR(__xludf.DUMMYFUNCTION("""COMPUTED_VALUE"""),"0325")</f>
        <v>0325</v>
      </c>
      <c r="X502" s="4">
        <f>IFERROR(__xludf.DUMMYFUNCTION("""COMPUTED_VALUE"""),2.0)</f>
        <v>2</v>
      </c>
      <c r="Y502" s="4" t="str">
        <f>IFERROR(__xludf.DUMMYFUNCTION("""COMPUTED_VALUE"""),"Tape")</f>
        <v>Tape</v>
      </c>
      <c r="Z502" s="4" t="str">
        <f>IFERROR(__xludf.DUMMYFUNCTION("""COMPUTED_VALUE"""),"1124")</f>
        <v>1124</v>
      </c>
      <c r="AA502" s="4">
        <f>IFERROR(__xludf.DUMMYFUNCTION("""COMPUTED_VALUE"""),399.0)</f>
        <v>399</v>
      </c>
      <c r="AB502" s="4" t="str">
        <f>IFERROR(__xludf.DUMMYFUNCTION("""COMPUTED_VALUE"""),"Reel")</f>
        <v>Reel</v>
      </c>
      <c r="AC502" s="4" t="str">
        <f>IFERROR(__xludf.DUMMYFUNCTION("""COMPUTED_VALUE"""),"0425")</f>
        <v>0425</v>
      </c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</row>
    <row r="503">
      <c r="A503" s="4" t="str">
        <f>IFERROR(__xludf.DUMMYFUNCTION("""COMPUTED_VALUE"""),"IC:   MOTOR DRIVER 2.7V-5.5V (OEPS K01 002)   [TB6612FNG,C,8,EL] [24-SSOP]")</f>
        <v>IC:   MOTOR DRIVER 2.7V-5.5V (OEPS K01 002)   [TB6612FNG,C,8,EL] [24-SSOP]</v>
      </c>
      <c r="B503" s="4" t="str">
        <f>IFERROR(__xludf.DUMMYFUNCTION("""COMPUTED_VALUE"""),"OEPS080166")</f>
        <v>OEPS080166</v>
      </c>
      <c r="C503" s="4" t="str">
        <f>IFERROR(__xludf.DUMMYFUNCTION("""COMPUTED_VALUE"""),"SMD")</f>
        <v>SMD</v>
      </c>
      <c r="D503" s="4" t="str">
        <f>IFERROR(__xludf.DUMMYFUNCTION("""COMPUTED_VALUE"""),"TB6612FNG,C,8,EL")</f>
        <v>TB6612FNG,C,8,EL</v>
      </c>
      <c r="E503" s="4">
        <f>IFERROR(__xludf.DUMMYFUNCTION("""COMPUTED_VALUE"""),3.0)</f>
        <v>3</v>
      </c>
      <c r="F503" s="4" t="str">
        <f>IFERROR(__xludf.DUMMYFUNCTION("""COMPUTED_VALUE"""),"Digikey")</f>
        <v>Digikey</v>
      </c>
      <c r="G503" s="4" t="str">
        <f>IFERROR(__xludf.DUMMYFUNCTION("""COMPUTED_VALUE"""),"TB6612FNGC8ELDKR-ND")</f>
        <v>TB6612FNGC8ELDKR-ND</v>
      </c>
      <c r="H503" s="4"/>
      <c r="I503" s="4"/>
      <c r="J503" s="4"/>
      <c r="K503" s="4"/>
      <c r="L503" s="4"/>
      <c r="M503" s="4"/>
      <c r="N503" s="9" t="str">
        <f>IFERROR(__xludf.DUMMYFUNCTION("""COMPUTED_VALUE"""),"OEPS010055")</f>
        <v>OEPS010055</v>
      </c>
      <c r="O503" s="4" t="str">
        <f>IFERROR(__xludf.DUMMYFUNCTION("""COMPUTED_VALUE"""),"GRM155Z71A225KE44D")</f>
        <v>GRM155Z71A225KE44D</v>
      </c>
      <c r="P503" s="4" t="str">
        <f>IFERROR(__xludf.DUMMYFUNCTION("""COMPUTED_VALUE"""),"3(Tp) ")</f>
        <v>3(Tp) </v>
      </c>
      <c r="Q503" s="4">
        <f>IFERROR(__xludf.DUMMYFUNCTION("""COMPUTED_VALUE"""),3.0)</f>
        <v>3</v>
      </c>
      <c r="R503" s="4">
        <f>IFERROR(__xludf.DUMMYFUNCTION("""COMPUTED_VALUE"""),3.0)</f>
        <v>3</v>
      </c>
      <c r="S503" s="4" t="str">
        <f>IFERROR(__xludf.DUMMYFUNCTION("""COMPUTED_VALUE"""),"Tape")</f>
        <v>Tape</v>
      </c>
      <c r="T503" s="4" t="str">
        <f>IFERROR(__xludf.DUMMYFUNCTION("""COMPUTED_VALUE"""),"1023")</f>
        <v>1023</v>
      </c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</row>
    <row r="504">
      <c r="A504" s="4" t="str">
        <f>IFERROR(__xludf.DUMMYFUNCTION("""COMPUTED_VALUE"""),"IC:   MULTIPLEXER 1 X 2:1   [74LVC1G157GV,125] [6-TSOP]")</f>
        <v>IC:   MULTIPLEXER 1 X 2:1   [74LVC1G157GV,125] [6-TSOP]</v>
      </c>
      <c r="B504" s="4" t="str">
        <f>IFERROR(__xludf.DUMMYFUNCTION("""COMPUTED_VALUE"""),"OEPS080170")</f>
        <v>OEPS080170</v>
      </c>
      <c r="C504" s="4" t="str">
        <f>IFERROR(__xludf.DUMMYFUNCTION("""COMPUTED_VALUE"""),"SMD")</f>
        <v>SMD</v>
      </c>
      <c r="D504" s="4" t="str">
        <f>IFERROR(__xludf.DUMMYFUNCTION("""COMPUTED_VALUE"""),"74LVC1G157GV,125")</f>
        <v>74LVC1G157GV,125</v>
      </c>
      <c r="E504" s="4">
        <f>IFERROR(__xludf.DUMMYFUNCTION("""COMPUTED_VALUE"""),10.0)</f>
        <v>10</v>
      </c>
      <c r="F504" s="4" t="str">
        <f>IFERROR(__xludf.DUMMYFUNCTION("""COMPUTED_VALUE"""),"Digikey")</f>
        <v>Digikey</v>
      </c>
      <c r="G504" s="4" t="str">
        <f>IFERROR(__xludf.DUMMYFUNCTION("""COMPUTED_VALUE"""),"1727-3490-6-ND")</f>
        <v>1727-3490-6-ND</v>
      </c>
      <c r="H504" s="4"/>
      <c r="I504" s="4"/>
      <c r="J504" s="4"/>
      <c r="K504" s="4"/>
      <c r="L504" s="4"/>
      <c r="M504" s="4"/>
      <c r="N504" s="9" t="str">
        <f>IFERROR(__xludf.DUMMYFUNCTION("""COMPUTED_VALUE"""),"OEPS010056")</f>
        <v>OEPS010056</v>
      </c>
      <c r="O504" s="4" t="str">
        <f>IFERROR(__xludf.DUMMYFUNCTION("""COMPUTED_VALUE"""),"C1608X7R2A223K080AA")</f>
        <v>C1608X7R2A223K080AA</v>
      </c>
      <c r="P504" s="4" t="str">
        <f>IFERROR(__xludf.DUMMYFUNCTION("""COMPUTED_VALUE"""),"20(Tp) 8 ")</f>
        <v>20(Tp) 8 </v>
      </c>
      <c r="Q504" s="4">
        <f>IFERROR(__xludf.DUMMYFUNCTION("""COMPUTED_VALUE"""),28.0)</f>
        <v>28</v>
      </c>
      <c r="R504" s="4">
        <f>IFERROR(__xludf.DUMMYFUNCTION("""COMPUTED_VALUE"""),20.0)</f>
        <v>20</v>
      </c>
      <c r="S504" s="4" t="str">
        <f>IFERROR(__xludf.DUMMYFUNCTION("""COMPUTED_VALUE"""),"Tape")</f>
        <v>Tape</v>
      </c>
      <c r="T504" s="4" t="str">
        <f>IFERROR(__xludf.DUMMYFUNCTION("""COMPUTED_VALUE"""),"0224")</f>
        <v>0224</v>
      </c>
      <c r="U504" s="4">
        <f>IFERROR(__xludf.DUMMYFUNCTION("""COMPUTED_VALUE"""),8.0)</f>
        <v>8</v>
      </c>
      <c r="V504" s="4" t="str">
        <f>IFERROR(__xludf.DUMMYFUNCTION("""COMPUTED_VALUE"""),"Bag")</f>
        <v>Bag</v>
      </c>
      <c r="W504" s="4" t="str">
        <f>IFERROR(__xludf.DUMMYFUNCTION("""COMPUTED_VALUE"""),"1023")</f>
        <v>1023</v>
      </c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</row>
    <row r="505">
      <c r="A505" s="4" t="str">
        <f>IFERROR(__xludf.DUMMYFUNCTION("""COMPUTED_VALUE"""),"IC:   MULTIPLEXER 2 X 4:1   [DG409DYZ-T] [16-SOIC]")</f>
        <v>IC:   MULTIPLEXER 2 X 4:1   [DG409DYZ-T] [16-SOIC]</v>
      </c>
      <c r="B505" s="4" t="str">
        <f>IFERROR(__xludf.DUMMYFUNCTION("""COMPUTED_VALUE"""),"OEPS080223")</f>
        <v>OEPS080223</v>
      </c>
      <c r="C505" s="4" t="str">
        <f>IFERROR(__xludf.DUMMYFUNCTION("""COMPUTED_VALUE"""),"SMD")</f>
        <v>SMD</v>
      </c>
      <c r="D505" s="4" t="str">
        <f>IFERROR(__xludf.DUMMYFUNCTION("""COMPUTED_VALUE"""),"DG409DYZ-T")</f>
        <v>DG409DYZ-T</v>
      </c>
      <c r="E505" s="4">
        <f>IFERROR(__xludf.DUMMYFUNCTION("""COMPUTED_VALUE"""),0.0)</f>
        <v>0</v>
      </c>
      <c r="F505" s="4" t="str">
        <f>IFERROR(__xludf.DUMMYFUNCTION("""COMPUTED_VALUE"""),"DigiKey")</f>
        <v>DigiKey</v>
      </c>
      <c r="G505" s="4" t="str">
        <f>IFERROR(__xludf.DUMMYFUNCTION("""COMPUTED_VALUE"""),"DG409DYZ-TDKR-ND")</f>
        <v>DG409DYZ-TDKR-ND</v>
      </c>
      <c r="H505" s="4"/>
      <c r="I505" s="4"/>
      <c r="J505" s="4"/>
      <c r="K505" s="4"/>
      <c r="L505" s="4"/>
      <c r="M505" s="4"/>
      <c r="N505" s="9" t="str">
        <f>IFERROR(__xludf.DUMMYFUNCTION("""COMPUTED_VALUE"""),"OEPS010057")</f>
        <v>OEPS010057</v>
      </c>
      <c r="O505" s="4" t="str">
        <f>IFERROR(__xludf.DUMMYFUNCTION("""COMPUTED_VALUE"""),"EEU-FR2A101")</f>
        <v>EEU-FR2A101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</row>
    <row r="506">
      <c r="A506" s="4" t="str">
        <f>IFERROR(__xludf.DUMMYFUNCTION("""COMPUTED_VALUE"""),"IC:   Multiplexer Switch ICs   [74HCT4067PW,118] [TSSOP-24]")</f>
        <v>IC:   Multiplexer Switch ICs   [74HCT4067PW,118] [TSSOP-24]</v>
      </c>
      <c r="B506" s="4" t="str">
        <f>IFERROR(__xludf.DUMMYFUNCTION("""COMPUTED_VALUE"""),"OEPS080010")</f>
        <v>OEPS080010</v>
      </c>
      <c r="C506" s="4" t="str">
        <f>IFERROR(__xludf.DUMMYFUNCTION("""COMPUTED_VALUE"""),"SMD")</f>
        <v>SMD</v>
      </c>
      <c r="D506" s="4" t="str">
        <f>IFERROR(__xludf.DUMMYFUNCTION("""COMPUTED_VALUE"""),"74HCT4067PW,118")</f>
        <v>74HCT4067PW,118</v>
      </c>
      <c r="E506" s="4">
        <f>IFERROR(__xludf.DUMMYFUNCTION("""COMPUTED_VALUE"""),3.0)</f>
        <v>3</v>
      </c>
      <c r="F506" s="4" t="str">
        <f>IFERROR(__xludf.DUMMYFUNCTION("""COMPUTED_VALUE"""),"DigiKey")</f>
        <v>DigiKey</v>
      </c>
      <c r="G506" s="4" t="str">
        <f>IFERROR(__xludf.DUMMYFUNCTION("""COMPUTED_VALUE"""),"1727-2059-6-ND")</f>
        <v>1727-2059-6-ND</v>
      </c>
      <c r="H506" s="4"/>
      <c r="I506" s="4"/>
      <c r="J506" s="4"/>
      <c r="K506" s="4"/>
      <c r="L506" s="4"/>
      <c r="M506" s="4"/>
      <c r="N506" s="9" t="str">
        <f>IFERROR(__xludf.DUMMYFUNCTION("""COMPUTED_VALUE"""),"OEPS010066")</f>
        <v>OEPS010066</v>
      </c>
      <c r="O506" s="4" t="str">
        <f>IFERROR(__xludf.DUMMYFUNCTION("""COMPUTED_VALUE"""),"C1005X5R1V104K050BB")</f>
        <v>C1005X5R1V104K050BB</v>
      </c>
      <c r="P506" s="4" t="str">
        <f>IFERROR(__xludf.DUMMYFUNCTION("""COMPUTED_VALUE"""),"65(Tp) ")</f>
        <v>65(Tp) </v>
      </c>
      <c r="Q506" s="4">
        <f>IFERROR(__xludf.DUMMYFUNCTION("""COMPUTED_VALUE"""),65.0)</f>
        <v>65</v>
      </c>
      <c r="R506" s="4">
        <f>IFERROR(__xludf.DUMMYFUNCTION("""COMPUTED_VALUE"""),65.0)</f>
        <v>65</v>
      </c>
      <c r="S506" s="4" t="str">
        <f>IFERROR(__xludf.DUMMYFUNCTION("""COMPUTED_VALUE"""),"Tape")</f>
        <v>Tape</v>
      </c>
      <c r="T506" s="4" t="str">
        <f>IFERROR(__xludf.DUMMYFUNCTION("""COMPUTED_VALUE"""),"0325")</f>
        <v>0325</v>
      </c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</row>
    <row r="507">
      <c r="A507" s="4" t="str">
        <f>IFERROR(__xludf.DUMMYFUNCTION("""COMPUTED_VALUE"""),"IC:   OPAMP 1 CIRCUIT   [TLV9061IDBVR] [SOT-23-5]")</f>
        <v>IC:   OPAMP 1 CIRCUIT   [TLV9061IDBVR] [SOT-23-5]</v>
      </c>
      <c r="B507" s="4" t="str">
        <f>IFERROR(__xludf.DUMMYFUNCTION("""COMPUTED_VALUE"""),"OEPS080179")</f>
        <v>OEPS080179</v>
      </c>
      <c r="C507" s="4" t="str">
        <f>IFERROR(__xludf.DUMMYFUNCTION("""COMPUTED_VALUE"""),"SMD")</f>
        <v>SMD</v>
      </c>
      <c r="D507" s="4" t="str">
        <f>IFERROR(__xludf.DUMMYFUNCTION("""COMPUTED_VALUE"""),"TLV9061IDBVR")</f>
        <v>TLV9061IDBVR</v>
      </c>
      <c r="E507" s="4">
        <f>IFERROR(__xludf.DUMMYFUNCTION("""COMPUTED_VALUE"""),5.0)</f>
        <v>5</v>
      </c>
      <c r="F507" s="4" t="str">
        <f>IFERROR(__xludf.DUMMYFUNCTION("""COMPUTED_VALUE"""),"Digikey")</f>
        <v>Digikey</v>
      </c>
      <c r="G507" s="4" t="str">
        <f>IFERROR(__xludf.DUMMYFUNCTION("""COMPUTED_VALUE"""),"296-52284-6-ND")</f>
        <v>296-52284-6-ND</v>
      </c>
      <c r="H507" s="4"/>
      <c r="I507" s="4"/>
      <c r="J507" s="4"/>
      <c r="K507" s="4"/>
      <c r="L507" s="4"/>
      <c r="M507" s="4"/>
      <c r="N507" s="9" t="str">
        <f>IFERROR(__xludf.DUMMYFUNCTION("""COMPUTED_VALUE"""),"OEPS010067")</f>
        <v>OEPS010067</v>
      </c>
      <c r="O507" s="4" t="str">
        <f>IFERROR(__xludf.DUMMYFUNCTION("""COMPUTED_VALUE"""),"GRM155R71E103KA01D")</f>
        <v>GRM155R71E103KA01D</v>
      </c>
      <c r="P507" s="4" t="str">
        <f>IFERROR(__xludf.DUMMYFUNCTION("""COMPUTED_VALUE"""),"19(Tp) 38(Tp) ")</f>
        <v>19(Tp) 38(Tp) </v>
      </c>
      <c r="Q507" s="4">
        <f>IFERROR(__xludf.DUMMYFUNCTION("""COMPUTED_VALUE"""),57.0)</f>
        <v>57</v>
      </c>
      <c r="R507" s="4">
        <f>IFERROR(__xludf.DUMMYFUNCTION("""COMPUTED_VALUE"""),19.0)</f>
        <v>19</v>
      </c>
      <c r="S507" s="4" t="str">
        <f>IFERROR(__xludf.DUMMYFUNCTION("""COMPUTED_VALUE"""),"Tape")</f>
        <v>Tape</v>
      </c>
      <c r="T507" s="4" t="str">
        <f>IFERROR(__xludf.DUMMYFUNCTION("""COMPUTED_VALUE"""),"0425")</f>
        <v>0425</v>
      </c>
      <c r="U507" s="4">
        <f>IFERROR(__xludf.DUMMYFUNCTION("""COMPUTED_VALUE"""),38.0)</f>
        <v>38</v>
      </c>
      <c r="V507" s="4" t="str">
        <f>IFERROR(__xludf.DUMMYFUNCTION("""COMPUTED_VALUE"""),"Tape")</f>
        <v>Tape</v>
      </c>
      <c r="W507" s="4" t="str">
        <f>IFERROR(__xludf.DUMMYFUNCTION("""COMPUTED_VALUE"""),"0325")</f>
        <v>0325</v>
      </c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</row>
    <row r="508">
      <c r="A508" s="4" t="str">
        <f>IFERROR(__xludf.DUMMYFUNCTION("""COMPUTED_VALUE"""),"IC:   OPAMP 1 CIRCUIT   [TLV9061SIDBVR] [SOT-23-6]")</f>
        <v>IC:   OPAMP 1 CIRCUIT   [TLV9061SIDBVR] [SOT-23-6]</v>
      </c>
      <c r="B508" s="4" t="str">
        <f>IFERROR(__xludf.DUMMYFUNCTION("""COMPUTED_VALUE"""),"OEPS080202")</f>
        <v>OEPS080202</v>
      </c>
      <c r="C508" s="4" t="str">
        <f>IFERROR(__xludf.DUMMYFUNCTION("""COMPUTED_VALUE"""),"SMD")</f>
        <v>SMD</v>
      </c>
      <c r="D508" s="4" t="str">
        <f>IFERROR(__xludf.DUMMYFUNCTION("""COMPUTED_VALUE"""),"TLV9061SIDBVR")</f>
        <v>TLV9061SIDBVR</v>
      </c>
      <c r="E508" s="4">
        <f>IFERROR(__xludf.DUMMYFUNCTION("""COMPUTED_VALUE"""),5.0)</f>
        <v>5</v>
      </c>
      <c r="F508" s="4" t="str">
        <f>IFERROR(__xludf.DUMMYFUNCTION("""COMPUTED_VALUE"""),"Digikey")</f>
        <v>Digikey</v>
      </c>
      <c r="G508" s="4" t="str">
        <f>IFERROR(__xludf.DUMMYFUNCTION("""COMPUTED_VALUE"""),"296-53200-6-ND")</f>
        <v>296-53200-6-ND</v>
      </c>
      <c r="H508" s="4"/>
      <c r="I508" s="4"/>
      <c r="J508" s="4"/>
      <c r="K508" s="4"/>
      <c r="L508" s="4"/>
      <c r="M508" s="4"/>
      <c r="N508" s="9" t="str">
        <f>IFERROR(__xludf.DUMMYFUNCTION("""COMPUTED_VALUE"""),"OEPS010068")</f>
        <v>OEPS010068</v>
      </c>
      <c r="O508" s="4" t="str">
        <f>IFERROR(__xludf.DUMMYFUNCTION("""COMPUTED_VALUE"""),"399-C0402C273K4RACTUDKR-ND")</f>
        <v>399-C0402C273K4RACTUDKR-ND</v>
      </c>
      <c r="P508" s="4" t="str">
        <f>IFERROR(__xludf.DUMMYFUNCTION("""COMPUTED_VALUE"""),"85(Tp) ")</f>
        <v>85(Tp) </v>
      </c>
      <c r="Q508" s="4">
        <f>IFERROR(__xludf.DUMMYFUNCTION("""COMPUTED_VALUE"""),85.0)</f>
        <v>85</v>
      </c>
      <c r="R508" s="4">
        <f>IFERROR(__xludf.DUMMYFUNCTION("""COMPUTED_VALUE"""),85.0)</f>
        <v>85</v>
      </c>
      <c r="S508" s="4" t="str">
        <f>IFERROR(__xludf.DUMMYFUNCTION("""COMPUTED_VALUE"""),"Tape")</f>
        <v>Tape</v>
      </c>
      <c r="T508" s="4" t="str">
        <f>IFERROR(__xludf.DUMMYFUNCTION("""COMPUTED_VALUE"""),"0325")</f>
        <v>0325</v>
      </c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</row>
    <row r="509">
      <c r="A509" s="4" t="str">
        <f>IFERROR(__xludf.DUMMYFUNCTION("""COMPUTED_VALUE"""),"IC:   OPAMP GP 1 CIRCUIT   [MAX40111ANT+] [WLP-6]")</f>
        <v>IC:   OPAMP GP 1 CIRCUIT   [MAX40111ANT+] [WLP-6]</v>
      </c>
      <c r="B509" s="4" t="str">
        <f>IFERROR(__xludf.DUMMYFUNCTION("""COMPUTED_VALUE"""),"OEPS080048")</f>
        <v>OEPS080048</v>
      </c>
      <c r="C509" s="4" t="str">
        <f>IFERROR(__xludf.DUMMYFUNCTION("""COMPUTED_VALUE"""),"SMD")</f>
        <v>SMD</v>
      </c>
      <c r="D509" s="4" t="str">
        <f>IFERROR(__xludf.DUMMYFUNCTION("""COMPUTED_VALUE"""),"MAX40111ANT+")</f>
        <v>MAX40111ANT+</v>
      </c>
      <c r="E509" s="4">
        <f>IFERROR(__xludf.DUMMYFUNCTION("""COMPUTED_VALUE"""),3.0)</f>
        <v>3</v>
      </c>
      <c r="F509" s="4" t="str">
        <f>IFERROR(__xludf.DUMMYFUNCTION("""COMPUTED_VALUE"""),"DigiKey")</f>
        <v>DigiKey</v>
      </c>
      <c r="G509" s="4" t="str">
        <f>IFERROR(__xludf.DUMMYFUNCTION("""COMPUTED_VALUE"""),"175-MAX40111ANT+-ND")</f>
        <v>175-MAX40111ANT+-ND</v>
      </c>
      <c r="H509" s="4"/>
      <c r="I509" s="4"/>
      <c r="J509" s="4"/>
      <c r="K509" s="4"/>
      <c r="L509" s="4"/>
      <c r="M509" s="4"/>
      <c r="N509" s="9" t="str">
        <f>IFERROR(__xludf.DUMMYFUNCTION("""COMPUTED_VALUE"""),"OEPS010069")</f>
        <v>OEPS010069</v>
      </c>
      <c r="O509" s="4" t="str">
        <f>IFERROR(__xludf.DUMMYFUNCTION("""COMPUTED_VALUE"""),"GRM033R61C273KE84D")</f>
        <v>GRM033R61C273KE84D</v>
      </c>
      <c r="P509" s="4" t="str">
        <f>IFERROR(__xludf.DUMMYFUNCTION("""COMPUTED_VALUE"""),"124(Tp) ")</f>
        <v>124(Tp) </v>
      </c>
      <c r="Q509" s="4">
        <f>IFERROR(__xludf.DUMMYFUNCTION("""COMPUTED_VALUE"""),124.0)</f>
        <v>124</v>
      </c>
      <c r="R509" s="4">
        <f>IFERROR(__xludf.DUMMYFUNCTION("""COMPUTED_VALUE"""),124.0)</f>
        <v>124</v>
      </c>
      <c r="S509" s="4" t="str">
        <f>IFERROR(__xludf.DUMMYFUNCTION("""COMPUTED_VALUE"""),"Tape")</f>
        <v>Tape</v>
      </c>
      <c r="T509" s="4" t="str">
        <f>IFERROR(__xludf.DUMMYFUNCTION("""COMPUTED_VALUE"""),"0825")</f>
        <v>0825</v>
      </c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</row>
    <row r="510">
      <c r="A510" s="4" t="str">
        <f>IFERROR(__xludf.DUMMYFUNCTION("""COMPUTED_VALUE"""),"IC:   OPAMP GP 1 CIRCUIT   [MCP6001T-I/OT] [SOT-23-5]")</f>
        <v>IC:   OPAMP GP 1 CIRCUIT   [MCP6001T-I/OT] [SOT-23-5]</v>
      </c>
      <c r="B510" s="4" t="str">
        <f>IFERROR(__xludf.DUMMYFUNCTION("""COMPUTED_VALUE"""),"OEPS080190")</f>
        <v>OEPS080190</v>
      </c>
      <c r="C510" s="4" t="str">
        <f>IFERROR(__xludf.DUMMYFUNCTION("""COMPUTED_VALUE"""),"SMD")</f>
        <v>SMD</v>
      </c>
      <c r="D510" s="4" t="str">
        <f>IFERROR(__xludf.DUMMYFUNCTION("""COMPUTED_VALUE"""),"MCP6001T-I/OT")</f>
        <v>MCP6001T-I/OT</v>
      </c>
      <c r="E510" s="4">
        <f>IFERROR(__xludf.DUMMYFUNCTION("""COMPUTED_VALUE"""),3.0)</f>
        <v>3</v>
      </c>
      <c r="F510" s="4" t="str">
        <f>IFERROR(__xludf.DUMMYFUNCTION("""COMPUTED_VALUE"""),"DigiKey")</f>
        <v>DigiKey</v>
      </c>
      <c r="G510" s="4" t="str">
        <f>IFERROR(__xludf.DUMMYFUNCTION("""COMPUTED_VALUE"""),"MCP6001T-I/OTDKR-ND")</f>
        <v>MCP6001T-I/OTDKR-ND</v>
      </c>
      <c r="H510" s="4"/>
      <c r="I510" s="4"/>
      <c r="J510" s="4"/>
      <c r="K510" s="4"/>
      <c r="L510" s="4"/>
      <c r="M510" s="4"/>
      <c r="N510" s="9" t="str">
        <f>IFERROR(__xludf.DUMMYFUNCTION("""COMPUTED_VALUE"""),"OEPS010070")</f>
        <v>OEPS010070</v>
      </c>
      <c r="O510" s="4" t="str">
        <f>IFERROR(__xludf.DUMMYFUNCTION("""COMPUTED_VALUE"""),"0603N750J500CT")</f>
        <v>0603N750J500CT</v>
      </c>
      <c r="P510" s="4" t="str">
        <f>IFERROR(__xludf.DUMMYFUNCTION("""COMPUTED_VALUE"""),"9(Tp) 7(Tp) ")</f>
        <v>9(Tp) 7(Tp) </v>
      </c>
      <c r="Q510" s="4">
        <f>IFERROR(__xludf.DUMMYFUNCTION("""COMPUTED_VALUE"""),16.0)</f>
        <v>16</v>
      </c>
      <c r="R510" s="4">
        <f>IFERROR(__xludf.DUMMYFUNCTION("""COMPUTED_VALUE"""),9.0)</f>
        <v>9</v>
      </c>
      <c r="S510" s="4" t="str">
        <f>IFERROR(__xludf.DUMMYFUNCTION("""COMPUTED_VALUE"""),"Tape")</f>
        <v>Tape</v>
      </c>
      <c r="T510" s="4" t="str">
        <f>IFERROR(__xludf.DUMMYFUNCTION("""COMPUTED_VALUE"""),"0325")</f>
        <v>0325</v>
      </c>
      <c r="U510" s="4">
        <f>IFERROR(__xludf.DUMMYFUNCTION("""COMPUTED_VALUE"""),7.0)</f>
        <v>7</v>
      </c>
      <c r="V510" s="4" t="str">
        <f>IFERROR(__xludf.DUMMYFUNCTION("""COMPUTED_VALUE"""),"Tape")</f>
        <v>Tape</v>
      </c>
      <c r="W510" s="4" t="str">
        <f>IFERROR(__xludf.DUMMYFUNCTION("""COMPUTED_VALUE"""),"1124")</f>
        <v>1124</v>
      </c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</row>
    <row r="511">
      <c r="A511" s="4" t="str">
        <f>IFERROR(__xludf.DUMMYFUNCTION("""COMPUTED_VALUE"""),"IC:   OPAMP GP 1 CIRCUIT   [OPA197IDBVT] [SOT-23-5]")</f>
        <v>IC:   OPAMP GP 1 CIRCUIT   [OPA197IDBVT] [SOT-23-5]</v>
      </c>
      <c r="B511" s="4" t="str">
        <f>IFERROR(__xludf.DUMMYFUNCTION("""COMPUTED_VALUE"""),"OEPS080151")</f>
        <v>OEPS080151</v>
      </c>
      <c r="C511" s="4" t="str">
        <f>IFERROR(__xludf.DUMMYFUNCTION("""COMPUTED_VALUE"""),"SMD")</f>
        <v>SMD</v>
      </c>
      <c r="D511" s="4" t="str">
        <f>IFERROR(__xludf.DUMMYFUNCTION("""COMPUTED_VALUE"""),"OPA197IDBVT")</f>
        <v>OPA197IDBVT</v>
      </c>
      <c r="E511" s="4">
        <f>IFERROR(__xludf.DUMMYFUNCTION("""COMPUTED_VALUE"""),3.0)</f>
        <v>3</v>
      </c>
      <c r="F511" s="4" t="str">
        <f>IFERROR(__xludf.DUMMYFUNCTION("""COMPUTED_VALUE"""),"DigiKey")</f>
        <v>DigiKey</v>
      </c>
      <c r="G511" s="4" t="str">
        <f>IFERROR(__xludf.DUMMYFUNCTION("""COMPUTED_VALUE"""),"296-44076-6-ND")</f>
        <v>296-44076-6-ND</v>
      </c>
      <c r="H511" s="4"/>
      <c r="I511" s="4"/>
      <c r="J511" s="4"/>
      <c r="K511" s="4"/>
      <c r="L511" s="4"/>
      <c r="M511" s="4"/>
      <c r="N511" s="9" t="str">
        <f>IFERROR(__xludf.DUMMYFUNCTION("""COMPUTED_VALUE"""),"OEPS010071")</f>
        <v>OEPS010071</v>
      </c>
      <c r="O511" s="4" t="str">
        <f>IFERROR(__xludf.DUMMYFUNCTION("""COMPUTED_VALUE"""),"CL31A226KPHNNNE")</f>
        <v>CL31A226KPHNNNE</v>
      </c>
      <c r="P511" s="4" t="str">
        <f>IFERROR(__xludf.DUMMYFUNCTION("""COMPUTED_VALUE"""),"3(Tp) 2(Tp) 4(Tp) 1094(Tp) 700(R) ")</f>
        <v>3(Tp) 2(Tp) 4(Tp) 1094(Tp) 700(R) </v>
      </c>
      <c r="Q511" s="4">
        <f>IFERROR(__xludf.DUMMYFUNCTION("""COMPUTED_VALUE"""),1803.0)</f>
        <v>1803</v>
      </c>
      <c r="R511" s="4">
        <f>IFERROR(__xludf.DUMMYFUNCTION("""COMPUTED_VALUE"""),3.0)</f>
        <v>3</v>
      </c>
      <c r="S511" s="4" t="str">
        <f>IFERROR(__xludf.DUMMYFUNCTION("""COMPUTED_VALUE"""),"Tape")</f>
        <v>Tape</v>
      </c>
      <c r="T511" s="4" t="str">
        <f>IFERROR(__xludf.DUMMYFUNCTION("""COMPUTED_VALUE"""),"1124")</f>
        <v>1124</v>
      </c>
      <c r="U511" s="4">
        <f>IFERROR(__xludf.DUMMYFUNCTION("""COMPUTED_VALUE"""),2.0)</f>
        <v>2</v>
      </c>
      <c r="V511" s="4" t="str">
        <f>IFERROR(__xludf.DUMMYFUNCTION("""COMPUTED_VALUE"""),"Tape")</f>
        <v>Tape</v>
      </c>
      <c r="W511" s="4" t="str">
        <f>IFERROR(__xludf.DUMMYFUNCTION("""COMPUTED_VALUE"""),"0325")</f>
        <v>0325</v>
      </c>
      <c r="X511" s="4">
        <f>IFERROR(__xludf.DUMMYFUNCTION("""COMPUTED_VALUE"""),4.0)</f>
        <v>4</v>
      </c>
      <c r="Y511" s="4" t="str">
        <f>IFERROR(__xludf.DUMMYFUNCTION("""COMPUTED_VALUE"""),"Tape")</f>
        <v>Tape</v>
      </c>
      <c r="Z511" s="4" t="str">
        <f>IFERROR(__xludf.DUMMYFUNCTION("""COMPUTED_VALUE"""),"0125")</f>
        <v>0125</v>
      </c>
      <c r="AA511" s="4">
        <f>IFERROR(__xludf.DUMMYFUNCTION("""COMPUTED_VALUE"""),1094.0)</f>
        <v>1094</v>
      </c>
      <c r="AB511" s="4" t="str">
        <f>IFERROR(__xludf.DUMMYFUNCTION("""COMPUTED_VALUE"""),"Tape")</f>
        <v>Tape</v>
      </c>
      <c r="AC511" s="4" t="str">
        <f>IFERROR(__xludf.DUMMYFUNCTION("""COMPUTED_VALUE"""),"0325")</f>
        <v>0325</v>
      </c>
      <c r="AD511" s="4">
        <f>IFERROR(__xludf.DUMMYFUNCTION("""COMPUTED_VALUE"""),700.0)</f>
        <v>700</v>
      </c>
      <c r="AE511" s="4" t="str">
        <f>IFERROR(__xludf.DUMMYFUNCTION("""COMPUTED_VALUE"""),"Reel")</f>
        <v>Reel</v>
      </c>
      <c r="AF511" s="4" t="str">
        <f>IFERROR(__xludf.DUMMYFUNCTION("""COMPUTED_VALUE"""),"0425")</f>
        <v>0425</v>
      </c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</row>
    <row r="512">
      <c r="A512" s="4" t="str">
        <f>IFERROR(__xludf.DUMMYFUNCTION("""COMPUTED_VALUE"""),"IC:   OPAMP GP 1 CIRCUIT   [OPA197IDR] [8-SOIC]")</f>
        <v>IC:   OPAMP GP 1 CIRCUIT   [OPA197IDR] [8-SOIC]</v>
      </c>
      <c r="B512" s="4" t="str">
        <f>IFERROR(__xludf.DUMMYFUNCTION("""COMPUTED_VALUE"""),"OEPS080229")</f>
        <v>OEPS080229</v>
      </c>
      <c r="C512" s="4" t="str">
        <f>IFERROR(__xludf.DUMMYFUNCTION("""COMPUTED_VALUE"""),"SMD")</f>
        <v>SMD</v>
      </c>
      <c r="D512" s="4" t="str">
        <f>IFERROR(__xludf.DUMMYFUNCTION("""COMPUTED_VALUE"""),"OPA197IDR")</f>
        <v>OPA197IDR</v>
      </c>
      <c r="E512" s="4">
        <f>IFERROR(__xludf.DUMMYFUNCTION("""COMPUTED_VALUE"""),0.0)</f>
        <v>0</v>
      </c>
      <c r="F512" s="4" t="str">
        <f>IFERROR(__xludf.DUMMYFUNCTION("""COMPUTED_VALUE"""),"Digikey")</f>
        <v>Digikey</v>
      </c>
      <c r="G512" s="4" t="str">
        <f>IFERROR(__xludf.DUMMYFUNCTION("""COMPUTED_VALUE"""),"296-43866-6-ND")</f>
        <v>296-43866-6-ND</v>
      </c>
      <c r="H512" s="4"/>
      <c r="I512" s="4"/>
      <c r="J512" s="4"/>
      <c r="K512" s="4"/>
      <c r="L512" s="4"/>
      <c r="M512" s="4"/>
      <c r="N512" s="9" t="str">
        <f>IFERROR(__xludf.DUMMYFUNCTION("""COMPUTED_VALUE"""),"OEPS010072")</f>
        <v>OEPS010072</v>
      </c>
      <c r="O512" s="4" t="str">
        <f>IFERROR(__xludf.DUMMYFUNCTION("""COMPUTED_VALUE"""),"C1608C0G1H150J080AA")</f>
        <v>C1608C0G1H150J080AA</v>
      </c>
      <c r="P512" s="4" t="str">
        <f>IFERROR(__xludf.DUMMYFUNCTION("""COMPUTED_VALUE"""),"5(Tp) 2(Tp) ")</f>
        <v>5(Tp) 2(Tp) </v>
      </c>
      <c r="Q512" s="4">
        <f>IFERROR(__xludf.DUMMYFUNCTION("""COMPUTED_VALUE"""),7.0)</f>
        <v>7</v>
      </c>
      <c r="R512" s="4">
        <f>IFERROR(__xludf.DUMMYFUNCTION("""COMPUTED_VALUE"""),5.0)</f>
        <v>5</v>
      </c>
      <c r="S512" s="4" t="str">
        <f>IFERROR(__xludf.DUMMYFUNCTION("""COMPUTED_VALUE"""),"Tape")</f>
        <v>Tape</v>
      </c>
      <c r="T512" s="4" t="str">
        <f>IFERROR(__xludf.DUMMYFUNCTION("""COMPUTED_VALUE"""),"0325")</f>
        <v>0325</v>
      </c>
      <c r="U512" s="4">
        <f>IFERROR(__xludf.DUMMYFUNCTION("""COMPUTED_VALUE"""),2.0)</f>
        <v>2</v>
      </c>
      <c r="V512" s="4" t="str">
        <f>IFERROR(__xludf.DUMMYFUNCTION("""COMPUTED_VALUE"""),"Tape")</f>
        <v>Tape</v>
      </c>
      <c r="W512" s="4" t="str">
        <f>IFERROR(__xludf.DUMMYFUNCTION("""COMPUTED_VALUE"""),"1124")</f>
        <v>1124</v>
      </c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</row>
    <row r="513">
      <c r="A513" s="4" t="str">
        <f>IFERROR(__xludf.DUMMYFUNCTION("""COMPUTED_VALUE"""),"IC:   OPAMP GP 1 CIRCUIT   [OPA365AIDBVR] [SOT-23-5]")</f>
        <v>IC:   OPAMP GP 1 CIRCUIT   [OPA365AIDBVR] [SOT-23-5]</v>
      </c>
      <c r="B513" s="4" t="str">
        <f>IFERROR(__xludf.DUMMYFUNCTION("""COMPUTED_VALUE"""),"OEPS080149")</f>
        <v>OEPS080149</v>
      </c>
      <c r="C513" s="4" t="str">
        <f>IFERROR(__xludf.DUMMYFUNCTION("""COMPUTED_VALUE"""),"SMD")</f>
        <v>SMD</v>
      </c>
      <c r="D513" s="4" t="str">
        <f>IFERROR(__xludf.DUMMYFUNCTION("""COMPUTED_VALUE"""),"OPA365AIDBVR")</f>
        <v>OPA365AIDBVR</v>
      </c>
      <c r="E513" s="4">
        <f>IFERROR(__xludf.DUMMYFUNCTION("""COMPUTED_VALUE"""),5.0)</f>
        <v>5</v>
      </c>
      <c r="F513" s="4" t="str">
        <f>IFERROR(__xludf.DUMMYFUNCTION("""COMPUTED_VALUE"""),"DigiKey")</f>
        <v>DigiKey</v>
      </c>
      <c r="G513" s="4" t="str">
        <f>IFERROR(__xludf.DUMMYFUNCTION("""COMPUTED_VALUE"""),"296-20645-6-ND")</f>
        <v>296-20645-6-ND</v>
      </c>
      <c r="H513" s="4"/>
      <c r="I513" s="4"/>
      <c r="J513" s="4"/>
      <c r="K513" s="4"/>
      <c r="L513" s="4"/>
      <c r="M513" s="4"/>
      <c r="N513" s="9" t="str">
        <f>IFERROR(__xludf.DUMMYFUNCTION("""COMPUTED_VALUE"""),"OEPS010073")</f>
        <v>OEPS010073</v>
      </c>
      <c r="O513" s="4" t="str">
        <f>IFERROR(__xludf.DUMMYFUNCTION("""COMPUTED_VALUE"""),"C1608X7R2A102K080AA")</f>
        <v>C1608X7R2A102K080AA</v>
      </c>
      <c r="P513" s="4" t="str">
        <f>IFERROR(__xludf.DUMMYFUNCTION("""COMPUTED_VALUE"""),"2(Tp) ")</f>
        <v>2(Tp) </v>
      </c>
      <c r="Q513" s="4">
        <f>IFERROR(__xludf.DUMMYFUNCTION("""COMPUTED_VALUE"""),2.0)</f>
        <v>2</v>
      </c>
      <c r="R513" s="4">
        <f>IFERROR(__xludf.DUMMYFUNCTION("""COMPUTED_VALUE"""),2.0)</f>
        <v>2</v>
      </c>
      <c r="S513" s="4" t="str">
        <f>IFERROR(__xludf.DUMMYFUNCTION("""COMPUTED_VALUE"""),"Tape")</f>
        <v>Tape</v>
      </c>
      <c r="T513" s="4" t="str">
        <f>IFERROR(__xludf.DUMMYFUNCTION("""COMPUTED_VALUE"""),"1124")</f>
        <v>1124</v>
      </c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</row>
    <row r="514">
      <c r="A514" s="4" t="str">
        <f>IFERROR(__xludf.DUMMYFUNCTION("""COMPUTED_VALUE"""),"IC:   OPAMP GP 1 CIRCUIT (OEPS J05 030)   [LMV321IDCKR] [SC-70-5]")</f>
        <v>IC:   OPAMP GP 1 CIRCUIT (OEPS J05 030)   [LMV321IDCKR] [SC-70-5]</v>
      </c>
      <c r="B514" s="4" t="str">
        <f>IFERROR(__xludf.DUMMYFUNCTION("""COMPUTED_VALUE"""),"OEPS080068")</f>
        <v>OEPS080068</v>
      </c>
      <c r="C514" s="4" t="str">
        <f>IFERROR(__xludf.DUMMYFUNCTION("""COMPUTED_VALUE"""),"SMD")</f>
        <v>SMD</v>
      </c>
      <c r="D514" s="4" t="str">
        <f>IFERROR(__xludf.DUMMYFUNCTION("""COMPUTED_VALUE"""),"LMV321IDCKR")</f>
        <v>LMV321IDCKR</v>
      </c>
      <c r="E514" s="4">
        <f>IFERROR(__xludf.DUMMYFUNCTION("""COMPUTED_VALUE"""),5.0)</f>
        <v>5</v>
      </c>
      <c r="F514" s="4" t="str">
        <f>IFERROR(__xludf.DUMMYFUNCTION("""COMPUTED_VALUE"""),"DigiKey")</f>
        <v>DigiKey</v>
      </c>
      <c r="G514" s="4" t="str">
        <f>IFERROR(__xludf.DUMMYFUNCTION("""COMPUTED_VALUE"""),"296-9568-6-ND")</f>
        <v>296-9568-6-ND</v>
      </c>
      <c r="H514" s="4"/>
      <c r="I514" s="4"/>
      <c r="J514" s="4"/>
      <c r="K514" s="4"/>
      <c r="L514" s="4"/>
      <c r="M514" s="4"/>
      <c r="N514" s="9" t="str">
        <f>IFERROR(__xludf.DUMMYFUNCTION("""COMPUTED_VALUE"""),"OEPS010074")</f>
        <v>OEPS010074</v>
      </c>
      <c r="O514" s="4" t="str">
        <f>IFERROR(__xludf.DUMMYFUNCTION("""COMPUTED_VALUE"""),"C1608X7R103K080AA")</f>
        <v>C1608X7R103K080AA</v>
      </c>
      <c r="P514" s="4" t="str">
        <f>IFERROR(__xludf.DUMMYFUNCTION("""COMPUTED_VALUE"""),"2(Tp) 3(Tp) 1185(R) ")</f>
        <v>2(Tp) 3(Tp) 1185(R) </v>
      </c>
      <c r="Q514" s="4">
        <f>IFERROR(__xludf.DUMMYFUNCTION("""COMPUTED_VALUE"""),1190.0)</f>
        <v>1190</v>
      </c>
      <c r="R514" s="4">
        <f>IFERROR(__xludf.DUMMYFUNCTION("""COMPUTED_VALUE"""),2.0)</f>
        <v>2</v>
      </c>
      <c r="S514" s="4" t="str">
        <f>IFERROR(__xludf.DUMMYFUNCTION("""COMPUTED_VALUE"""),"Tape")</f>
        <v>Tape</v>
      </c>
      <c r="T514" s="4" t="str">
        <f>IFERROR(__xludf.DUMMYFUNCTION("""COMPUTED_VALUE"""),"1124")</f>
        <v>1124</v>
      </c>
      <c r="U514" s="4">
        <f>IFERROR(__xludf.DUMMYFUNCTION("""COMPUTED_VALUE"""),3.0)</f>
        <v>3</v>
      </c>
      <c r="V514" s="4" t="str">
        <f>IFERROR(__xludf.DUMMYFUNCTION("""COMPUTED_VALUE"""),"Tape")</f>
        <v>Tape</v>
      </c>
      <c r="W514" s="4" t="str">
        <f>IFERROR(__xludf.DUMMYFUNCTION("""COMPUTED_VALUE"""),"0325")</f>
        <v>0325</v>
      </c>
      <c r="X514" s="4">
        <f>IFERROR(__xludf.DUMMYFUNCTION("""COMPUTED_VALUE"""),1185.0)</f>
        <v>1185</v>
      </c>
      <c r="Y514" s="4" t="str">
        <f>IFERROR(__xludf.DUMMYFUNCTION("""COMPUTED_VALUE"""),"Reel")</f>
        <v>Reel</v>
      </c>
      <c r="Z514" s="4" t="str">
        <f>IFERROR(__xludf.DUMMYFUNCTION("""COMPUTED_VALUE"""),"0425")</f>
        <v>0425</v>
      </c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</row>
    <row r="515">
      <c r="A515" s="4" t="str">
        <f>IFERROR(__xludf.DUMMYFUNCTION("""COMPUTED_VALUE"""),"IC:   OPAMP GP 2 CIRCUIT   [AS358P-E1] [8-DIP]")</f>
        <v>IC:   OPAMP GP 2 CIRCUIT   [AS358P-E1] [8-DIP]</v>
      </c>
      <c r="B515" s="4" t="str">
        <f>IFERROR(__xludf.DUMMYFUNCTION("""COMPUTED_VALUE"""),"OEPS080044")</f>
        <v>OEPS080044</v>
      </c>
      <c r="C515" s="4" t="str">
        <f>IFERROR(__xludf.DUMMYFUNCTION("""COMPUTED_VALUE"""),"SMD")</f>
        <v>SMD</v>
      </c>
      <c r="D515" s="4" t="str">
        <f>IFERROR(__xludf.DUMMYFUNCTION("""COMPUTED_VALUE"""),"AS358P-E1")</f>
        <v>AS358P-E1</v>
      </c>
      <c r="E515" s="4">
        <f>IFERROR(__xludf.DUMMYFUNCTION("""COMPUTED_VALUE"""),0.0)</f>
        <v>0</v>
      </c>
      <c r="F515" s="4" t="str">
        <f>IFERROR(__xludf.DUMMYFUNCTION("""COMPUTED_VALUE"""),"DigiKey")</f>
        <v>DigiKey</v>
      </c>
      <c r="G515" s="4" t="str">
        <f>IFERROR(__xludf.DUMMYFUNCTION("""COMPUTED_VALUE"""),"AS358P-E1DI-ND")</f>
        <v>AS358P-E1DI-ND</v>
      </c>
      <c r="H515" s="4"/>
      <c r="I515" s="4"/>
      <c r="J515" s="4"/>
      <c r="K515" s="4"/>
      <c r="L515" s="4"/>
      <c r="M515" s="4"/>
      <c r="N515" s="9" t="str">
        <f>IFERROR(__xludf.DUMMYFUNCTION("""COMPUTED_VALUE"""),"OEPS010075")</f>
        <v>OEPS010075</v>
      </c>
      <c r="O515" s="4" t="str">
        <f>IFERROR(__xludf.DUMMYFUNCTION("""COMPUTED_VALUE"""),"GRM188R61E225KA12D")</f>
        <v>GRM188R61E225KA12D</v>
      </c>
      <c r="P515" s="4" t="str">
        <f>IFERROR(__xludf.DUMMYFUNCTION("""COMPUTED_VALUE"""),"11(Tp) ")</f>
        <v>11(Tp) </v>
      </c>
      <c r="Q515" s="4">
        <f>IFERROR(__xludf.DUMMYFUNCTION("""COMPUTED_VALUE"""),11.0)</f>
        <v>11</v>
      </c>
      <c r="R515" s="4">
        <f>IFERROR(__xludf.DUMMYFUNCTION("""COMPUTED_VALUE"""),11.0)</f>
        <v>11</v>
      </c>
      <c r="S515" s="4" t="str">
        <f>IFERROR(__xludf.DUMMYFUNCTION("""COMPUTED_VALUE"""),"Tape")</f>
        <v>Tape</v>
      </c>
      <c r="T515" s="4" t="str">
        <f>IFERROR(__xludf.DUMMYFUNCTION("""COMPUTED_VALUE"""),"0925")</f>
        <v>0925</v>
      </c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</row>
    <row r="516">
      <c r="A516" s="4" t="str">
        <f>IFERROR(__xludf.DUMMYFUNCTION("""COMPUTED_VALUE"""),"IC:   OPAMP GP 2 CIRCUIT   [MAX4489AUA+] [8-MSOP]")</f>
        <v>IC:   OPAMP GP 2 CIRCUIT   [MAX4489AUA+] [8-MSOP]</v>
      </c>
      <c r="B516" s="4" t="str">
        <f>IFERROR(__xludf.DUMMYFUNCTION("""COMPUTED_VALUE"""),"OEPS080197")</f>
        <v>OEPS080197</v>
      </c>
      <c r="C516" s="4" t="str">
        <f>IFERROR(__xludf.DUMMYFUNCTION("""COMPUTED_VALUE"""),"SMD")</f>
        <v>SMD</v>
      </c>
      <c r="D516" s="4" t="str">
        <f>IFERROR(__xludf.DUMMYFUNCTION("""COMPUTED_VALUE"""),"MAX4489AUA+")</f>
        <v>MAX4489AUA+</v>
      </c>
      <c r="E516" s="4">
        <f>IFERROR(__xludf.DUMMYFUNCTION("""COMPUTED_VALUE"""),1.0)</f>
        <v>1</v>
      </c>
      <c r="F516" s="4" t="str">
        <f>IFERROR(__xludf.DUMMYFUNCTION("""COMPUTED_VALUE"""),"DigiKey")</f>
        <v>DigiKey</v>
      </c>
      <c r="G516" s="4" t="str">
        <f>IFERROR(__xludf.DUMMYFUNCTION("""COMPUTED_VALUE"""),"MAX4489AUA+-ND")</f>
        <v>MAX4489AUA+-ND</v>
      </c>
      <c r="H516" s="4"/>
      <c r="I516" s="4"/>
      <c r="J516" s="4"/>
      <c r="K516" s="4"/>
      <c r="L516" s="4"/>
      <c r="M516" s="4"/>
      <c r="N516" s="9" t="str">
        <f>IFERROR(__xludf.DUMMYFUNCTION("""COMPUTED_VALUE"""),"OEPS010077")</f>
        <v>OEPS010077</v>
      </c>
      <c r="O516" s="4" t="str">
        <f>IFERROR(__xludf.DUMMYFUNCTION("""COMPUTED_VALUE"""),"C2012X7R2A104K")</f>
        <v>C2012X7R2A104K</v>
      </c>
      <c r="P516" s="4" t="str">
        <f>IFERROR(__xludf.DUMMYFUNCTION("""COMPUTED_VALUE"""),"9(Tp) ")</f>
        <v>9(Tp) </v>
      </c>
      <c r="Q516" s="4">
        <f>IFERROR(__xludf.DUMMYFUNCTION("""COMPUTED_VALUE"""),9.0)</f>
        <v>9</v>
      </c>
      <c r="R516" s="4">
        <f>IFERROR(__xludf.DUMMYFUNCTION("""COMPUTED_VALUE"""),9.0)</f>
        <v>9</v>
      </c>
      <c r="S516" s="4" t="str">
        <f>IFERROR(__xludf.DUMMYFUNCTION("""COMPUTED_VALUE"""),"Tape")</f>
        <v>Tape</v>
      </c>
      <c r="T516" s="4" t="str">
        <f>IFERROR(__xludf.DUMMYFUNCTION("""COMPUTED_VALUE"""),"0326")</f>
        <v>0326</v>
      </c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</row>
    <row r="517">
      <c r="A517" s="4" t="str">
        <f>IFERROR(__xludf.DUMMYFUNCTION("""COMPUTED_VALUE"""),"IC:   OPAMP GP 2 CIRCUIT   [TLV272CDGKR] [TSSOP-8]")</f>
        <v>IC:   OPAMP GP 2 CIRCUIT   [TLV272CDGKR] [TSSOP-8]</v>
      </c>
      <c r="B517" s="4" t="str">
        <f>IFERROR(__xludf.DUMMYFUNCTION("""COMPUTED_VALUE"""),"OEPS080019")</f>
        <v>OEPS080019</v>
      </c>
      <c r="C517" s="4" t="str">
        <f>IFERROR(__xludf.DUMMYFUNCTION("""COMPUTED_VALUE"""),"SMD")</f>
        <v>SMD</v>
      </c>
      <c r="D517" s="4" t="str">
        <f>IFERROR(__xludf.DUMMYFUNCTION("""COMPUTED_VALUE"""),"TLV272CDGKR")</f>
        <v>TLV272CDGKR</v>
      </c>
      <c r="E517" s="4">
        <f>IFERROR(__xludf.DUMMYFUNCTION("""COMPUTED_VALUE"""),5.0)</f>
        <v>5</v>
      </c>
      <c r="F517" s="4" t="str">
        <f>IFERROR(__xludf.DUMMYFUNCTION("""COMPUTED_VALUE"""),"DigiKey")</f>
        <v>DigiKey</v>
      </c>
      <c r="G517" s="4" t="str">
        <f>IFERROR(__xludf.DUMMYFUNCTION("""COMPUTED_VALUE"""),"296-26805-6-ND")</f>
        <v>296-26805-6-ND</v>
      </c>
      <c r="H517" s="4"/>
      <c r="I517" s="4"/>
      <c r="J517" s="4"/>
      <c r="K517" s="4"/>
      <c r="L517" s="4"/>
      <c r="M517" s="4"/>
      <c r="N517" s="9" t="str">
        <f>IFERROR(__xludf.DUMMYFUNCTION("""COMPUTED_VALUE"""),"OEPS010078")</f>
        <v>OEPS010078</v>
      </c>
      <c r="O517" s="4" t="str">
        <f>IFERROR(__xludf.DUMMYFUNCTION("""COMPUTED_VALUE"""),"CC0603JRNP09BN101")</f>
        <v>CC0603JRNP09BN101</v>
      </c>
      <c r="P517" s="4" t="str">
        <f>IFERROR(__xludf.DUMMYFUNCTION("""COMPUTED_VALUE"""),"12(Tp) ")</f>
        <v>12(Tp) </v>
      </c>
      <c r="Q517" s="4">
        <f>IFERROR(__xludf.DUMMYFUNCTION("""COMPUTED_VALUE"""),12.0)</f>
        <v>12</v>
      </c>
      <c r="R517" s="4">
        <f>IFERROR(__xludf.DUMMYFUNCTION("""COMPUTED_VALUE"""),12.0)</f>
        <v>12</v>
      </c>
      <c r="S517" s="4" t="str">
        <f>IFERROR(__xludf.DUMMYFUNCTION("""COMPUTED_VALUE"""),"Tape")</f>
        <v>Tape</v>
      </c>
      <c r="T517" s="4" t="str">
        <f>IFERROR(__xludf.DUMMYFUNCTION("""COMPUTED_VALUE"""),"0425")</f>
        <v>0425</v>
      </c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</row>
    <row r="518">
      <c r="A518" s="4" t="str">
        <f>IFERROR(__xludf.DUMMYFUNCTION("""COMPUTED_VALUE"""),"IC:   OPAMP GP 4 CIRCUIT   [MC33204DR2G] [14-SOIC]")</f>
        <v>IC:   OPAMP GP 4 CIRCUIT   [MC33204DR2G] [14-SOIC]</v>
      </c>
      <c r="B518" s="4" t="str">
        <f>IFERROR(__xludf.DUMMYFUNCTION("""COMPUTED_VALUE"""),"OEPS080128")</f>
        <v>OEPS080128</v>
      </c>
      <c r="C518" s="4" t="str">
        <f>IFERROR(__xludf.DUMMYFUNCTION("""COMPUTED_VALUE"""),"SMD")</f>
        <v>SMD</v>
      </c>
      <c r="D518" s="4" t="str">
        <f>IFERROR(__xludf.DUMMYFUNCTION("""COMPUTED_VALUE"""),"MC33204DR2G")</f>
        <v>MC33204DR2G</v>
      </c>
      <c r="E518" s="4">
        <f>IFERROR(__xludf.DUMMYFUNCTION("""COMPUTED_VALUE"""),3.0)</f>
        <v>3</v>
      </c>
      <c r="F518" s="4" t="str">
        <f>IFERROR(__xludf.DUMMYFUNCTION("""COMPUTED_VALUE"""),"Digikey")</f>
        <v>Digikey</v>
      </c>
      <c r="G518" s="4" t="str">
        <f>IFERROR(__xludf.DUMMYFUNCTION("""COMPUTED_VALUE"""),"MC33204DR2GOSDKR-ND")</f>
        <v>MC33204DR2GOSDKR-ND</v>
      </c>
      <c r="H518" s="4"/>
      <c r="I518" s="4"/>
      <c r="J518" s="4"/>
      <c r="K518" s="4"/>
      <c r="L518" s="4"/>
      <c r="M518" s="4"/>
      <c r="N518" s="9" t="str">
        <f>IFERROR(__xludf.DUMMYFUNCTION("""COMPUTED_VALUE"""),"OEPS010079")</f>
        <v>OEPS010079</v>
      </c>
      <c r="O518" s="4" t="str">
        <f>IFERROR(__xludf.DUMMYFUNCTION("""COMPUTED_VALUE"""),"C0402C102J5RACTU")</f>
        <v>C0402C102J5RACTU</v>
      </c>
      <c r="P518" s="4" t="str">
        <f>IFERROR(__xludf.DUMMYFUNCTION("""COMPUTED_VALUE"""),"4(Tp) ")</f>
        <v>4(Tp) </v>
      </c>
      <c r="Q518" s="4">
        <f>IFERROR(__xludf.DUMMYFUNCTION("""COMPUTED_VALUE"""),4.0)</f>
        <v>4</v>
      </c>
      <c r="R518" s="4">
        <f>IFERROR(__xludf.DUMMYFUNCTION("""COMPUTED_VALUE"""),4.0)</f>
        <v>4</v>
      </c>
      <c r="S518" s="4" t="str">
        <f>IFERROR(__xludf.DUMMYFUNCTION("""COMPUTED_VALUE"""),"Tape")</f>
        <v>Tape</v>
      </c>
      <c r="T518" s="4" t="str">
        <f>IFERROR(__xludf.DUMMYFUNCTION("""COMPUTED_VALUE"""),"0325")</f>
        <v>0325</v>
      </c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</row>
    <row r="519">
      <c r="A519" s="4" t="str">
        <f>IFERROR(__xludf.DUMMYFUNCTION("""COMPUTED_VALUE"""),"IC:   OPAMP GP 4 CIRCUIT (OEPS00031)   [OPA4170AIDR] [14-SOIC]")</f>
        <v>IC:   OPAMP GP 4 CIRCUIT (OEPS00031)   [OPA4170AIDR] [14-SOIC]</v>
      </c>
      <c r="B519" s="4" t="str">
        <f>IFERROR(__xludf.DUMMYFUNCTION("""COMPUTED_VALUE"""),"OEPS080132")</f>
        <v>OEPS080132</v>
      </c>
      <c r="C519" s="4" t="str">
        <f>IFERROR(__xludf.DUMMYFUNCTION("""COMPUTED_VALUE"""),"SMD")</f>
        <v>SMD</v>
      </c>
      <c r="D519" s="4" t="str">
        <f>IFERROR(__xludf.DUMMYFUNCTION("""COMPUTED_VALUE"""),"OPA4170AIDR")</f>
        <v>OPA4170AIDR</v>
      </c>
      <c r="E519" s="4">
        <f>IFERROR(__xludf.DUMMYFUNCTION("""COMPUTED_VALUE"""),2.0)</f>
        <v>2</v>
      </c>
      <c r="F519" s="4" t="str">
        <f>IFERROR(__xludf.DUMMYFUNCTION("""COMPUTED_VALUE"""),"Digikey")</f>
        <v>Digikey</v>
      </c>
      <c r="G519" s="4" t="str">
        <f>IFERROR(__xludf.DUMMYFUNCTION("""COMPUTED_VALUE"""),"296-29664-6-ND")</f>
        <v>296-29664-6-ND</v>
      </c>
      <c r="H519" s="4"/>
      <c r="I519" s="4"/>
      <c r="J519" s="4"/>
      <c r="K519" s="4"/>
      <c r="L519" s="4"/>
      <c r="M519" s="4"/>
      <c r="N519" s="9" t="str">
        <f>IFERROR(__xludf.DUMMYFUNCTION("""COMPUTED_VALUE"""),"OEPS010080")</f>
        <v>OEPS010080</v>
      </c>
      <c r="O519" s="4" t="str">
        <f>IFERROR(__xludf.DUMMYFUNCTION("""COMPUTED_VALUE"""),"CL05C220JB51PNC")</f>
        <v>CL05C220JB51PNC</v>
      </c>
      <c r="P519" s="4" t="str">
        <f>IFERROR(__xludf.DUMMYFUNCTION("""COMPUTED_VALUE"""),"4(Tp) 10(Tp) ")</f>
        <v>4(Tp) 10(Tp) </v>
      </c>
      <c r="Q519" s="4">
        <f>IFERROR(__xludf.DUMMYFUNCTION("""COMPUTED_VALUE"""),14.0)</f>
        <v>14</v>
      </c>
      <c r="R519" s="4">
        <f>IFERROR(__xludf.DUMMYFUNCTION("""COMPUTED_VALUE"""),4.0)</f>
        <v>4</v>
      </c>
      <c r="S519" s="4" t="str">
        <f>IFERROR(__xludf.DUMMYFUNCTION("""COMPUTED_VALUE"""),"Tape")</f>
        <v>Tape</v>
      </c>
      <c r="T519" s="4" t="str">
        <f>IFERROR(__xludf.DUMMYFUNCTION("""COMPUTED_VALUE"""),"0425")</f>
        <v>0425</v>
      </c>
      <c r="U519" s="4">
        <f>IFERROR(__xludf.DUMMYFUNCTION("""COMPUTED_VALUE"""),10.0)</f>
        <v>10</v>
      </c>
      <c r="V519" s="4" t="str">
        <f>IFERROR(__xludf.DUMMYFUNCTION("""COMPUTED_VALUE"""),"Tape")</f>
        <v>Tape</v>
      </c>
      <c r="W519" s="4" t="str">
        <f>IFERROR(__xludf.DUMMYFUNCTION("""COMPUTED_VALUE"""),"0825")</f>
        <v>0825</v>
      </c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</row>
    <row r="520">
      <c r="A520" s="4" t="str">
        <f>IFERROR(__xludf.DUMMYFUNCTION("""COMPUTED_VALUE"""),"IC:   OPAMP PGA 1 CIRCUIT   [LT1995CMS#PBF] [10-MSOP]")</f>
        <v>IC:   OPAMP PGA 1 CIRCUIT   [LT1995CMS#PBF] [10-MSOP]</v>
      </c>
      <c r="B520" s="4" t="str">
        <f>IFERROR(__xludf.DUMMYFUNCTION("""COMPUTED_VALUE"""),"OEPS080221")</f>
        <v>OEPS080221</v>
      </c>
      <c r="C520" s="4" t="str">
        <f>IFERROR(__xludf.DUMMYFUNCTION("""COMPUTED_VALUE"""),"SMD")</f>
        <v>SMD</v>
      </c>
      <c r="D520" s="4" t="str">
        <f>IFERROR(__xludf.DUMMYFUNCTION("""COMPUTED_VALUE"""),"LT1995CMS#PBF")</f>
        <v>LT1995CMS#PBF</v>
      </c>
      <c r="E520" s="4">
        <f>IFERROR(__xludf.DUMMYFUNCTION("""COMPUTED_VALUE"""),1.0)</f>
        <v>1</v>
      </c>
      <c r="F520" s="4" t="str">
        <f>IFERROR(__xludf.DUMMYFUNCTION("""COMPUTED_VALUE"""),"Mouser")</f>
        <v>Mouser</v>
      </c>
      <c r="G520" s="4" t="str">
        <f>IFERROR(__xludf.DUMMYFUNCTION("""COMPUTED_VALUE"""),"584-LT1995CMS#PBF")</f>
        <v>584-LT1995CMS#PBF</v>
      </c>
      <c r="H520" s="4"/>
      <c r="I520" s="4"/>
      <c r="J520" s="4"/>
      <c r="K520" s="4"/>
      <c r="L520" s="4"/>
      <c r="M520" s="4"/>
      <c r="N520" s="9" t="str">
        <f>IFERROR(__xludf.DUMMYFUNCTION("""COMPUTED_VALUE"""),"OEPS010081")</f>
        <v>OEPS010081</v>
      </c>
      <c r="O520" s="4" t="str">
        <f>IFERROR(__xludf.DUMMYFUNCTION("""COMPUTED_VALUE"""),"CL31B475KOHNNNE")</f>
        <v>CL31B475KOHNNNE</v>
      </c>
      <c r="P520" s="4" t="str">
        <f>IFERROR(__xludf.DUMMYFUNCTION("""COMPUTED_VALUE"""),"1(Tp) ")</f>
        <v>1(Tp) </v>
      </c>
      <c r="Q520" s="4">
        <f>IFERROR(__xludf.DUMMYFUNCTION("""COMPUTED_VALUE"""),1.0)</f>
        <v>1</v>
      </c>
      <c r="R520" s="4">
        <f>IFERROR(__xludf.DUMMYFUNCTION("""COMPUTED_VALUE"""),1.0)</f>
        <v>1</v>
      </c>
      <c r="S520" s="4" t="str">
        <f>IFERROR(__xludf.DUMMYFUNCTION("""COMPUTED_VALUE"""),"Tape")</f>
        <v>Tape</v>
      </c>
      <c r="T520" s="4" t="str">
        <f>IFERROR(__xludf.DUMMYFUNCTION("""COMPUTED_VALUE"""),"0425")</f>
        <v>0425</v>
      </c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</row>
    <row r="521">
      <c r="A521" s="4" t="str">
        <f>IFERROR(__xludf.DUMMYFUNCTION("""COMPUTED_VALUE"""),"IC:   OPAMP VFB 1 CIRCUIT   [THS4281DBVT] [SC-74A]")</f>
        <v>IC:   OPAMP VFB 1 CIRCUIT   [THS4281DBVT] [SC-74A]</v>
      </c>
      <c r="B521" s="4" t="str">
        <f>IFERROR(__xludf.DUMMYFUNCTION("""COMPUTED_VALUE"""),"OEPS080038")</f>
        <v>OEPS080038</v>
      </c>
      <c r="C521" s="4" t="str">
        <f>IFERROR(__xludf.DUMMYFUNCTION("""COMPUTED_VALUE"""),"SMD")</f>
        <v>SMD</v>
      </c>
      <c r="D521" s="4" t="str">
        <f>IFERROR(__xludf.DUMMYFUNCTION("""COMPUTED_VALUE"""),"THS4281DBVT")</f>
        <v>THS4281DBVT</v>
      </c>
      <c r="E521" s="4">
        <f>IFERROR(__xludf.DUMMYFUNCTION("""COMPUTED_VALUE"""),2.0)</f>
        <v>2</v>
      </c>
      <c r="F521" s="4" t="str">
        <f>IFERROR(__xludf.DUMMYFUNCTION("""COMPUTED_VALUE"""),"DigiKey")</f>
        <v>DigiKey</v>
      </c>
      <c r="G521" s="4" t="str">
        <f>IFERROR(__xludf.DUMMYFUNCTION("""COMPUTED_VALUE"""),"296-17000-6-ND")</f>
        <v>296-17000-6-ND</v>
      </c>
      <c r="H521" s="4"/>
      <c r="I521" s="4"/>
      <c r="J521" s="4"/>
      <c r="K521" s="4"/>
      <c r="L521" s="4"/>
      <c r="M521" s="4"/>
      <c r="N521" s="9" t="str">
        <f>IFERROR(__xludf.DUMMYFUNCTION("""COMPUTED_VALUE"""),"OEPS010084")</f>
        <v>OEPS010084</v>
      </c>
      <c r="O521" s="4" t="str">
        <f>IFERROR(__xludf.DUMMYFUNCTION("""COMPUTED_VALUE"""),"C0805C153K5RACTU")</f>
        <v>C0805C153K5RACTU</v>
      </c>
      <c r="P521" s="4" t="str">
        <f>IFERROR(__xludf.DUMMYFUNCTION("""COMPUTED_VALUE"""),"4 ")</f>
        <v>4 </v>
      </c>
      <c r="Q521" s="4">
        <f>IFERROR(__xludf.DUMMYFUNCTION("""COMPUTED_VALUE"""),4.0)</f>
        <v>4</v>
      </c>
      <c r="R521" s="4">
        <f>IFERROR(__xludf.DUMMYFUNCTION("""COMPUTED_VALUE"""),4.0)</f>
        <v>4</v>
      </c>
      <c r="S521" s="4" t="str">
        <f>IFERROR(__xludf.DUMMYFUNCTION("""COMPUTED_VALUE"""),"Bag")</f>
        <v>Bag</v>
      </c>
      <c r="T521" s="4" t="str">
        <f>IFERROR(__xludf.DUMMYFUNCTION("""COMPUTED_VALUE"""),"0425")</f>
        <v>0425</v>
      </c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</row>
    <row r="522">
      <c r="A522" s="4" t="str">
        <f>IFERROR(__xludf.DUMMYFUNCTION("""COMPUTED_VALUE"""),"IC:   Overvoltage protection   [LTC4360ISC8-1#TRMPBF] [SC70-8]")</f>
        <v>IC:   Overvoltage protection   [LTC4360ISC8-1#TRMPBF] [SC70-8]</v>
      </c>
      <c r="B522" s="4" t="str">
        <f>IFERROR(__xludf.DUMMYFUNCTION("""COMPUTED_VALUE"""),"OEPS080008")</f>
        <v>OEPS080008</v>
      </c>
      <c r="C522" s="4" t="str">
        <f>IFERROR(__xludf.DUMMYFUNCTION("""COMPUTED_VALUE"""),"SMD")</f>
        <v>SMD</v>
      </c>
      <c r="D522" s="4" t="str">
        <f>IFERROR(__xludf.DUMMYFUNCTION("""COMPUTED_VALUE"""),"LTC4360ISC8-1#TRMPBF")</f>
        <v>LTC4360ISC8-1#TRMPBF</v>
      </c>
      <c r="E522" s="4">
        <f>IFERROR(__xludf.DUMMYFUNCTION("""COMPUTED_VALUE"""),3.0)</f>
        <v>3</v>
      </c>
      <c r="F522" s="4" t="str">
        <f>IFERROR(__xludf.DUMMYFUNCTION("""COMPUTED_VALUE"""),"DigiKey")</f>
        <v>DigiKey</v>
      </c>
      <c r="G522" s="4" t="str">
        <f>IFERROR(__xludf.DUMMYFUNCTION("""COMPUTED_VALUE"""),"LTC4360ISC8-1#TRMPBFCT-ND")</f>
        <v>LTC4360ISC8-1#TRMPBFCT-ND</v>
      </c>
      <c r="H522" s="4"/>
      <c r="I522" s="4"/>
      <c r="J522" s="4"/>
      <c r="K522" s="4"/>
      <c r="L522" s="4"/>
      <c r="M522" s="4"/>
      <c r="N522" s="9" t="str">
        <f>IFERROR(__xludf.DUMMYFUNCTION("""COMPUTED_VALUE"""),"OEPS010086")</f>
        <v>OEPS010086</v>
      </c>
      <c r="O522" s="4" t="str">
        <f>IFERROR(__xludf.DUMMYFUNCTION("""COMPUTED_VALUE"""),"GRM1555C1H120JA01D")</f>
        <v>GRM1555C1H120JA01D</v>
      </c>
      <c r="P522" s="4" t="str">
        <f>IFERROR(__xludf.DUMMYFUNCTION("""COMPUTED_VALUE"""),"8(Tp) ")</f>
        <v>8(Tp) </v>
      </c>
      <c r="Q522" s="4">
        <f>IFERROR(__xludf.DUMMYFUNCTION("""COMPUTED_VALUE"""),8.0)</f>
        <v>8</v>
      </c>
      <c r="R522" s="4">
        <f>IFERROR(__xludf.DUMMYFUNCTION("""COMPUTED_VALUE"""),8.0)</f>
        <v>8</v>
      </c>
      <c r="S522" s="4" t="str">
        <f>IFERROR(__xludf.DUMMYFUNCTION("""COMPUTED_VALUE"""),"Tape")</f>
        <v>Tape</v>
      </c>
      <c r="T522" s="4" t="str">
        <f>IFERROR(__xludf.DUMMYFUNCTION("""COMPUTED_VALUE"""),"0925")</f>
        <v>0925</v>
      </c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</row>
    <row r="523">
      <c r="A523" s="4" t="str">
        <f>IFERROR(__xludf.DUMMYFUNCTION("""COMPUTED_VALUE"""),"IC:   OVERVOLTAGE PROTECTION   [TLV841SADL01YBHR] [4-DSBGA]")</f>
        <v>IC:   OVERVOLTAGE PROTECTION   [TLV841SADL01YBHR] [4-DSBGA]</v>
      </c>
      <c r="B523" s="4" t="str">
        <f>IFERROR(__xludf.DUMMYFUNCTION("""COMPUTED_VALUE"""),"OEPS080237")</f>
        <v>OEPS080237</v>
      </c>
      <c r="C523" s="4" t="str">
        <f>IFERROR(__xludf.DUMMYFUNCTION("""COMPUTED_VALUE"""),"SMD")</f>
        <v>SMD</v>
      </c>
      <c r="D523" s="4" t="str">
        <f>IFERROR(__xludf.DUMMYFUNCTION("""COMPUTED_VALUE"""),"TLV841SADL01YBHR")</f>
        <v>TLV841SADL01YBHR</v>
      </c>
      <c r="E523" s="4">
        <f>IFERROR(__xludf.DUMMYFUNCTION("""COMPUTED_VALUE"""),5.0)</f>
        <v>5</v>
      </c>
      <c r="F523" s="4" t="str">
        <f>IFERROR(__xludf.DUMMYFUNCTION("""COMPUTED_VALUE"""),"DigiKey")</f>
        <v>DigiKey</v>
      </c>
      <c r="G523" s="4" t="str">
        <f>IFERROR(__xludf.DUMMYFUNCTION("""COMPUTED_VALUE"""),"296-TLV841SADL01YBHRDKR-ND")</f>
        <v>296-TLV841SADL01YBHRDKR-ND</v>
      </c>
      <c r="H523" s="4"/>
      <c r="I523" s="4"/>
      <c r="J523" s="4"/>
      <c r="K523" s="4"/>
      <c r="L523" s="4"/>
      <c r="M523" s="4"/>
      <c r="N523" s="9" t="str">
        <f>IFERROR(__xludf.DUMMYFUNCTION("""COMPUTED_VALUE"""),"OEPS010088")</f>
        <v>OEPS010088</v>
      </c>
      <c r="O523" s="4" t="str">
        <f>IFERROR(__xludf.DUMMYFUNCTION("""COMPUTED_VALUE"""),"GRM21BR71E225KE11L")</f>
        <v>GRM21BR71E225KE11L</v>
      </c>
      <c r="P523" s="4" t="str">
        <f>IFERROR(__xludf.DUMMYFUNCTION("""COMPUTED_VALUE"""),"11(Tp) ")</f>
        <v>11(Tp) </v>
      </c>
      <c r="Q523" s="4">
        <f>IFERROR(__xludf.DUMMYFUNCTION("""COMPUTED_VALUE"""),11.0)</f>
        <v>11</v>
      </c>
      <c r="R523" s="4">
        <f>IFERROR(__xludf.DUMMYFUNCTION("""COMPUTED_VALUE"""),11.0)</f>
        <v>11</v>
      </c>
      <c r="S523" s="4" t="str">
        <f>IFERROR(__xludf.DUMMYFUNCTION("""COMPUTED_VALUE"""),"Tape")</f>
        <v>Tape</v>
      </c>
      <c r="T523" s="4" t="str">
        <f>IFERROR(__xludf.DUMMYFUNCTION("""COMPUTED_VALUE"""),"0126")</f>
        <v>0126</v>
      </c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</row>
    <row r="524">
      <c r="A524" s="4" t="str">
        <f>IFERROR(__xludf.DUMMYFUNCTION("""COMPUTED_VALUE"""),"IC:   PWR SWITCH N-CHAN   [TBD62083APG] [18-DIP]")</f>
        <v>IC:   PWR SWITCH N-CHAN   [TBD62083APG] [18-DIP]</v>
      </c>
      <c r="B524" s="4" t="str">
        <f>IFERROR(__xludf.DUMMYFUNCTION("""COMPUTED_VALUE"""),"OEPS080189")</f>
        <v>OEPS080189</v>
      </c>
      <c r="C524" s="4" t="str">
        <f>IFERROR(__xludf.DUMMYFUNCTION("""COMPUTED_VALUE"""),"SMD")</f>
        <v>SMD</v>
      </c>
      <c r="D524" s="4" t="str">
        <f>IFERROR(__xludf.DUMMYFUNCTION("""COMPUTED_VALUE"""),"TBD62083APG")</f>
        <v>TBD62083APG</v>
      </c>
      <c r="E524" s="4">
        <f>IFERROR(__xludf.DUMMYFUNCTION("""COMPUTED_VALUE"""),1.0)</f>
        <v>1</v>
      </c>
      <c r="F524" s="4" t="str">
        <f>IFERROR(__xludf.DUMMYFUNCTION("""COMPUTED_VALUE"""),"Digikey")</f>
        <v>Digikey</v>
      </c>
      <c r="G524" s="4" t="str">
        <f>IFERROR(__xludf.DUMMYFUNCTION("""COMPUTED_VALUE"""),"TBD62083APG-ND")</f>
        <v>TBD62083APG-ND</v>
      </c>
      <c r="H524" s="4"/>
      <c r="I524" s="4"/>
      <c r="J524" s="4"/>
      <c r="K524" s="4"/>
      <c r="L524" s="4"/>
      <c r="M524" s="4"/>
      <c r="N524" s="9" t="str">
        <f>IFERROR(__xludf.DUMMYFUNCTION("""COMPUTED_VALUE"""),"OEPS020001")</f>
        <v>OEPS020001</v>
      </c>
      <c r="O524" s="4" t="str">
        <f>IFERROR(__xludf.DUMMYFUNCTION("""COMPUTED_VALUE"""),"RC0402JR-070RL")</f>
        <v>RC0402JR-070RL</v>
      </c>
      <c r="P524" s="4" t="str">
        <f>IFERROR(__xludf.DUMMYFUNCTION("""COMPUTED_VALUE"""),"29(R) ")</f>
        <v>29(R) </v>
      </c>
      <c r="Q524" s="4">
        <f>IFERROR(__xludf.DUMMYFUNCTION("""COMPUTED_VALUE"""),29.0)</f>
        <v>29</v>
      </c>
      <c r="R524" s="4"/>
      <c r="S524" s="4"/>
      <c r="T524" s="4"/>
      <c r="U524" s="4"/>
      <c r="V524" s="4"/>
      <c r="W524" s="4"/>
      <c r="X524" s="4">
        <f>IFERROR(__xludf.DUMMYFUNCTION("""COMPUTED_VALUE"""),29.0)</f>
        <v>29</v>
      </c>
      <c r="Y524" s="4" t="str">
        <f>IFERROR(__xludf.DUMMYFUNCTION("""COMPUTED_VALUE"""),"Reel")</f>
        <v>Reel</v>
      </c>
      <c r="Z524" s="4" t="str">
        <f>IFERROR(__xludf.DUMMYFUNCTION("""COMPUTED_VALUE"""),"XXXX")</f>
        <v>XXXX</v>
      </c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</row>
    <row r="525">
      <c r="A525" s="4" t="str">
        <f>IFERROR(__xludf.DUMMYFUNCTION("""COMPUTED_VALUE"""),"IC:   PWR SWITCH P-CHAN 1:1   [MIC2004-0.5YM5-TR] [SOT-23-5]")</f>
        <v>IC:   PWR SWITCH P-CHAN 1:1   [MIC2004-0.5YM5-TR] [SOT-23-5]</v>
      </c>
      <c r="B525" s="4" t="str">
        <f>IFERROR(__xludf.DUMMYFUNCTION("""COMPUTED_VALUE"""),"OEPS080152")</f>
        <v>OEPS080152</v>
      </c>
      <c r="C525" s="4" t="str">
        <f>IFERROR(__xludf.DUMMYFUNCTION("""COMPUTED_VALUE"""),"SMD")</f>
        <v>SMD</v>
      </c>
      <c r="D525" s="4" t="str">
        <f>IFERROR(__xludf.DUMMYFUNCTION("""COMPUTED_VALUE"""),"MIC2004-0.5YM5-TR")</f>
        <v>MIC2004-0.5YM5-TR</v>
      </c>
      <c r="E525" s="4">
        <f>IFERROR(__xludf.DUMMYFUNCTION("""COMPUTED_VALUE"""),4.0)</f>
        <v>4</v>
      </c>
      <c r="F525" s="4" t="str">
        <f>IFERROR(__xludf.DUMMYFUNCTION("""COMPUTED_VALUE"""),"DigiKey")</f>
        <v>DigiKey</v>
      </c>
      <c r="G525" s="4" t="str">
        <f>IFERROR(__xludf.DUMMYFUNCTION("""COMPUTED_VALUE"""),"576-2582-6-ND")</f>
        <v>576-2582-6-ND</v>
      </c>
      <c r="H525" s="4"/>
      <c r="I525" s="4"/>
      <c r="J525" s="4"/>
      <c r="K525" s="4"/>
      <c r="L525" s="4"/>
      <c r="M525" s="4"/>
      <c r="N525" s="9" t="str">
        <f>IFERROR(__xludf.DUMMYFUNCTION("""COMPUTED_VALUE"""),"OEPS020002")</f>
        <v>OEPS020002</v>
      </c>
      <c r="O525" s="4" t="str">
        <f>IFERROR(__xludf.DUMMYFUNCTION("""COMPUTED_VALUE"""),"RR0510R-49R9-D")</f>
        <v>RR0510R-49R9-D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</row>
    <row r="526">
      <c r="A526" s="4" t="str">
        <f>IFERROR(__xludf.DUMMYFUNCTION("""COMPUTED_VALUE"""),"IC:   REG BUCK ADJ 500MA   [BD70522GUL-E2] [VCSP50L1]")</f>
        <v>IC:   REG BUCK ADJ 500MA   [BD70522GUL-E2] [VCSP50L1]</v>
      </c>
      <c r="B526" s="4" t="str">
        <f>IFERROR(__xludf.DUMMYFUNCTION("""COMPUTED_VALUE"""),"OEPS080235")</f>
        <v>OEPS080235</v>
      </c>
      <c r="C526" s="4" t="str">
        <f>IFERROR(__xludf.DUMMYFUNCTION("""COMPUTED_VALUE"""),"SMD")</f>
        <v>SMD</v>
      </c>
      <c r="D526" s="4" t="str">
        <f>IFERROR(__xludf.DUMMYFUNCTION("""COMPUTED_VALUE"""),"BD70522GUL-E2")</f>
        <v>BD70522GUL-E2</v>
      </c>
      <c r="E526" s="4">
        <f>IFERROR(__xludf.DUMMYFUNCTION("""COMPUTED_VALUE"""),5.0)</f>
        <v>5</v>
      </c>
      <c r="F526" s="4" t="str">
        <f>IFERROR(__xludf.DUMMYFUNCTION("""COMPUTED_VALUE"""),"DigiKey")</f>
        <v>DigiKey</v>
      </c>
      <c r="G526" s="4" t="str">
        <f>IFERROR(__xludf.DUMMYFUNCTION("""COMPUTED_VALUE"""),"BD70522GUL-E2DKR-ND")</f>
        <v>BD70522GUL-E2DKR-ND</v>
      </c>
      <c r="H526" s="4"/>
      <c r="I526" s="4"/>
      <c r="J526" s="4"/>
      <c r="K526" s="4"/>
      <c r="L526" s="4"/>
      <c r="M526" s="4"/>
      <c r="N526" s="9" t="str">
        <f>IFERROR(__xludf.DUMMYFUNCTION("""COMPUTED_VALUE"""),"OEPS020003")</f>
        <v>OEPS020003</v>
      </c>
      <c r="O526" s="4" t="str">
        <f>IFERROR(__xludf.DUMMYFUNCTION("""COMPUTED_VALUE"""),"RC0402FR-0760R4L")</f>
        <v>RC0402FR-0760R4L</v>
      </c>
      <c r="P526" s="4" t="str">
        <f>IFERROR(__xludf.DUMMYFUNCTION("""COMPUTED_VALUE"""),"4(Tp) ")</f>
        <v>4(Tp) </v>
      </c>
      <c r="Q526" s="4">
        <f>IFERROR(__xludf.DUMMYFUNCTION("""COMPUTED_VALUE"""),4.0)</f>
        <v>4</v>
      </c>
      <c r="R526" s="4">
        <f>IFERROR(__xludf.DUMMYFUNCTION("""COMPUTED_VALUE"""),4.0)</f>
        <v>4</v>
      </c>
      <c r="S526" s="4" t="str">
        <f>IFERROR(__xludf.DUMMYFUNCTION("""COMPUTED_VALUE"""),"Tape")</f>
        <v>Tape</v>
      </c>
      <c r="T526" s="4" t="str">
        <f>IFERROR(__xludf.DUMMYFUNCTION("""COMPUTED_VALUE"""),"1022")</f>
        <v>1022</v>
      </c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</row>
    <row r="527">
      <c r="A527" s="4" t="str">
        <f>IFERROR(__xludf.DUMMYFUNCTION("""COMPUTED_VALUE"""),"IC:   REGULATOR 3A Step-down Switching Regulator   [LT1765EFE#TRPBF] [16-TSSOP-EP]")</f>
        <v>IC:   REGULATOR 3A Step-down Switching Regulator   [LT1765EFE#TRPBF] [16-TSSOP-EP]</v>
      </c>
      <c r="B527" s="4" t="str">
        <f>IFERROR(__xludf.DUMMYFUNCTION("""COMPUTED_VALUE"""),"OEPS080025")</f>
        <v>OEPS080025</v>
      </c>
      <c r="C527" s="4" t="str">
        <f>IFERROR(__xludf.DUMMYFUNCTION("""COMPUTED_VALUE"""),"SMD")</f>
        <v>SMD</v>
      </c>
      <c r="D527" s="4" t="str">
        <f>IFERROR(__xludf.DUMMYFUNCTION("""COMPUTED_VALUE"""),"LT1765EFE#TRPBF")</f>
        <v>LT1765EFE#TRPBF</v>
      </c>
      <c r="E527" s="4">
        <f>IFERROR(__xludf.DUMMYFUNCTION("""COMPUTED_VALUE"""),0.0)</f>
        <v>0</v>
      </c>
      <c r="F527" s="4" t="str">
        <f>IFERROR(__xludf.DUMMYFUNCTION("""COMPUTED_VALUE"""),"DigiKey")</f>
        <v>DigiKey</v>
      </c>
      <c r="G527" s="4" t="str">
        <f>IFERROR(__xludf.DUMMYFUNCTION("""COMPUTED_VALUE"""),"LT1765EFE#TRPBFDKR-ND")</f>
        <v>LT1765EFE#TRPBFDKR-ND</v>
      </c>
      <c r="H527" s="4"/>
      <c r="I527" s="4"/>
      <c r="J527" s="4"/>
      <c r="K527" s="4"/>
      <c r="L527" s="4"/>
      <c r="M527" s="4"/>
      <c r="N527" s="9" t="str">
        <f>IFERROR(__xludf.DUMMYFUNCTION("""COMPUTED_VALUE"""),"OEPS020004")</f>
        <v>OEPS020004</v>
      </c>
      <c r="O527" s="4" t="str">
        <f>IFERROR(__xludf.DUMMYFUNCTION("""COMPUTED_VALUE"""),"ERJ-2RKF1000X")</f>
        <v>ERJ-2RKF1000X</v>
      </c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</row>
    <row r="528">
      <c r="A528" s="4" t="str">
        <f>IFERROR(__xludf.DUMMYFUNCTION("""COMPUTED_VALUE"""),"IC:   RES ARRAY 8 RES 100K OHM 1606   [YC248-JR-07100KL] [SMD]")</f>
        <v>IC:   RES ARRAY 8 RES 100K OHM 1606   [YC248-JR-07100KL] [SMD]</v>
      </c>
      <c r="B528" s="4" t="str">
        <f>IFERROR(__xludf.DUMMYFUNCTION("""COMPUTED_VALUE"""),"OEPS080203")</f>
        <v>OEPS080203</v>
      </c>
      <c r="C528" s="4" t="str">
        <f>IFERROR(__xludf.DUMMYFUNCTION("""COMPUTED_VALUE"""),"SMD")</f>
        <v>SMD</v>
      </c>
      <c r="D528" s="4" t="str">
        <f>IFERROR(__xludf.DUMMYFUNCTION("""COMPUTED_VALUE"""),"YC248-JR-07100KL")</f>
        <v>YC248-JR-07100KL</v>
      </c>
      <c r="E528" s="4">
        <f>IFERROR(__xludf.DUMMYFUNCTION("""COMPUTED_VALUE"""),5.0)</f>
        <v>5</v>
      </c>
      <c r="F528" s="4" t="str">
        <f>IFERROR(__xludf.DUMMYFUNCTION("""COMPUTED_VALUE"""),"Digikey")</f>
        <v>Digikey</v>
      </c>
      <c r="G528" s="4" t="str">
        <f>IFERROR(__xludf.DUMMYFUNCTION("""COMPUTED_VALUE"""),"13-YC248-JR-07100KLCT-ND")</f>
        <v>13-YC248-JR-07100KLCT-ND</v>
      </c>
      <c r="H528" s="4"/>
      <c r="I528" s="4"/>
      <c r="J528" s="4"/>
      <c r="K528" s="4"/>
      <c r="L528" s="4"/>
      <c r="M528" s="4"/>
      <c r="N528" s="9" t="str">
        <f>IFERROR(__xludf.DUMMYFUNCTION("""COMPUTED_VALUE"""),"OEPS020005")</f>
        <v>OEPS020005</v>
      </c>
      <c r="O528" s="4" t="str">
        <f>IFERROR(__xludf.DUMMYFUNCTION("""COMPUTED_VALUE"""),"ERJ-2RKF4990X")</f>
        <v>ERJ-2RKF4990X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</row>
    <row r="529">
      <c r="A529" s="4" t="str">
        <f>IFERROR(__xludf.DUMMYFUNCTION("""COMPUTED_VALUE"""),"IC:   RES ARRAY 8 RES 10K OHM 2512   [745X101103JP] [SMD]")</f>
        <v>IC:   RES ARRAY 8 RES 10K OHM 2512   [745X101103JP] [SMD]</v>
      </c>
      <c r="B529" s="4" t="str">
        <f>IFERROR(__xludf.DUMMYFUNCTION("""COMPUTED_VALUE"""),"OEPS080015")</f>
        <v>OEPS080015</v>
      </c>
      <c r="C529" s="4" t="str">
        <f>IFERROR(__xludf.DUMMYFUNCTION("""COMPUTED_VALUE"""),"SMD")</f>
        <v>SMD</v>
      </c>
      <c r="D529" s="4" t="str">
        <f>IFERROR(__xludf.DUMMYFUNCTION("""COMPUTED_VALUE"""),"745X101103JP")</f>
        <v>745X101103JP</v>
      </c>
      <c r="E529" s="4">
        <f>IFERROR(__xludf.DUMMYFUNCTION("""COMPUTED_VALUE"""),5.0)</f>
        <v>5</v>
      </c>
      <c r="F529" s="4" t="str">
        <f>IFERROR(__xludf.DUMMYFUNCTION("""COMPUTED_VALUE"""),"Mouser")</f>
        <v>Mouser</v>
      </c>
      <c r="G529" s="4" t="str">
        <f>IFERROR(__xludf.DUMMYFUNCTION("""COMPUTED_VALUE"""),"774-745X101103JP")</f>
        <v>774-745X101103JP</v>
      </c>
      <c r="H529" s="4"/>
      <c r="I529" s="4"/>
      <c r="J529" s="4"/>
      <c r="K529" s="4"/>
      <c r="L529" s="4"/>
      <c r="M529" s="4"/>
      <c r="N529" s="9" t="str">
        <f>IFERROR(__xludf.DUMMYFUNCTION("""COMPUTED_VALUE"""),"OEPS020006")</f>
        <v>OEPS020006</v>
      </c>
      <c r="O529" s="4" t="str">
        <f>IFERROR(__xludf.DUMMYFUNCTION("""COMPUTED_VALUE"""),"ERJ-2RKF1001X")</f>
        <v>ERJ-2RKF1001X</v>
      </c>
      <c r="P529" s="4" t="str">
        <f>IFERROR(__xludf.DUMMYFUNCTION("""COMPUTED_VALUE"""),"13(Tp) ")</f>
        <v>13(Tp) </v>
      </c>
      <c r="Q529" s="4">
        <f>IFERROR(__xludf.DUMMYFUNCTION("""COMPUTED_VALUE"""),13.0)</f>
        <v>13</v>
      </c>
      <c r="R529" s="4">
        <f>IFERROR(__xludf.DUMMYFUNCTION("""COMPUTED_VALUE"""),13.0)</f>
        <v>13</v>
      </c>
      <c r="S529" s="4" t="str">
        <f>IFERROR(__xludf.DUMMYFUNCTION("""COMPUTED_VALUE"""),"Tape")</f>
        <v>Tape</v>
      </c>
      <c r="T529" s="4" t="str">
        <f>IFERROR(__xludf.DUMMYFUNCTION("""COMPUTED_VALUE"""),"XXXX")</f>
        <v>XXXX</v>
      </c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</row>
    <row r="530">
      <c r="A530" s="4" t="str">
        <f>IFERROR(__xludf.DUMMYFUNCTION("""COMPUTED_VALUE"""),"IC:   RES ARRAY 8 RES 2.2K OHM 1506   [EXB-2HV222JV] [SMD]")</f>
        <v>IC:   RES ARRAY 8 RES 2.2K OHM 1506   [EXB-2HV222JV] [SMD]</v>
      </c>
      <c r="B530" s="4" t="str">
        <f>IFERROR(__xludf.DUMMYFUNCTION("""COMPUTED_VALUE"""),"OEPS080206")</f>
        <v>OEPS080206</v>
      </c>
      <c r="C530" s="4" t="str">
        <f>IFERROR(__xludf.DUMMYFUNCTION("""COMPUTED_VALUE"""),"SMD")</f>
        <v>SMD</v>
      </c>
      <c r="D530" s="4" t="str">
        <f>IFERROR(__xludf.DUMMYFUNCTION("""COMPUTED_VALUE"""),"EXB-2HV222JV")</f>
        <v>EXB-2HV222JV</v>
      </c>
      <c r="E530" s="4">
        <f>IFERROR(__xludf.DUMMYFUNCTION("""COMPUTED_VALUE"""),5.0)</f>
        <v>5</v>
      </c>
      <c r="F530" s="4" t="str">
        <f>IFERROR(__xludf.DUMMYFUNCTION("""COMPUTED_VALUE"""),"Digikey")</f>
        <v>Digikey</v>
      </c>
      <c r="G530" s="4" t="str">
        <f>IFERROR(__xludf.DUMMYFUNCTION("""COMPUTED_VALUE"""),"Y1222DKR-ND")</f>
        <v>Y1222DKR-ND</v>
      </c>
      <c r="H530" s="4"/>
      <c r="I530" s="4"/>
      <c r="J530" s="4"/>
      <c r="K530" s="4"/>
      <c r="L530" s="4"/>
      <c r="M530" s="4"/>
      <c r="N530" s="9" t="str">
        <f>IFERROR(__xludf.DUMMYFUNCTION("""COMPUTED_VALUE"""),"OEPS020007")</f>
        <v>OEPS020007</v>
      </c>
      <c r="O530" s="4" t="str">
        <f>IFERROR(__xludf.DUMMYFUNCTION("""COMPUTED_VALUE"""),"ERJ-2RKF2001X")</f>
        <v>ERJ-2RKF2001X</v>
      </c>
      <c r="P530" s="4" t="str">
        <f>IFERROR(__xludf.DUMMYFUNCTION("""COMPUTED_VALUE"""),"4(Tp) 61(Tp) ")</f>
        <v>4(Tp) 61(Tp) </v>
      </c>
      <c r="Q530" s="4">
        <f>IFERROR(__xludf.DUMMYFUNCTION("""COMPUTED_VALUE"""),65.0)</f>
        <v>65</v>
      </c>
      <c r="R530" s="4">
        <f>IFERROR(__xludf.DUMMYFUNCTION("""COMPUTED_VALUE"""),4.0)</f>
        <v>4</v>
      </c>
      <c r="S530" s="4" t="str">
        <f>IFERROR(__xludf.DUMMYFUNCTION("""COMPUTED_VALUE"""),"Tape")</f>
        <v>Tape</v>
      </c>
      <c r="T530" s="4" t="str">
        <f>IFERROR(__xludf.DUMMYFUNCTION("""COMPUTED_VALUE"""),"1225")</f>
        <v>1225</v>
      </c>
      <c r="U530" s="4">
        <f>IFERROR(__xludf.DUMMYFUNCTION("""COMPUTED_VALUE"""),61.0)</f>
        <v>61</v>
      </c>
      <c r="V530" s="4" t="str">
        <f>IFERROR(__xludf.DUMMYFUNCTION("""COMPUTED_VALUE"""),"Tape")</f>
        <v>Tape</v>
      </c>
      <c r="W530" s="4" t="str">
        <f>IFERROR(__xludf.DUMMYFUNCTION("""COMPUTED_VALUE"""),"0526")</f>
        <v>0526</v>
      </c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</row>
    <row r="531">
      <c r="A531" s="4" t="str">
        <f>IFERROR(__xludf.DUMMYFUNCTION("""COMPUTED_VALUE"""),"IC:   RES ARRAY 8 RES 220K OHM 1606   [YC248-JR-07220KL] [SMD]")</f>
        <v>IC:   RES ARRAY 8 RES 220K OHM 1606   [YC248-JR-07220KL] [SMD]</v>
      </c>
      <c r="B531" s="4" t="str">
        <f>IFERROR(__xludf.DUMMYFUNCTION("""COMPUTED_VALUE"""),"OEPS080201")</f>
        <v>OEPS080201</v>
      </c>
      <c r="C531" s="4" t="str">
        <f>IFERROR(__xludf.DUMMYFUNCTION("""COMPUTED_VALUE"""),"SMD")</f>
        <v>SMD</v>
      </c>
      <c r="D531" s="4" t="str">
        <f>IFERROR(__xludf.DUMMYFUNCTION("""COMPUTED_VALUE"""),"YC248-JR-07220KL")</f>
        <v>YC248-JR-07220KL</v>
      </c>
      <c r="E531" s="4">
        <f>IFERROR(__xludf.DUMMYFUNCTION("""COMPUTED_VALUE"""),5.0)</f>
        <v>5</v>
      </c>
      <c r="F531" s="4" t="str">
        <f>IFERROR(__xludf.DUMMYFUNCTION("""COMPUTED_VALUE"""),"Digikey")</f>
        <v>Digikey</v>
      </c>
      <c r="G531" s="4" t="str">
        <f>IFERROR(__xludf.DUMMYFUNCTION("""COMPUTED_VALUE"""),"13-YC248-JR-07220KLCT-ND")</f>
        <v>13-YC248-JR-07220KLCT-ND</v>
      </c>
      <c r="H531" s="4"/>
      <c r="I531" s="4"/>
      <c r="J531" s="4"/>
      <c r="K531" s="4"/>
      <c r="L531" s="4"/>
      <c r="M531" s="4"/>
      <c r="N531" s="9" t="str">
        <f>IFERROR(__xludf.DUMMYFUNCTION("""COMPUTED_VALUE"""),"OEPS020010")</f>
        <v>OEPS020010</v>
      </c>
      <c r="O531" s="4" t="str">
        <f>IFERROR(__xludf.DUMMYFUNCTION("""COMPUTED_VALUE"""),"ERJ-2RKF4701X")</f>
        <v>ERJ-2RKF4701X</v>
      </c>
      <c r="P531" s="4" t="str">
        <f>IFERROR(__xludf.DUMMYFUNCTION("""COMPUTED_VALUE"""),"1(Tp) 15(Tp) ")</f>
        <v>1(Tp) 15(Tp) </v>
      </c>
      <c r="Q531" s="4">
        <f>IFERROR(__xludf.DUMMYFUNCTION("""COMPUTED_VALUE"""),16.0)</f>
        <v>16</v>
      </c>
      <c r="R531" s="4">
        <f>IFERROR(__xludf.DUMMYFUNCTION("""COMPUTED_VALUE"""),1.0)</f>
        <v>1</v>
      </c>
      <c r="S531" s="4" t="str">
        <f>IFERROR(__xludf.DUMMYFUNCTION("""COMPUTED_VALUE"""),"Tape")</f>
        <v>Tape</v>
      </c>
      <c r="T531" s="4" t="str">
        <f>IFERROR(__xludf.DUMMYFUNCTION("""COMPUTED_VALUE"""),"0425")</f>
        <v>0425</v>
      </c>
      <c r="U531" s="4">
        <f>IFERROR(__xludf.DUMMYFUNCTION("""COMPUTED_VALUE"""),15.0)</f>
        <v>15</v>
      </c>
      <c r="V531" s="4" t="str">
        <f>IFERROR(__xludf.DUMMYFUNCTION("""COMPUTED_VALUE"""),"Tape")</f>
        <v>Tape</v>
      </c>
      <c r="W531" s="4" t="str">
        <f>IFERROR(__xludf.DUMMYFUNCTION("""COMPUTED_VALUE"""),"0724")</f>
        <v>0724</v>
      </c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</row>
    <row r="532">
      <c r="A532" s="4" t="str">
        <f>IFERROR(__xludf.DUMMYFUNCTION("""COMPUTED_VALUE"""),"IC:   RESISTOR ARRAY 220 OHM   [4816P-T02-221LF] [16-SOIC]")</f>
        <v>IC:   RESISTOR ARRAY 220 OHM   [4816P-T02-221LF] [16-SOIC]</v>
      </c>
      <c r="B532" s="4" t="str">
        <f>IFERROR(__xludf.DUMMYFUNCTION("""COMPUTED_VALUE"""),"OEPS080180")</f>
        <v>OEPS080180</v>
      </c>
      <c r="C532" s="4" t="str">
        <f>IFERROR(__xludf.DUMMYFUNCTION("""COMPUTED_VALUE"""),"SMD")</f>
        <v>SMD</v>
      </c>
      <c r="D532" s="4" t="str">
        <f>IFERROR(__xludf.DUMMYFUNCTION("""COMPUTED_VALUE"""),"4816P-T02-221LF")</f>
        <v>4816P-T02-221LF</v>
      </c>
      <c r="E532" s="4">
        <f>IFERROR(__xludf.DUMMYFUNCTION("""COMPUTED_VALUE"""),3.0)</f>
        <v>3</v>
      </c>
      <c r="F532" s="4" t="str">
        <f>IFERROR(__xludf.DUMMYFUNCTION("""COMPUTED_VALUE"""),"Digikey")</f>
        <v>Digikey</v>
      </c>
      <c r="G532" s="4" t="str">
        <f>IFERROR(__xludf.DUMMYFUNCTION("""COMPUTED_VALUE"""),"4816P-T02-221LF-ND")</f>
        <v>4816P-T02-221LF-ND</v>
      </c>
      <c r="H532" s="4"/>
      <c r="I532" s="4"/>
      <c r="J532" s="4"/>
      <c r="K532" s="4"/>
      <c r="L532" s="4"/>
      <c r="M532" s="4"/>
      <c r="N532" s="9" t="str">
        <f>IFERROR(__xludf.DUMMYFUNCTION("""COMPUTED_VALUE"""),"OEPS020012")</f>
        <v>OEPS020012</v>
      </c>
      <c r="O532" s="4" t="str">
        <f>IFERROR(__xludf.DUMMYFUNCTION("""COMPUTED_VALUE"""),"ERJ-2RKF8251X")</f>
        <v>ERJ-2RKF8251X</v>
      </c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</row>
    <row r="533">
      <c r="A533" s="4" t="str">
        <f>IFERROR(__xludf.DUMMYFUNCTION("""COMPUTED_VALUE"""),"IC:   RGB Neopixel addressable 1.5mmx1.5mm (pack of 10)   [SK6805-E-J] [SMD]")</f>
        <v>IC:   RGB Neopixel addressable 1.5mmx1.5mm (pack of 10)   [SK6805-E-J] [SMD]</v>
      </c>
      <c r="B533" s="4" t="str">
        <f>IFERROR(__xludf.DUMMYFUNCTION("""COMPUTED_VALUE"""),"OEPS080001")</f>
        <v>OEPS080001</v>
      </c>
      <c r="C533" s="4" t="str">
        <f>IFERROR(__xludf.DUMMYFUNCTION("""COMPUTED_VALUE"""),"SMD")</f>
        <v>SMD</v>
      </c>
      <c r="D533" s="4" t="str">
        <f>IFERROR(__xludf.DUMMYFUNCTION("""COMPUTED_VALUE"""),"SK6805-E-J")</f>
        <v>SK6805-E-J</v>
      </c>
      <c r="E533" s="4">
        <f>IFERROR(__xludf.DUMMYFUNCTION("""COMPUTED_VALUE"""),10.0)</f>
        <v>10</v>
      </c>
      <c r="F533" s="4" t="str">
        <f>IFERROR(__xludf.DUMMYFUNCTION("""COMPUTED_VALUE"""),"DigiKey")</f>
        <v>DigiKey</v>
      </c>
      <c r="G533" s="4" t="str">
        <f>IFERROR(__xludf.DUMMYFUNCTION("""COMPUTED_VALUE"""),"1528-4492-ND")</f>
        <v>1528-4492-ND</v>
      </c>
      <c r="H533" s="4"/>
      <c r="I533" s="4"/>
      <c r="J533" s="4"/>
      <c r="K533" s="4"/>
      <c r="L533" s="4"/>
      <c r="M533" s="4"/>
      <c r="N533" s="9" t="str">
        <f>IFERROR(__xludf.DUMMYFUNCTION("""COMPUTED_VALUE"""),"OEPS020013")</f>
        <v>OEPS020013</v>
      </c>
      <c r="O533" s="4" t="str">
        <f>IFERROR(__xludf.DUMMYFUNCTION("""COMPUTED_VALUE"""),"ERJ-2RKF1002X")</f>
        <v>ERJ-2RKF1002X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</row>
    <row r="534">
      <c r="A534" s="4" t="str">
        <f>IFERROR(__xludf.DUMMYFUNCTION("""COMPUTED_VALUE"""),"IC:   RGB Neopixel addressable 5mmx5mm (OEPS K01 012A)   [XT1511RGBW-BW] [SMD]")</f>
        <v>IC:   RGB Neopixel addressable 5mmx5mm (OEPS K01 012A)   [XT1511RGBW-BW] [SMD]</v>
      </c>
      <c r="B534" s="4" t="str">
        <f>IFERROR(__xludf.DUMMYFUNCTION("""COMPUTED_VALUE"""),"OEPS080164")</f>
        <v>OEPS080164</v>
      </c>
      <c r="C534" s="4" t="str">
        <f>IFERROR(__xludf.DUMMYFUNCTION("""COMPUTED_VALUE"""),"SMD")</f>
        <v>SMD</v>
      </c>
      <c r="D534" s="4" t="str">
        <f>IFERROR(__xludf.DUMMYFUNCTION("""COMPUTED_VALUE"""),"XT1511RGBW-BW")</f>
        <v>XT1511RGBW-BW</v>
      </c>
      <c r="E534" s="4">
        <f>IFERROR(__xludf.DUMMYFUNCTION("""COMPUTED_VALUE"""),5.0)</f>
        <v>5</v>
      </c>
      <c r="F534" s="4" t="str">
        <f>IFERROR(__xludf.DUMMYFUNCTION("""COMPUTED_VALUE"""),"Worldway")</f>
        <v>Worldway</v>
      </c>
      <c r="G534" s="4" t="str">
        <f>IFERROR(__xludf.DUMMYFUNCTION("""COMPUTED_VALUE"""),"XT1511RGBW-BW")</f>
        <v>XT1511RGBW-BW</v>
      </c>
      <c r="H534" s="4"/>
      <c r="I534" s="4"/>
      <c r="J534" s="4"/>
      <c r="K534" s="4"/>
      <c r="L534" s="4"/>
      <c r="M534" s="4"/>
      <c r="N534" s="9" t="str">
        <f>IFERROR(__xludf.DUMMYFUNCTION("""COMPUTED_VALUE"""),"OEPS020014")</f>
        <v>OEPS020014</v>
      </c>
      <c r="O534" s="4" t="str">
        <f>IFERROR(__xludf.DUMMYFUNCTION("""COMPUTED_VALUE"""),"ERJ-2RKF1332X")</f>
        <v>ERJ-2RKF1332X</v>
      </c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</row>
    <row r="535">
      <c r="A535" s="4" t="str">
        <f>IFERROR(__xludf.DUMMYFUNCTION("""COMPUTED_VALUE"""),"IC:   RGB Neopixel addressable 5mmx5mm (OEPS00028)   [COM-16347] [SMD]")</f>
        <v>IC:   RGB Neopixel addressable 5mmx5mm (OEPS00028)   [COM-16347] [SMD]</v>
      </c>
      <c r="B535" s="4" t="str">
        <f>IFERROR(__xludf.DUMMYFUNCTION("""COMPUTED_VALUE"""),"OEPS080009")</f>
        <v>OEPS080009</v>
      </c>
      <c r="C535" s="4" t="str">
        <f>IFERROR(__xludf.DUMMYFUNCTION("""COMPUTED_VALUE"""),"SMD")</f>
        <v>SMD</v>
      </c>
      <c r="D535" s="4" t="str">
        <f>IFERROR(__xludf.DUMMYFUNCTION("""COMPUTED_VALUE"""),"COM-16347")</f>
        <v>COM-16347</v>
      </c>
      <c r="E535" s="4">
        <f>IFERROR(__xludf.DUMMYFUNCTION("""COMPUTED_VALUE"""),5.0)</f>
        <v>5</v>
      </c>
      <c r="F535" s="4" t="str">
        <f>IFERROR(__xludf.DUMMYFUNCTION("""COMPUTED_VALUE"""),"DigiKey")</f>
        <v>DigiKey</v>
      </c>
      <c r="G535" s="4" t="str">
        <f>IFERROR(__xludf.DUMMYFUNCTION("""COMPUTED_VALUE"""),"1568-COM-16347DKR-ND")</f>
        <v>1568-COM-16347DKR-ND</v>
      </c>
      <c r="H535" s="4"/>
      <c r="I535" s="4"/>
      <c r="J535" s="4"/>
      <c r="K535" s="4"/>
      <c r="L535" s="4"/>
      <c r="M535" s="4"/>
      <c r="N535" s="9" t="str">
        <f>IFERROR(__xludf.DUMMYFUNCTION("""COMPUTED_VALUE"""),"OEPS020015")</f>
        <v>OEPS020015</v>
      </c>
      <c r="O535" s="4" t="str">
        <f>IFERROR(__xludf.DUMMYFUNCTION("""COMPUTED_VALUE"""),"ERJ-2RKF1502X")</f>
        <v>ERJ-2RKF1502X</v>
      </c>
      <c r="P535" s="4" t="str">
        <f>IFERROR(__xludf.DUMMYFUNCTION("""COMPUTED_VALUE"""),"6(Tp) 10(Tp) ")</f>
        <v>6(Tp) 10(Tp) </v>
      </c>
      <c r="Q535" s="4">
        <f>IFERROR(__xludf.DUMMYFUNCTION("""COMPUTED_VALUE"""),16.0)</f>
        <v>16</v>
      </c>
      <c r="R535" s="4">
        <f>IFERROR(__xludf.DUMMYFUNCTION("""COMPUTED_VALUE"""),6.0)</f>
        <v>6</v>
      </c>
      <c r="S535" s="4" t="str">
        <f>IFERROR(__xludf.DUMMYFUNCTION("""COMPUTED_VALUE"""),"Tape")</f>
        <v>Tape</v>
      </c>
      <c r="T535" s="4" t="str">
        <f>IFERROR(__xludf.DUMMYFUNCTION("""COMPUTED_VALUE"""),"0625")</f>
        <v>0625</v>
      </c>
      <c r="U535" s="4">
        <f>IFERROR(__xludf.DUMMYFUNCTION("""COMPUTED_VALUE"""),10.0)</f>
        <v>10</v>
      </c>
      <c r="V535" s="4" t="str">
        <f>IFERROR(__xludf.DUMMYFUNCTION("""COMPUTED_VALUE"""),"Tape")</f>
        <v>Tape</v>
      </c>
      <c r="W535" s="4" t="str">
        <f>IFERROR(__xludf.DUMMYFUNCTION("""COMPUTED_VALUE"""),"0725")</f>
        <v>0725</v>
      </c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</row>
    <row r="536">
      <c r="A536" s="4" t="str">
        <f>IFERROR(__xludf.DUMMYFUNCTION("""COMPUTED_VALUE"""),"IC:   RTC CLOCK/CALENDAR I2C   [PCF8523T/1,118] [8-SOIC]")</f>
        <v>IC:   RTC CLOCK/CALENDAR I2C   [PCF8523T/1,118] [8-SOIC]</v>
      </c>
      <c r="B536" s="4" t="str">
        <f>IFERROR(__xludf.DUMMYFUNCTION("""COMPUTED_VALUE"""),"OEPS080167")</f>
        <v>OEPS080167</v>
      </c>
      <c r="C536" s="4" t="str">
        <f>IFERROR(__xludf.DUMMYFUNCTION("""COMPUTED_VALUE"""),"SMD")</f>
        <v>SMD</v>
      </c>
      <c r="D536" s="4" t="str">
        <f>IFERROR(__xludf.DUMMYFUNCTION("""COMPUTED_VALUE"""),"PCF8523T/1,118")</f>
        <v>PCF8523T/1,118</v>
      </c>
      <c r="E536" s="4">
        <f>IFERROR(__xludf.DUMMYFUNCTION("""COMPUTED_VALUE"""),3.0)</f>
        <v>3</v>
      </c>
      <c r="F536" s="4" t="str">
        <f>IFERROR(__xludf.DUMMYFUNCTION("""COMPUTED_VALUE"""),"Digikey")</f>
        <v>Digikey</v>
      </c>
      <c r="G536" s="4" t="str">
        <f>IFERROR(__xludf.DUMMYFUNCTION("""COMPUTED_VALUE"""),"568-5306-6-ND")</f>
        <v>568-5306-6-ND</v>
      </c>
      <c r="H536" s="4"/>
      <c r="I536" s="4"/>
      <c r="J536" s="4"/>
      <c r="K536" s="4"/>
      <c r="L536" s="4"/>
      <c r="M536" s="4"/>
      <c r="N536" s="9" t="str">
        <f>IFERROR(__xludf.DUMMYFUNCTION("""COMPUTED_VALUE"""),"OEPS020017")</f>
        <v>OEPS020017</v>
      </c>
      <c r="O536" s="4" t="str">
        <f>IFERROR(__xludf.DUMMYFUNCTION("""COMPUTED_VALUE"""),"ERJ-2RKF4702X")</f>
        <v>ERJ-2RKF4702X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</row>
    <row r="537">
      <c r="A537" s="4" t="str">
        <f>IFERROR(__xludf.DUMMYFUNCTION("""COMPUTED_VALUE"""),"IC:   SENSOR REMOTE REC 38.0KHZ 40M   [TSOP57438TT1] [-]")</f>
        <v>IC:   SENSOR REMOTE REC 38.0KHZ 40M   [TSOP57438TT1] [-]</v>
      </c>
      <c r="B537" s="4" t="str">
        <f>IFERROR(__xludf.DUMMYFUNCTION("""COMPUTED_VALUE"""),"OEPS080117")</f>
        <v>OEPS080117</v>
      </c>
      <c r="C537" s="4" t="str">
        <f>IFERROR(__xludf.DUMMYFUNCTION("""COMPUTED_VALUE"""),"SMD")</f>
        <v>SMD</v>
      </c>
      <c r="D537" s="4" t="str">
        <f>IFERROR(__xludf.DUMMYFUNCTION("""COMPUTED_VALUE"""),"TSOP57438TT1")</f>
        <v>TSOP57438TT1</v>
      </c>
      <c r="E537" s="4">
        <f>IFERROR(__xludf.DUMMYFUNCTION("""COMPUTED_VALUE"""),1.0)</f>
        <v>1</v>
      </c>
      <c r="F537" s="4" t="str">
        <f>IFERROR(__xludf.DUMMYFUNCTION("""COMPUTED_VALUE"""),"DigiKey")</f>
        <v>DigiKey</v>
      </c>
      <c r="G537" s="4" t="str">
        <f>IFERROR(__xludf.DUMMYFUNCTION("""COMPUTED_VALUE"""),"TSOP57438TT1DKR-ND")</f>
        <v>TSOP57438TT1DKR-ND</v>
      </c>
      <c r="H537" s="4"/>
      <c r="I537" s="4"/>
      <c r="J537" s="4"/>
      <c r="K537" s="4"/>
      <c r="L537" s="4"/>
      <c r="M537" s="4"/>
      <c r="N537" s="9" t="str">
        <f>IFERROR(__xludf.DUMMYFUNCTION("""COMPUTED_VALUE"""),"OEPS020019")</f>
        <v>OEPS020019</v>
      </c>
      <c r="O537" s="4" t="str">
        <f>IFERROR(__xludf.DUMMYFUNCTION("""COMPUTED_VALUE"""),"ERJ-2RKF1003X")</f>
        <v>ERJ-2RKF1003X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</row>
    <row r="538">
      <c r="A538" s="4" t="str">
        <f>IFERROR(__xludf.DUMMYFUNCTION("""COMPUTED_VALUE"""),"IC:   SERIALIZER FPD-LINK III   [DS90UB953ATRHBTQ1] [32-VQFN]")</f>
        <v>IC:   SERIALIZER FPD-LINK III   [DS90UB953ATRHBTQ1] [32-VQFN]</v>
      </c>
      <c r="B538" s="4" t="str">
        <f>IFERROR(__xludf.DUMMYFUNCTION("""COMPUTED_VALUE"""),"OEPS080098")</f>
        <v>OEPS080098</v>
      </c>
      <c r="C538" s="4" t="str">
        <f>IFERROR(__xludf.DUMMYFUNCTION("""COMPUTED_VALUE"""),"SMD")</f>
        <v>SMD</v>
      </c>
      <c r="D538" s="4" t="str">
        <f>IFERROR(__xludf.DUMMYFUNCTION("""COMPUTED_VALUE"""),"DS90UB953ATRHBTQ1")</f>
        <v>DS90UB953ATRHBTQ1</v>
      </c>
      <c r="E538" s="4">
        <f>IFERROR(__xludf.DUMMYFUNCTION("""COMPUTED_VALUE"""),0.0)</f>
        <v>0</v>
      </c>
      <c r="F538" s="4" t="str">
        <f>IFERROR(__xludf.DUMMYFUNCTION("""COMPUTED_VALUE"""),"Mouser")</f>
        <v>Mouser</v>
      </c>
      <c r="G538" s="4" t="str">
        <f>IFERROR(__xludf.DUMMYFUNCTION("""COMPUTED_VALUE"""),"595-S90UB953ATRHBTQ1")</f>
        <v>595-S90UB953ATRHBTQ1</v>
      </c>
      <c r="H538" s="4"/>
      <c r="I538" s="4"/>
      <c r="J538" s="4"/>
      <c r="K538" s="4"/>
      <c r="L538" s="4"/>
      <c r="M538" s="4"/>
      <c r="N538" s="9" t="str">
        <f>IFERROR(__xludf.DUMMYFUNCTION("""COMPUTED_VALUE"""),"OEPS020022")</f>
        <v>OEPS020022</v>
      </c>
      <c r="O538" s="4" t="str">
        <f>IFERROR(__xludf.DUMMYFUNCTION("""COMPUTED_VALUE"""),"ERJ-2RKF6493X")</f>
        <v>ERJ-2RKF6493X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</row>
    <row r="539">
      <c r="A539" s="4" t="str">
        <f>IFERROR(__xludf.DUMMYFUNCTION("""COMPUTED_VALUE"""),"IC:   SERIALIZER FPD-LINK III (OEPS J05 029)   [DS90UB913ATRTVTQ1] [32-WQFN]")</f>
        <v>IC:   SERIALIZER FPD-LINK III (OEPS J05 029)   [DS90UB913ATRTVTQ1] [32-WQFN]</v>
      </c>
      <c r="B539" s="4" t="str">
        <f>IFERROR(__xludf.DUMMYFUNCTION("""COMPUTED_VALUE"""),"OEPS080067")</f>
        <v>OEPS080067</v>
      </c>
      <c r="C539" s="4" t="str">
        <f>IFERROR(__xludf.DUMMYFUNCTION("""COMPUTED_VALUE"""),"SMD")</f>
        <v>SMD</v>
      </c>
      <c r="D539" s="4" t="str">
        <f>IFERROR(__xludf.DUMMYFUNCTION("""COMPUTED_VALUE"""),"DS90UB913ATRTVTQ1")</f>
        <v>DS90UB913ATRTVTQ1</v>
      </c>
      <c r="E539" s="4">
        <f>IFERROR(__xludf.DUMMYFUNCTION("""COMPUTED_VALUE"""),0.0)</f>
        <v>0</v>
      </c>
      <c r="F539" s="4" t="str">
        <f>IFERROR(__xludf.DUMMYFUNCTION("""COMPUTED_VALUE"""),"DigiKey")</f>
        <v>DigiKey</v>
      </c>
      <c r="G539" s="4" t="str">
        <f>IFERROR(__xludf.DUMMYFUNCTION("""COMPUTED_VALUE"""),"296-37226-6-ND")</f>
        <v>296-37226-6-ND</v>
      </c>
      <c r="H539" s="4"/>
      <c r="I539" s="4"/>
      <c r="J539" s="4"/>
      <c r="K539" s="4"/>
      <c r="L539" s="4"/>
      <c r="M539" s="4"/>
      <c r="N539" s="9" t="str">
        <f>IFERROR(__xludf.DUMMYFUNCTION("""COMPUTED_VALUE"""),"OEPS020024")</f>
        <v>OEPS020024</v>
      </c>
      <c r="O539" s="4" t="str">
        <f>IFERROR(__xludf.DUMMYFUNCTION("""COMPUTED_VALUE"""),"CRCW0805270RFKEAHP")</f>
        <v>CRCW0805270RFKEAHP</v>
      </c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</row>
    <row r="540">
      <c r="A540" s="4" t="str">
        <f>IFERROR(__xludf.DUMMYFUNCTION("""COMPUTED_VALUE"""),"IC:   SERIALIZER FPD-LINK III (OEPS Q20 035)   [DS90UB933TRTVTQ1] [32-WQFN]")</f>
        <v>IC:   SERIALIZER FPD-LINK III (OEPS Q20 035)   [DS90UB933TRTVTQ1] [32-WQFN]</v>
      </c>
      <c r="B540" s="4" t="str">
        <f>IFERROR(__xludf.DUMMYFUNCTION("""COMPUTED_VALUE"""),"OEPS080064")</f>
        <v>OEPS080064</v>
      </c>
      <c r="C540" s="4" t="str">
        <f>IFERROR(__xludf.DUMMYFUNCTION("""COMPUTED_VALUE"""),"SMD")</f>
        <v>SMD</v>
      </c>
      <c r="D540" s="4" t="str">
        <f>IFERROR(__xludf.DUMMYFUNCTION("""COMPUTED_VALUE"""),"DS90UB933TRTVTQ1")</f>
        <v>DS90UB933TRTVTQ1</v>
      </c>
      <c r="E540" s="4">
        <f>IFERROR(__xludf.DUMMYFUNCTION("""COMPUTED_VALUE"""),0.0)</f>
        <v>0</v>
      </c>
      <c r="F540" s="4" t="str">
        <f>IFERROR(__xludf.DUMMYFUNCTION("""COMPUTED_VALUE"""),"DigiKey")</f>
        <v>DigiKey</v>
      </c>
      <c r="G540" s="4" t="str">
        <f>IFERROR(__xludf.DUMMYFUNCTION("""COMPUTED_VALUE"""),"296-47324-6-ND")</f>
        <v>296-47324-6-ND</v>
      </c>
      <c r="H540" s="4"/>
      <c r="I540" s="4"/>
      <c r="J540" s="4"/>
      <c r="K540" s="4"/>
      <c r="L540" s="4"/>
      <c r="M540" s="4"/>
      <c r="N540" s="9" t="str">
        <f>IFERROR(__xludf.DUMMYFUNCTION("""COMPUTED_VALUE"""),"OEPS020025")</f>
        <v>OEPS020025</v>
      </c>
      <c r="O540" s="4" t="str">
        <f>IFERROR(__xludf.DUMMYFUNCTION("""COMPUTED_VALUE"""),"RC0805JR-070RL")</f>
        <v>RC0805JR-070RL</v>
      </c>
      <c r="P540" s="4" t="str">
        <f>IFERROR(__xludf.DUMMYFUNCTION("""COMPUTED_VALUE"""),"60(Tp) 25(R) ")</f>
        <v>60(Tp) 25(R) </v>
      </c>
      <c r="Q540" s="4">
        <f>IFERROR(__xludf.DUMMYFUNCTION("""COMPUTED_VALUE"""),85.0)</f>
        <v>85</v>
      </c>
      <c r="R540" s="4">
        <f>IFERROR(__xludf.DUMMYFUNCTION("""COMPUTED_VALUE"""),60.0)</f>
        <v>60</v>
      </c>
      <c r="S540" s="4" t="str">
        <f>IFERROR(__xludf.DUMMYFUNCTION("""COMPUTED_VALUE"""),"Tape")</f>
        <v>Tape</v>
      </c>
      <c r="T540" s="4" t="str">
        <f>IFERROR(__xludf.DUMMYFUNCTION("""COMPUTED_VALUE"""),"0320")</f>
        <v>0320</v>
      </c>
      <c r="U540" s="4">
        <f>IFERROR(__xludf.DUMMYFUNCTION("""COMPUTED_VALUE"""),25.0)</f>
        <v>25</v>
      </c>
      <c r="V540" s="4" t="str">
        <f>IFERROR(__xludf.DUMMYFUNCTION("""COMPUTED_VALUE"""),"Reel")</f>
        <v>Reel</v>
      </c>
      <c r="W540" s="4" t="str">
        <f>IFERROR(__xludf.DUMMYFUNCTION("""COMPUTED_VALUE"""),"0122")</f>
        <v>0122</v>
      </c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</row>
    <row r="541">
      <c r="A541" s="4" t="str">
        <f>IFERROR(__xludf.DUMMYFUNCTION("""COMPUTED_VALUE"""),"IC:   SMART INTEGRATED STEPPER DRIVER 36V    [TMC2210ATJ+] [32-TQFN]")</f>
        <v>IC:   SMART INTEGRATED STEPPER DRIVER 36V    [TMC2210ATJ+] [32-TQFN]</v>
      </c>
      <c r="B541" s="4" t="str">
        <f>IFERROR(__xludf.DUMMYFUNCTION("""COMPUTED_VALUE"""),"OEPS080056")</f>
        <v>OEPS080056</v>
      </c>
      <c r="C541" s="4" t="str">
        <f>IFERROR(__xludf.DUMMYFUNCTION("""COMPUTED_VALUE"""),"SMD")</f>
        <v>SMD</v>
      </c>
      <c r="D541" s="4" t="str">
        <f>IFERROR(__xludf.DUMMYFUNCTION("""COMPUTED_VALUE"""),"TMC2210ATJ+")</f>
        <v>TMC2210ATJ+</v>
      </c>
      <c r="E541" s="4">
        <f>IFERROR(__xludf.DUMMYFUNCTION("""COMPUTED_VALUE"""),2.0)</f>
        <v>2</v>
      </c>
      <c r="F541" s="4" t="str">
        <f>IFERROR(__xludf.DUMMYFUNCTION("""COMPUTED_VALUE"""),"DigiKey")</f>
        <v>DigiKey</v>
      </c>
      <c r="G541" s="4" t="str">
        <f>IFERROR(__xludf.DUMMYFUNCTION("""COMPUTED_VALUE"""),"175-TMC2210ATJ+-ND")</f>
        <v>175-TMC2210ATJ+-ND</v>
      </c>
      <c r="H541" s="4"/>
      <c r="I541" s="4"/>
      <c r="J541" s="4"/>
      <c r="K541" s="4"/>
      <c r="L541" s="4"/>
      <c r="M541" s="4"/>
      <c r="N541" s="9" t="str">
        <f>IFERROR(__xludf.DUMMYFUNCTION("""COMPUTED_VALUE"""),"OEPS020026")</f>
        <v>OEPS020026</v>
      </c>
      <c r="O541" s="4" t="str">
        <f>IFERROR(__xludf.DUMMYFUNCTION("""COMPUTED_VALUE"""),"CRCW04021M00FKED")</f>
        <v>CRCW04021M00FKED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</row>
    <row r="542">
      <c r="A542" s="4" t="str">
        <f>IFERROR(__xludf.DUMMYFUNCTION("""COMPUTED_VALUE"""),"IC:   STEPPER MOTOR DRIVER   [TMC2130-LA] [36-QFN ]")</f>
        <v>IC:   STEPPER MOTOR DRIVER   [TMC2130-LA] [36-QFN ]</v>
      </c>
      <c r="B542" s="4" t="str">
        <f>IFERROR(__xludf.DUMMYFUNCTION("""COMPUTED_VALUE"""),"OEPS080231")</f>
        <v>OEPS080231</v>
      </c>
      <c r="C542" s="4" t="str">
        <f>IFERROR(__xludf.DUMMYFUNCTION("""COMPUTED_VALUE"""),"SMD")</f>
        <v>SMD</v>
      </c>
      <c r="D542" s="4" t="str">
        <f>IFERROR(__xludf.DUMMYFUNCTION("""COMPUTED_VALUE"""),"TMC2130-LA")</f>
        <v>TMC2130-LA</v>
      </c>
      <c r="E542" s="4">
        <f>IFERROR(__xludf.DUMMYFUNCTION("""COMPUTED_VALUE"""),0.0)</f>
        <v>0</v>
      </c>
      <c r="F542" s="4" t="str">
        <f>IFERROR(__xludf.DUMMYFUNCTION("""COMPUTED_VALUE"""),"DigiKey")</f>
        <v>DigiKey</v>
      </c>
      <c r="G542" s="4" t="str">
        <f>IFERROR(__xludf.DUMMYFUNCTION("""COMPUTED_VALUE"""),"505-TMC2130-LA-ND")</f>
        <v>505-TMC2130-LA-ND</v>
      </c>
      <c r="H542" s="4"/>
      <c r="I542" s="4"/>
      <c r="J542" s="4"/>
      <c r="K542" s="4"/>
      <c r="L542" s="4"/>
      <c r="M542" s="4"/>
      <c r="N542" s="9" t="str">
        <f>IFERROR(__xludf.DUMMYFUNCTION("""COMPUTED_VALUE"""),"OEPS020027")</f>
        <v>OEPS020027</v>
      </c>
      <c r="O542" s="4" t="str">
        <f>IFERROR(__xludf.DUMMYFUNCTION("""COMPUTED_VALUE"""),"CRCW04021K00FKED")</f>
        <v>CRCW04021K00FKED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</row>
    <row r="543">
      <c r="A543" s="4" t="str">
        <f>IFERROR(__xludf.DUMMYFUNCTION("""COMPUTED_VALUE"""),"IC:   SUPERCAP CHARGER   [LTC4425EMSE#PBF] [12-MSOP-EP]")</f>
        <v>IC:   SUPERCAP CHARGER   [LTC4425EMSE#PBF] [12-MSOP-EP]</v>
      </c>
      <c r="B543" s="4" t="str">
        <f>IFERROR(__xludf.DUMMYFUNCTION("""COMPUTED_VALUE"""),"OEPS080230")</f>
        <v>OEPS080230</v>
      </c>
      <c r="C543" s="4" t="str">
        <f>IFERROR(__xludf.DUMMYFUNCTION("""COMPUTED_VALUE"""),"SMD")</f>
        <v>SMD</v>
      </c>
      <c r="D543" s="4" t="str">
        <f>IFERROR(__xludf.DUMMYFUNCTION("""COMPUTED_VALUE"""),"LTC4425EMSE#PBF")</f>
        <v>LTC4425EMSE#PBF</v>
      </c>
      <c r="E543" s="4">
        <f>IFERROR(__xludf.DUMMYFUNCTION("""COMPUTED_VALUE"""),0.0)</f>
        <v>0</v>
      </c>
      <c r="F543" s="4" t="str">
        <f>IFERROR(__xludf.DUMMYFUNCTION("""COMPUTED_VALUE"""),"Digikey")</f>
        <v>Digikey</v>
      </c>
      <c r="G543" s="4" t="str">
        <f>IFERROR(__xludf.DUMMYFUNCTION("""COMPUTED_VALUE"""),"LTC4425EMSE#PBF-ND")</f>
        <v>LTC4425EMSE#PBF-ND</v>
      </c>
      <c r="H543" s="4"/>
      <c r="I543" s="4"/>
      <c r="J543" s="4"/>
      <c r="K543" s="4"/>
      <c r="L543" s="4"/>
      <c r="M543" s="4"/>
      <c r="N543" s="9" t="str">
        <f>IFERROR(__xludf.DUMMYFUNCTION("""COMPUTED_VALUE"""),"OEPS020028")</f>
        <v>OEPS020028</v>
      </c>
      <c r="O543" s="4" t="str">
        <f>IFERROR(__xludf.DUMMYFUNCTION("""COMPUTED_VALUE"""),"RCS0402100RFKED")</f>
        <v>RCS0402100RFKED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</row>
    <row r="544">
      <c r="A544" s="4" t="str">
        <f>IFERROR(__xludf.DUMMYFUNCTION("""COMPUTED_VALUE"""),"IC:   SUPERVISOR 1 CHANNEL   [APX803L05-35SA-7] [SOT-23-3]")</f>
        <v>IC:   SUPERVISOR 1 CHANNEL   [APX803L05-35SA-7] [SOT-23-3]</v>
      </c>
      <c r="B544" s="4" t="str">
        <f>IFERROR(__xludf.DUMMYFUNCTION("""COMPUTED_VALUE"""),"OEPS080168")</f>
        <v>OEPS080168</v>
      </c>
      <c r="C544" s="4" t="str">
        <f>IFERROR(__xludf.DUMMYFUNCTION("""COMPUTED_VALUE"""),"SMD")</f>
        <v>SMD</v>
      </c>
      <c r="D544" s="4" t="str">
        <f>IFERROR(__xludf.DUMMYFUNCTION("""COMPUTED_VALUE"""),"APX803L05-35SA-7")</f>
        <v>APX803L05-35SA-7</v>
      </c>
      <c r="E544" s="4">
        <f>IFERROR(__xludf.DUMMYFUNCTION("""COMPUTED_VALUE"""),5.0)</f>
        <v>5</v>
      </c>
      <c r="F544" s="4" t="str">
        <f>IFERROR(__xludf.DUMMYFUNCTION("""COMPUTED_VALUE"""),"Digikey")</f>
        <v>Digikey</v>
      </c>
      <c r="G544" s="4" t="str">
        <f>IFERROR(__xludf.DUMMYFUNCTION("""COMPUTED_VALUE"""),"31-APX803L05-35SA-7DKR-ND")</f>
        <v>31-APX803L05-35SA-7DKR-ND</v>
      </c>
      <c r="H544" s="4"/>
      <c r="I544" s="4"/>
      <c r="J544" s="4"/>
      <c r="K544" s="4"/>
      <c r="L544" s="4"/>
      <c r="M544" s="4"/>
      <c r="N544" s="9" t="str">
        <f>IFERROR(__xludf.DUMMYFUNCTION("""COMPUTED_VALUE"""),"OEPS020029")</f>
        <v>OEPS020029</v>
      </c>
      <c r="O544" s="4" t="str">
        <f>IFERROR(__xludf.DUMMYFUNCTION("""COMPUTED_VALUE"""),"RCS0402130RFKED")</f>
        <v>RCS0402130RFKED</v>
      </c>
      <c r="P544" s="4" t="str">
        <f>IFERROR(__xludf.DUMMYFUNCTION("""COMPUTED_VALUE"""),"15(Tp) ")</f>
        <v>15(Tp) </v>
      </c>
      <c r="Q544" s="4">
        <f>IFERROR(__xludf.DUMMYFUNCTION("""COMPUTED_VALUE"""),15.0)</f>
        <v>15</v>
      </c>
      <c r="R544" s="4">
        <f>IFERROR(__xludf.DUMMYFUNCTION("""COMPUTED_VALUE"""),15.0)</f>
        <v>15</v>
      </c>
      <c r="S544" s="4" t="str">
        <f>IFERROR(__xludf.DUMMYFUNCTION("""COMPUTED_VALUE"""),"Tape")</f>
        <v>Tape</v>
      </c>
      <c r="T544" s="4" t="str">
        <f>IFERROR(__xludf.DUMMYFUNCTION("""COMPUTED_VALUE"""),"0221")</f>
        <v>0221</v>
      </c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</row>
    <row r="545">
      <c r="A545" s="4" t="str">
        <f>IFERROR(__xludf.DUMMYFUNCTION("""COMPUTED_VALUE"""),"IC:   Supply Voltage Monitor 1.52V   [TPS3839E16DQNT] [X2SON-4]")</f>
        <v>IC:   Supply Voltage Monitor 1.52V   [TPS3839E16DQNT] [X2SON-4]</v>
      </c>
      <c r="B545" s="4" t="str">
        <f>IFERROR(__xludf.DUMMYFUNCTION("""COMPUTED_VALUE"""),"OEPS080060")</f>
        <v>OEPS080060</v>
      </c>
      <c r="C545" s="4" t="str">
        <f>IFERROR(__xludf.DUMMYFUNCTION("""COMPUTED_VALUE"""),"SMD")</f>
        <v>SMD</v>
      </c>
      <c r="D545" s="4" t="str">
        <f>IFERROR(__xludf.DUMMYFUNCTION("""COMPUTED_VALUE"""),"TPS3839E16DQNT")</f>
        <v>TPS3839E16DQNT</v>
      </c>
      <c r="E545" s="4">
        <f>IFERROR(__xludf.DUMMYFUNCTION("""COMPUTED_VALUE"""),3.0)</f>
        <v>3</v>
      </c>
      <c r="F545" s="4" t="str">
        <f>IFERROR(__xludf.DUMMYFUNCTION("""COMPUTED_VALUE"""),"DigiKey")</f>
        <v>DigiKey</v>
      </c>
      <c r="G545" s="4" t="str">
        <f>IFERROR(__xludf.DUMMYFUNCTION("""COMPUTED_VALUE"""),"296-TPS3839E16DQNTDKR-ND")</f>
        <v>296-TPS3839E16DQNTDKR-ND</v>
      </c>
      <c r="H545" s="4"/>
      <c r="I545" s="4"/>
      <c r="J545" s="4"/>
      <c r="K545" s="4"/>
      <c r="L545" s="4"/>
      <c r="M545" s="4"/>
      <c r="N545" s="9" t="str">
        <f>IFERROR(__xludf.DUMMYFUNCTION("""COMPUTED_VALUE"""),"OEPS020030")</f>
        <v>OEPS020030</v>
      </c>
      <c r="O545" s="4" t="str">
        <f>IFERROR(__xludf.DUMMYFUNCTION("""COMPUTED_VALUE"""),"CRCW040210K0FKED")</f>
        <v>CRCW040210K0FKED</v>
      </c>
      <c r="P545" s="4" t="str">
        <f>IFERROR(__xludf.DUMMYFUNCTION("""COMPUTED_VALUE"""),"1(Tp) ")</f>
        <v>1(Tp) </v>
      </c>
      <c r="Q545" s="4">
        <f>IFERROR(__xludf.DUMMYFUNCTION("""COMPUTED_VALUE"""),1.0)</f>
        <v>1</v>
      </c>
      <c r="R545" s="4"/>
      <c r="S545" s="4"/>
      <c r="T545" s="4"/>
      <c r="U545" s="4"/>
      <c r="V545" s="4"/>
      <c r="W545" s="4"/>
      <c r="X545" s="4">
        <f>IFERROR(__xludf.DUMMYFUNCTION("""COMPUTED_VALUE"""),1.0)</f>
        <v>1</v>
      </c>
      <c r="Y545" s="4" t="str">
        <f>IFERROR(__xludf.DUMMYFUNCTION("""COMPUTED_VALUE"""),"Tape")</f>
        <v>Tape</v>
      </c>
      <c r="Z545" s="4" t="str">
        <f>IFERROR(__xludf.DUMMYFUNCTION("""COMPUTED_VALUE"""),"0425")</f>
        <v>0425</v>
      </c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</row>
    <row r="546">
      <c r="A546" s="4" t="str">
        <f>IFERROR(__xludf.DUMMYFUNCTION("""COMPUTED_VALUE"""),"IC:   Supply Voltage Monitor 1.67V   [TPS3839G18DQNT] [X2SON-4]")</f>
        <v>IC:   Supply Voltage Monitor 1.67V   [TPS3839G18DQNT] [X2SON-4]</v>
      </c>
      <c r="B546" s="4" t="str">
        <f>IFERROR(__xludf.DUMMYFUNCTION("""COMPUTED_VALUE"""),"OEPS080047")</f>
        <v>OEPS080047</v>
      </c>
      <c r="C546" s="4" t="str">
        <f>IFERROR(__xludf.DUMMYFUNCTION("""COMPUTED_VALUE"""),"SMD")</f>
        <v>SMD</v>
      </c>
      <c r="D546" s="4" t="str">
        <f>IFERROR(__xludf.DUMMYFUNCTION("""COMPUTED_VALUE"""),"TPS3839G18DQNT")</f>
        <v>TPS3839G18DQNT</v>
      </c>
      <c r="E546" s="4">
        <f>IFERROR(__xludf.DUMMYFUNCTION("""COMPUTED_VALUE"""),3.0)</f>
        <v>3</v>
      </c>
      <c r="F546" s="4" t="str">
        <f>IFERROR(__xludf.DUMMYFUNCTION("""COMPUTED_VALUE"""),"DigiKey")</f>
        <v>DigiKey</v>
      </c>
      <c r="G546" s="4" t="str">
        <f>IFERROR(__xludf.DUMMYFUNCTION("""COMPUTED_VALUE"""),"296-TPS3839G18DQNTDKR-ND")</f>
        <v>296-TPS3839G18DQNTDKR-ND</v>
      </c>
      <c r="H546" s="4"/>
      <c r="I546" s="4"/>
      <c r="J546" s="4"/>
      <c r="K546" s="4"/>
      <c r="L546" s="4"/>
      <c r="M546" s="4"/>
      <c r="N546" s="9" t="str">
        <f>IFERROR(__xludf.DUMMYFUNCTION("""COMPUTED_VALUE"""),"OEPS020031")</f>
        <v>OEPS020031</v>
      </c>
      <c r="O546" s="4" t="str">
        <f>IFERROR(__xludf.DUMMYFUNCTION("""COMPUTED_VALUE"""),"RCS0402240RFKED")</f>
        <v>RCS0402240RFKED</v>
      </c>
      <c r="P546" s="4" t="str">
        <f>IFERROR(__xludf.DUMMYFUNCTION("""COMPUTED_VALUE"""),"26(Tp) ")</f>
        <v>26(Tp) </v>
      </c>
      <c r="Q546" s="4">
        <f>IFERROR(__xludf.DUMMYFUNCTION("""COMPUTED_VALUE"""),26.0)</f>
        <v>26</v>
      </c>
      <c r="R546" s="4">
        <f>IFERROR(__xludf.DUMMYFUNCTION("""COMPUTED_VALUE"""),26.0)</f>
        <v>26</v>
      </c>
      <c r="S546" s="4" t="str">
        <f>IFERROR(__xludf.DUMMYFUNCTION("""COMPUTED_VALUE"""),"Tape")</f>
        <v>Tape</v>
      </c>
      <c r="T546" s="4" t="str">
        <f>IFERROR(__xludf.DUMMYFUNCTION("""COMPUTED_VALUE"""),"0221")</f>
        <v>0221</v>
      </c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</row>
    <row r="547">
      <c r="A547" s="4" t="str">
        <f>IFERROR(__xludf.DUMMYFUNCTION("""COMPUTED_VALUE"""),"IC:   SWITCH SPDT X 1 15Ω   [SN74LVC1G3157DCKR] [SC70-6]")</f>
        <v>IC:   SWITCH SPDT X 1 15Ω   [SN74LVC1G3157DCKR] [SC70-6]</v>
      </c>
      <c r="B547" s="4" t="str">
        <f>IFERROR(__xludf.DUMMYFUNCTION("""COMPUTED_VALUE"""),"OEPS080161")</f>
        <v>OEPS080161</v>
      </c>
      <c r="C547" s="4" t="str">
        <f>IFERROR(__xludf.DUMMYFUNCTION("""COMPUTED_VALUE"""),"SMD")</f>
        <v>SMD</v>
      </c>
      <c r="D547" s="4" t="str">
        <f>IFERROR(__xludf.DUMMYFUNCTION("""COMPUTED_VALUE"""),"SN74LVC1G3157DCKR")</f>
        <v>SN74LVC1G3157DCKR</v>
      </c>
      <c r="E547" s="4">
        <f>IFERROR(__xludf.DUMMYFUNCTION("""COMPUTED_VALUE"""),3.0)</f>
        <v>3</v>
      </c>
      <c r="F547" s="4" t="str">
        <f>IFERROR(__xludf.DUMMYFUNCTION("""COMPUTED_VALUE"""),"Digikey")</f>
        <v>Digikey</v>
      </c>
      <c r="G547" s="4" t="str">
        <f>IFERROR(__xludf.DUMMYFUNCTION("""COMPUTED_VALUE"""),"296-14909-6-ND")</f>
        <v>296-14909-6-ND</v>
      </c>
      <c r="H547" s="4"/>
      <c r="I547" s="4"/>
      <c r="J547" s="4"/>
      <c r="K547" s="4"/>
      <c r="L547" s="4"/>
      <c r="M547" s="4"/>
      <c r="N547" s="9" t="str">
        <f>IFERROR(__xludf.DUMMYFUNCTION("""COMPUTED_VALUE"""),"OEPS020032")</f>
        <v>OEPS020032</v>
      </c>
      <c r="O547" s="4" t="str">
        <f>IFERROR(__xludf.DUMMYFUNCTION("""COMPUTED_VALUE"""),"RCS040268R0FKED")</f>
        <v>RCS040268R0FKED</v>
      </c>
      <c r="P547" s="4" t="str">
        <f>IFERROR(__xludf.DUMMYFUNCTION("""COMPUTED_VALUE"""),"100(Tp) 10(Tp) ")</f>
        <v>100(Tp) 10(Tp) </v>
      </c>
      <c r="Q547" s="4">
        <f>IFERROR(__xludf.DUMMYFUNCTION("""COMPUTED_VALUE"""),110.0)</f>
        <v>110</v>
      </c>
      <c r="R547" s="4">
        <f>IFERROR(__xludf.DUMMYFUNCTION("""COMPUTED_VALUE"""),100.0)</f>
        <v>100</v>
      </c>
      <c r="S547" s="4" t="str">
        <f>IFERROR(__xludf.DUMMYFUNCTION("""COMPUTED_VALUE"""),"Tape")</f>
        <v>Tape</v>
      </c>
      <c r="T547" s="4" t="str">
        <f>IFERROR(__xludf.DUMMYFUNCTION("""COMPUTED_VALUE"""),"0723")</f>
        <v>0723</v>
      </c>
      <c r="U547" s="4">
        <f>IFERROR(__xludf.DUMMYFUNCTION("""COMPUTED_VALUE"""),10.0)</f>
        <v>10</v>
      </c>
      <c r="V547" s="4" t="str">
        <f>IFERROR(__xludf.DUMMYFUNCTION("""COMPUTED_VALUE"""),"Tape")</f>
        <v>Tape</v>
      </c>
      <c r="W547" s="4" t="str">
        <f>IFERROR(__xludf.DUMMYFUNCTION("""COMPUTED_VALUE"""),"1124")</f>
        <v>1124</v>
      </c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</row>
    <row r="548">
      <c r="A548" s="4" t="str">
        <f>IFERROR(__xludf.DUMMYFUNCTION("""COMPUTED_VALUE"""),"IC:   SWITCH SPST-NOX4 1.5OHM   [DG1412EEN-T1-GE4] [16-QFN (4x4)]")</f>
        <v>IC:   SWITCH SPST-NOX4 1.5OHM   [DG1412EEN-T1-GE4] [16-QFN (4x4)]</v>
      </c>
      <c r="B548" s="4" t="str">
        <f>IFERROR(__xludf.DUMMYFUNCTION("""COMPUTED_VALUE"""),"OEPS080209")</f>
        <v>OEPS080209</v>
      </c>
      <c r="C548" s="4" t="str">
        <f>IFERROR(__xludf.DUMMYFUNCTION("""COMPUTED_VALUE"""),"SMD")</f>
        <v>SMD</v>
      </c>
      <c r="D548" s="4" t="str">
        <f>IFERROR(__xludf.DUMMYFUNCTION("""COMPUTED_VALUE"""),"DG1412EEN-T1-GE4")</f>
        <v>DG1412EEN-T1-GE4</v>
      </c>
      <c r="E548" s="4">
        <f>IFERROR(__xludf.DUMMYFUNCTION("""COMPUTED_VALUE"""),1.0)</f>
        <v>1</v>
      </c>
      <c r="F548" s="4" t="str">
        <f>IFERROR(__xludf.DUMMYFUNCTION("""COMPUTED_VALUE"""),"Digikey")</f>
        <v>Digikey</v>
      </c>
      <c r="G548" s="4" t="str">
        <f>IFERROR(__xludf.DUMMYFUNCTION("""COMPUTED_VALUE"""),"DG1412EEN-T1-GE4DKR-ND")</f>
        <v>DG1412EEN-T1-GE4DKR-ND</v>
      </c>
      <c r="H548" s="4"/>
      <c r="I548" s="4"/>
      <c r="J548" s="4"/>
      <c r="K548" s="4"/>
      <c r="L548" s="4"/>
      <c r="M548" s="4"/>
      <c r="N548" s="9" t="str">
        <f>IFERROR(__xludf.DUMMYFUNCTION("""COMPUTED_VALUE"""),"OEPS020033")</f>
        <v>OEPS020033</v>
      </c>
      <c r="O548" s="4" t="str">
        <f>IFERROR(__xludf.DUMMYFUNCTION("""COMPUTED_VALUE"""),"RCS0402180RFKED")</f>
        <v>RCS0402180RFKED</v>
      </c>
      <c r="P548" s="4" t="str">
        <f>IFERROR(__xludf.DUMMYFUNCTION("""COMPUTED_VALUE"""),"15(Tp) ")</f>
        <v>15(Tp) </v>
      </c>
      <c r="Q548" s="4">
        <f>IFERROR(__xludf.DUMMYFUNCTION("""COMPUTED_VALUE"""),15.0)</f>
        <v>15</v>
      </c>
      <c r="R548" s="4">
        <f>IFERROR(__xludf.DUMMYFUNCTION("""COMPUTED_VALUE"""),15.0)</f>
        <v>15</v>
      </c>
      <c r="S548" s="4" t="str">
        <f>IFERROR(__xludf.DUMMYFUNCTION("""COMPUTED_VALUE"""),"Tape")</f>
        <v>Tape</v>
      </c>
      <c r="T548" s="4" t="str">
        <f>IFERROR(__xludf.DUMMYFUNCTION("""COMPUTED_VALUE"""),"0221")</f>
        <v>0221</v>
      </c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</row>
    <row r="549">
      <c r="A549" s="4" t="str">
        <f>IFERROR(__xludf.DUMMYFUNCTION("""COMPUTED_VALUE"""),"IC:   Switched-capacitor Voltage Inverter   [LM27761DSGR] [8-WSON]")</f>
        <v>IC:   Switched-capacitor Voltage Inverter   [LM27761DSGR] [8-WSON]</v>
      </c>
      <c r="B549" s="4" t="str">
        <f>IFERROR(__xludf.DUMMYFUNCTION("""COMPUTED_VALUE"""),"OEPS080196")</f>
        <v>OEPS080196</v>
      </c>
      <c r="C549" s="4" t="str">
        <f>IFERROR(__xludf.DUMMYFUNCTION("""COMPUTED_VALUE"""),"SMD")</f>
        <v>SMD</v>
      </c>
      <c r="D549" s="4" t="str">
        <f>IFERROR(__xludf.DUMMYFUNCTION("""COMPUTED_VALUE"""),"LM27761DSGR")</f>
        <v>LM27761DSGR</v>
      </c>
      <c r="E549" s="4">
        <f>IFERROR(__xludf.DUMMYFUNCTION("""COMPUTED_VALUE"""),5.0)</f>
        <v>5</v>
      </c>
      <c r="F549" s="4" t="str">
        <f>IFERROR(__xludf.DUMMYFUNCTION("""COMPUTED_VALUE"""),"DigiKey")</f>
        <v>DigiKey</v>
      </c>
      <c r="G549" s="4" t="str">
        <f>IFERROR(__xludf.DUMMYFUNCTION("""COMPUTED_VALUE"""),"296-44379-6-ND")</f>
        <v>296-44379-6-ND</v>
      </c>
      <c r="H549" s="4"/>
      <c r="I549" s="4"/>
      <c r="J549" s="4"/>
      <c r="K549" s="4"/>
      <c r="L549" s="4"/>
      <c r="M549" s="4"/>
      <c r="N549" s="9" t="str">
        <f>IFERROR(__xludf.DUMMYFUNCTION("""COMPUTED_VALUE"""),"OEPS020034")</f>
        <v>OEPS020034</v>
      </c>
      <c r="O549" s="4" t="str">
        <f>IFERROR(__xludf.DUMMYFUNCTION("""COMPUTED_VALUE"""),"RCS040239R0FKED")</f>
        <v>RCS040239R0FKED</v>
      </c>
      <c r="P549" s="4" t="str">
        <f>IFERROR(__xludf.DUMMYFUNCTION("""COMPUTED_VALUE"""),"10(Tp) 3(Tp) ")</f>
        <v>10(Tp) 3(Tp) </v>
      </c>
      <c r="Q549" s="4">
        <f>IFERROR(__xludf.DUMMYFUNCTION("""COMPUTED_VALUE"""),13.0)</f>
        <v>13</v>
      </c>
      <c r="R549" s="4">
        <f>IFERROR(__xludf.DUMMYFUNCTION("""COMPUTED_VALUE"""),10.0)</f>
        <v>10</v>
      </c>
      <c r="S549" s="4" t="str">
        <f>IFERROR(__xludf.DUMMYFUNCTION("""COMPUTED_VALUE"""),"Tape")</f>
        <v>Tape</v>
      </c>
      <c r="T549" s="4" t="str">
        <f>IFERROR(__xludf.DUMMYFUNCTION("""COMPUTED_VALUE"""),"1122")</f>
        <v>1122</v>
      </c>
      <c r="U549" s="4">
        <f>IFERROR(__xludf.DUMMYFUNCTION("""COMPUTED_VALUE"""),3.0)</f>
        <v>3</v>
      </c>
      <c r="V549" s="4" t="str">
        <f>IFERROR(__xludf.DUMMYFUNCTION("""COMPUTED_VALUE"""),"Tape")</f>
        <v>Tape</v>
      </c>
      <c r="W549" s="4" t="str">
        <f>IFERROR(__xludf.DUMMYFUNCTION("""COMPUTED_VALUE"""),"0221")</f>
        <v>0221</v>
      </c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</row>
    <row r="550">
      <c r="A550" s="4" t="str">
        <f>IFERROR(__xludf.DUMMYFUNCTION("""COMPUTED_VALUE"""),"IC:   TRANSCEIVER Half LVDS   [DS91M040TSQ/NOPB] [32-WQFN (5x5)]")</f>
        <v>IC:   TRANSCEIVER Half LVDS   [DS91M040TSQ/NOPB] [32-WQFN (5x5)]</v>
      </c>
      <c r="B550" s="4" t="str">
        <f>IFERROR(__xludf.DUMMYFUNCTION("""COMPUTED_VALUE"""),"OEPS080211")</f>
        <v>OEPS080211</v>
      </c>
      <c r="C550" s="4" t="str">
        <f>IFERROR(__xludf.DUMMYFUNCTION("""COMPUTED_VALUE"""),"SMD")</f>
        <v>SMD</v>
      </c>
      <c r="D550" s="4" t="str">
        <f>IFERROR(__xludf.DUMMYFUNCTION("""COMPUTED_VALUE"""),"DS91M040TSQ/NOPB")</f>
        <v>DS91M040TSQ/NOPB</v>
      </c>
      <c r="E550" s="4">
        <f>IFERROR(__xludf.DUMMYFUNCTION("""COMPUTED_VALUE"""),0.0)</f>
        <v>0</v>
      </c>
      <c r="F550" s="4" t="str">
        <f>IFERROR(__xludf.DUMMYFUNCTION("""COMPUTED_VALUE"""),"Digikey")</f>
        <v>Digikey</v>
      </c>
      <c r="G550" s="4" t="str">
        <f>IFERROR(__xludf.DUMMYFUNCTION("""COMPUTED_VALUE"""),"DS91M040TSQ/NOPBDKR-ND")</f>
        <v>DS91M040TSQ/NOPBDKR-ND</v>
      </c>
      <c r="H550" s="4"/>
      <c r="I550" s="4"/>
      <c r="J550" s="4"/>
      <c r="K550" s="4"/>
      <c r="L550" s="4"/>
      <c r="M550" s="4"/>
      <c r="N550" s="9" t="str">
        <f>IFERROR(__xludf.DUMMYFUNCTION("""COMPUTED_VALUE"""),"OEPS020035")</f>
        <v>OEPS020035</v>
      </c>
      <c r="O550" s="4" t="str">
        <f>IFERROR(__xludf.DUMMYFUNCTION("""COMPUTED_VALUE"""),"ERJ-3GEYJ222V")</f>
        <v>ERJ-3GEYJ222V</v>
      </c>
      <c r="P550" s="4" t="str">
        <f>IFERROR(__xludf.DUMMYFUNCTION("""COMPUTED_VALUE"""),"13(Tp) ")</f>
        <v>13(Tp) </v>
      </c>
      <c r="Q550" s="4">
        <f>IFERROR(__xludf.DUMMYFUNCTION("""COMPUTED_VALUE"""),13.0)</f>
        <v>13</v>
      </c>
      <c r="R550" s="4">
        <f>IFERROR(__xludf.DUMMYFUNCTION("""COMPUTED_VALUE"""),13.0)</f>
        <v>13</v>
      </c>
      <c r="S550" s="4" t="str">
        <f>IFERROR(__xludf.DUMMYFUNCTION("""COMPUTED_VALUE"""),"Tape")</f>
        <v>Tape</v>
      </c>
      <c r="T550" s="4" t="str">
        <f>IFERROR(__xludf.DUMMYFUNCTION("""COMPUTED_VALUE"""),"0824")</f>
        <v>0824</v>
      </c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</row>
    <row r="551">
      <c r="A551" s="4" t="str">
        <f>IFERROR(__xludf.DUMMYFUNCTION("""COMPUTED_VALUE"""),"IC:   TVS DEVICE MIXED (OEPS J30 039)   [NCP361SNT1G] [TSOT-23-5]")</f>
        <v>IC:   TVS DEVICE MIXED (OEPS J30 039)   [NCP361SNT1G] [TSOT-23-5]</v>
      </c>
      <c r="B551" s="4" t="str">
        <f>IFERROR(__xludf.DUMMYFUNCTION("""COMPUTED_VALUE"""),"OEPS080135")</f>
        <v>OEPS080135</v>
      </c>
      <c r="C551" s="4" t="str">
        <f>IFERROR(__xludf.DUMMYFUNCTION("""COMPUTED_VALUE"""),"SMD")</f>
        <v>SMD</v>
      </c>
      <c r="D551" s="4" t="str">
        <f>IFERROR(__xludf.DUMMYFUNCTION("""COMPUTED_VALUE"""),"NCP361SNT1G")</f>
        <v>NCP361SNT1G</v>
      </c>
      <c r="E551" s="4">
        <f>IFERROR(__xludf.DUMMYFUNCTION("""COMPUTED_VALUE"""),5.0)</f>
        <v>5</v>
      </c>
      <c r="F551" s="4" t="str">
        <f>IFERROR(__xludf.DUMMYFUNCTION("""COMPUTED_VALUE"""),"Digikey")</f>
        <v>Digikey</v>
      </c>
      <c r="G551" s="4" t="str">
        <f>IFERROR(__xludf.DUMMYFUNCTION("""COMPUTED_VALUE"""),"NCP361SNT1GOSDKR-ND")</f>
        <v>NCP361SNT1GOSDKR-ND</v>
      </c>
      <c r="H551" s="4"/>
      <c r="I551" s="4"/>
      <c r="J551" s="4"/>
      <c r="K551" s="4"/>
      <c r="L551" s="4"/>
      <c r="M551" s="4"/>
      <c r="N551" s="9" t="str">
        <f>IFERROR(__xludf.DUMMYFUNCTION("""COMPUTED_VALUE"""),"OEPS020036")</f>
        <v>OEPS020036</v>
      </c>
      <c r="O551" s="4" t="str">
        <f>IFERROR(__xludf.DUMMYFUNCTION("""COMPUTED_VALUE"""),"ERJ-3GEYJ432V")</f>
        <v>ERJ-3GEYJ432V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</row>
    <row r="552">
      <c r="A552" s="4" t="str">
        <f>IFERROR(__xludf.DUMMYFUNCTION("""COMPUTED_VALUE"""),"IC:   TVS DIODE ARRAY   [D3V3XA4B10LP-7] [10-UFDFN]")</f>
        <v>IC:   TVS DIODE ARRAY   [D3V3XA4B10LP-7] [10-UFDFN]</v>
      </c>
      <c r="B552" s="4" t="str">
        <f>IFERROR(__xludf.DUMMYFUNCTION("""COMPUTED_VALUE"""),"OEPS080204")</f>
        <v>OEPS080204</v>
      </c>
      <c r="C552" s="4" t="str">
        <f>IFERROR(__xludf.DUMMYFUNCTION("""COMPUTED_VALUE"""),"SMD")</f>
        <v>SMD</v>
      </c>
      <c r="D552" s="4" t="str">
        <f>IFERROR(__xludf.DUMMYFUNCTION("""COMPUTED_VALUE"""),"D3V3XA4B10LP-7")</f>
        <v>D3V3XA4B10LP-7</v>
      </c>
      <c r="E552" s="4">
        <f>IFERROR(__xludf.DUMMYFUNCTION("""COMPUTED_VALUE"""),5.0)</f>
        <v>5</v>
      </c>
      <c r="F552" s="4" t="str">
        <f>IFERROR(__xludf.DUMMYFUNCTION("""COMPUTED_VALUE"""),"Digikey")</f>
        <v>Digikey</v>
      </c>
      <c r="G552" s="4" t="str">
        <f>IFERROR(__xludf.DUMMYFUNCTION("""COMPUTED_VALUE"""),"31-D3V3XA4B10LP-7DKR-ND")</f>
        <v>31-D3V3XA4B10LP-7DKR-ND</v>
      </c>
      <c r="H552" s="4"/>
      <c r="I552" s="4"/>
      <c r="J552" s="4"/>
      <c r="K552" s="4"/>
      <c r="L552" s="4"/>
      <c r="M552" s="4"/>
      <c r="N552" s="9" t="str">
        <f>IFERROR(__xludf.DUMMYFUNCTION("""COMPUTED_VALUE"""),"OEPS020037")</f>
        <v>OEPS020037</v>
      </c>
      <c r="O552" s="4" t="str">
        <f>IFERROR(__xludf.DUMMYFUNCTION("""COMPUTED_VALUE"""),"RC0402FR-07330RL")</f>
        <v>RC0402FR-07330RL</v>
      </c>
      <c r="P552" s="4" t="str">
        <f>IFERROR(__xludf.DUMMYFUNCTION("""COMPUTED_VALUE"""),"7(Tp) 117(Tp) 2(Tp) ")</f>
        <v>7(Tp) 117(Tp) 2(Tp) </v>
      </c>
      <c r="Q552" s="4">
        <f>IFERROR(__xludf.DUMMYFUNCTION("""COMPUTED_VALUE"""),126.0)</f>
        <v>126</v>
      </c>
      <c r="R552" s="4">
        <f>IFERROR(__xludf.DUMMYFUNCTION("""COMPUTED_VALUE"""),7.0)</f>
        <v>7</v>
      </c>
      <c r="S552" s="4" t="str">
        <f>IFERROR(__xludf.DUMMYFUNCTION("""COMPUTED_VALUE"""),"Tape")</f>
        <v>Tape</v>
      </c>
      <c r="T552" s="4" t="str">
        <f>IFERROR(__xludf.DUMMYFUNCTION("""COMPUTED_VALUE"""),"1123")</f>
        <v>1123</v>
      </c>
      <c r="U552" s="4">
        <f>IFERROR(__xludf.DUMMYFUNCTION("""COMPUTED_VALUE"""),117.0)</f>
        <v>117</v>
      </c>
      <c r="V552" s="4" t="str">
        <f>IFERROR(__xludf.DUMMYFUNCTION("""COMPUTED_VALUE"""),"Tape")</f>
        <v>Tape</v>
      </c>
      <c r="W552" s="4" t="str">
        <f>IFERROR(__xludf.DUMMYFUNCTION("""COMPUTED_VALUE"""),"0224")</f>
        <v>0224</v>
      </c>
      <c r="X552" s="4">
        <f>IFERROR(__xludf.DUMMYFUNCTION("""COMPUTED_VALUE"""),2.0)</f>
        <v>2</v>
      </c>
      <c r="Y552" s="4" t="str">
        <f>IFERROR(__xludf.DUMMYFUNCTION("""COMPUTED_VALUE"""),"Tape")</f>
        <v>Tape</v>
      </c>
      <c r="Z552" s="4" t="str">
        <f>IFERROR(__xludf.DUMMYFUNCTION("""COMPUTED_VALUE"""),"XXXX")</f>
        <v>XXXX</v>
      </c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</row>
    <row r="553">
      <c r="A553" s="4" t="str">
        <f>IFERROR(__xludf.DUMMYFUNCTION("""COMPUTED_VALUE"""),"IC:   TVS DIODE ARRAY (OEPS J30 037)   [SP3010-04UTG] [10-UFDFN]")</f>
        <v>IC:   TVS DIODE ARRAY (OEPS J30 037)   [SP3010-04UTG] [10-UFDFN]</v>
      </c>
      <c r="B553" s="4" t="str">
        <f>IFERROR(__xludf.DUMMYFUNCTION("""COMPUTED_VALUE"""),"OEPS080133")</f>
        <v>OEPS080133</v>
      </c>
      <c r="C553" s="4" t="str">
        <f>IFERROR(__xludf.DUMMYFUNCTION("""COMPUTED_VALUE"""),"SMD")</f>
        <v>SMD</v>
      </c>
      <c r="D553" s="4" t="str">
        <f>IFERROR(__xludf.DUMMYFUNCTION("""COMPUTED_VALUE"""),"SP3010-04UTG")</f>
        <v>SP3010-04UTG</v>
      </c>
      <c r="E553" s="4">
        <f>IFERROR(__xludf.DUMMYFUNCTION("""COMPUTED_VALUE"""),5.0)</f>
        <v>5</v>
      </c>
      <c r="F553" s="4" t="str">
        <f>IFERROR(__xludf.DUMMYFUNCTION("""COMPUTED_VALUE"""),"Digikey")</f>
        <v>Digikey</v>
      </c>
      <c r="G553" s="4" t="str">
        <f>IFERROR(__xludf.DUMMYFUNCTION("""COMPUTED_VALUE"""),"F3507DKR-ND")</f>
        <v>F3507DKR-ND</v>
      </c>
      <c r="H553" s="4"/>
      <c r="I553" s="4"/>
      <c r="J553" s="4"/>
      <c r="K553" s="4"/>
      <c r="L553" s="4"/>
      <c r="M553" s="4"/>
      <c r="N553" s="9" t="str">
        <f>IFERROR(__xludf.DUMMYFUNCTION("""COMPUTED_VALUE"""),"OEPS020038")</f>
        <v>OEPS020038</v>
      </c>
      <c r="O553" s="4" t="str">
        <f>IFERROR(__xludf.DUMMYFUNCTION("""COMPUTED_VALUE"""),"RC0402FR-0731K6L")</f>
        <v>RC0402FR-0731K6L</v>
      </c>
      <c r="P553" s="4" t="str">
        <f>IFERROR(__xludf.DUMMYFUNCTION("""COMPUTED_VALUE"""),"48(Tp) ")</f>
        <v>48(Tp) </v>
      </c>
      <c r="Q553" s="4">
        <f>IFERROR(__xludf.DUMMYFUNCTION("""COMPUTED_VALUE"""),48.0)</f>
        <v>48</v>
      </c>
      <c r="R553" s="4">
        <f>IFERROR(__xludf.DUMMYFUNCTION("""COMPUTED_VALUE"""),48.0)</f>
        <v>48</v>
      </c>
      <c r="S553" s="4" t="str">
        <f>IFERROR(__xludf.DUMMYFUNCTION("""COMPUTED_VALUE"""),"Tape")</f>
        <v>Tape</v>
      </c>
      <c r="T553" s="4" t="str">
        <f>IFERROR(__xludf.DUMMYFUNCTION("""COMPUTED_VALUE"""),"XXXX")</f>
        <v>XXXX</v>
      </c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</row>
    <row r="554">
      <c r="A554" s="4" t="str">
        <f>IFERROR(__xludf.DUMMYFUNCTION("""COMPUTED_VALUE"""),"IC:   USB 3.0 SWITCH 2 Channel   [PI5USB30213AXEAEX] [24-XFQFN Exposed Pad]")</f>
        <v>IC:   USB 3.0 SWITCH 2 Channel   [PI5USB30213AXEAEX] [24-XFQFN Exposed Pad]</v>
      </c>
      <c r="B554" s="4" t="str">
        <f>IFERROR(__xludf.DUMMYFUNCTION("""COMPUTED_VALUE"""),"OEPS080173")</f>
        <v>OEPS080173</v>
      </c>
      <c r="C554" s="4" t="str">
        <f>IFERROR(__xludf.DUMMYFUNCTION("""COMPUTED_VALUE"""),"SMD")</f>
        <v>SMD</v>
      </c>
      <c r="D554" s="4" t="str">
        <f>IFERROR(__xludf.DUMMYFUNCTION("""COMPUTED_VALUE"""),"PI5USB30213AXEAEX")</f>
        <v>PI5USB30213AXEAEX</v>
      </c>
      <c r="E554" s="4">
        <f>IFERROR(__xludf.DUMMYFUNCTION("""COMPUTED_VALUE"""),3.0)</f>
        <v>3</v>
      </c>
      <c r="F554" s="4" t="str">
        <f>IFERROR(__xludf.DUMMYFUNCTION("""COMPUTED_VALUE"""),"Digikey")</f>
        <v>Digikey</v>
      </c>
      <c r="G554" s="4" t="str">
        <f>IFERROR(__xludf.DUMMYFUNCTION("""COMPUTED_VALUE"""),"PI5USB30213AXEAEXDIDKR-ND")</f>
        <v>PI5USB30213AXEAEXDIDKR-ND</v>
      </c>
      <c r="H554" s="4"/>
      <c r="I554" s="4"/>
      <c r="J554" s="4"/>
      <c r="K554" s="4"/>
      <c r="L554" s="4"/>
      <c r="M554" s="4"/>
      <c r="N554" s="9" t="str">
        <f>IFERROR(__xludf.DUMMYFUNCTION("""COMPUTED_VALUE"""),"OEPS020039")</f>
        <v>OEPS020039</v>
      </c>
      <c r="O554" s="4" t="str">
        <f>IFERROR(__xludf.DUMMYFUNCTION("""COMPUTED_VALUE"""),"CRM2512-FX-15R0ELF")</f>
        <v>CRM2512-FX-15R0ELF</v>
      </c>
      <c r="P554" s="4" t="str">
        <f>IFERROR(__xludf.DUMMYFUNCTION("""COMPUTED_VALUE"""),"63(R) ")</f>
        <v>63(R) </v>
      </c>
      <c r="Q554" s="4">
        <f>IFERROR(__xludf.DUMMYFUNCTION("""COMPUTED_VALUE"""),63.0)</f>
        <v>63</v>
      </c>
      <c r="R554" s="4"/>
      <c r="S554" s="4"/>
      <c r="T554" s="4"/>
      <c r="U554" s="4">
        <f>IFERROR(__xludf.DUMMYFUNCTION("""COMPUTED_VALUE"""),63.0)</f>
        <v>63</v>
      </c>
      <c r="V554" s="4" t="str">
        <f>IFERROR(__xludf.DUMMYFUNCTION("""COMPUTED_VALUE"""),"Reel")</f>
        <v>Reel</v>
      </c>
      <c r="W554" s="4" t="str">
        <f>IFERROR(__xludf.DUMMYFUNCTION("""COMPUTED_VALUE"""),"0521")</f>
        <v>0521</v>
      </c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</row>
    <row r="555">
      <c r="A555" s="4" t="str">
        <f>IFERROR(__xludf.DUMMYFUNCTION("""COMPUTED_VALUE"""),"IC:   USB BUS CONTROLLER EZ-USB FX3 (OEPS J30 038)   [CYUSB3013-BZXC] [121-TFBGA]")</f>
        <v>IC:   USB BUS CONTROLLER EZ-USB FX3 (OEPS J30 038)   [CYUSB3013-BZXC] [121-TFBGA]</v>
      </c>
      <c r="B555" s="4" t="str">
        <f>IFERROR(__xludf.DUMMYFUNCTION("""COMPUTED_VALUE"""),"OEPS080134")</f>
        <v>OEPS080134</v>
      </c>
      <c r="C555" s="4" t="str">
        <f>IFERROR(__xludf.DUMMYFUNCTION("""COMPUTED_VALUE"""),"SMD")</f>
        <v>SMD</v>
      </c>
      <c r="D555" s="4" t="str">
        <f>IFERROR(__xludf.DUMMYFUNCTION("""COMPUTED_VALUE"""),"CYUSB3013-BZXC")</f>
        <v>CYUSB3013-BZXC</v>
      </c>
      <c r="E555" s="4">
        <f>IFERROR(__xludf.DUMMYFUNCTION("""COMPUTED_VALUE"""),5.0)</f>
        <v>5</v>
      </c>
      <c r="F555" s="4" t="str">
        <f>IFERROR(__xludf.DUMMYFUNCTION("""COMPUTED_VALUE"""),"Digikey")</f>
        <v>Digikey</v>
      </c>
      <c r="G555" s="4" t="str">
        <f>IFERROR(__xludf.DUMMYFUNCTION("""COMPUTED_VALUE"""),"2156-CYUSB3013-BZXC-ND")</f>
        <v>2156-CYUSB3013-BZXC-ND</v>
      </c>
      <c r="H555" s="4"/>
      <c r="I555" s="4"/>
      <c r="J555" s="4"/>
      <c r="K555" s="4"/>
      <c r="L555" s="4"/>
      <c r="M555" s="4"/>
      <c r="N555" s="9" t="str">
        <f>IFERROR(__xludf.DUMMYFUNCTION("""COMPUTED_VALUE"""),"OEPS020040")</f>
        <v>OEPS020040</v>
      </c>
      <c r="O555" s="4" t="str">
        <f>IFERROR(__xludf.DUMMYFUNCTION("""COMPUTED_VALUE"""),"RT0402BRD074K53L")</f>
        <v>RT0402BRD074K53L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</row>
    <row r="556">
      <c r="A556" s="4" t="str">
        <f>IFERROR(__xludf.DUMMYFUNCTION("""COMPUTED_VALUE"""),"IC:   USB Hub Controller 2 Port USB 3.0   [TUSB8020BPHPR] [48-PowerTQFP]")</f>
        <v>IC:   USB Hub Controller 2 Port USB 3.0   [TUSB8020BPHPR] [48-PowerTQFP]</v>
      </c>
      <c r="B556" s="4" t="str">
        <f>IFERROR(__xludf.DUMMYFUNCTION("""COMPUTED_VALUE"""),"OEPS080105")</f>
        <v>OEPS080105</v>
      </c>
      <c r="C556" s="4" t="str">
        <f>IFERROR(__xludf.DUMMYFUNCTION("""COMPUTED_VALUE"""),"SMD")</f>
        <v>SMD</v>
      </c>
      <c r="D556" s="4" t="str">
        <f>IFERROR(__xludf.DUMMYFUNCTION("""COMPUTED_VALUE"""),"TUSB8020BPHPR")</f>
        <v>TUSB8020BPHPR</v>
      </c>
      <c r="E556" s="4">
        <f>IFERROR(__xludf.DUMMYFUNCTION("""COMPUTED_VALUE"""),0.0)</f>
        <v>0</v>
      </c>
      <c r="F556" s="4" t="str">
        <f>IFERROR(__xludf.DUMMYFUNCTION("""COMPUTED_VALUE"""),"DigiKey")</f>
        <v>DigiKey</v>
      </c>
      <c r="G556" s="4" t="str">
        <f>IFERROR(__xludf.DUMMYFUNCTION("""COMPUTED_VALUE"""),"296-41024-6-ND")</f>
        <v>296-41024-6-ND</v>
      </c>
      <c r="H556" s="4"/>
      <c r="I556" s="4"/>
      <c r="J556" s="4"/>
      <c r="K556" s="4"/>
      <c r="L556" s="4"/>
      <c r="M556" s="4"/>
      <c r="N556" s="9" t="str">
        <f>IFERROR(__xludf.DUMMYFUNCTION("""COMPUTED_VALUE"""),"OEPS020041")</f>
        <v>OEPS020041</v>
      </c>
      <c r="O556" s="4" t="str">
        <f>IFERROR(__xludf.DUMMYFUNCTION("""COMPUTED_VALUE"""),"ERJ-PA2J100X")</f>
        <v>ERJ-PA2J100X</v>
      </c>
      <c r="P556" s="4" t="str">
        <f>IFERROR(__xludf.DUMMYFUNCTION("""COMPUTED_VALUE"""),"12(Tp) ")</f>
        <v>12(Tp) </v>
      </c>
      <c r="Q556" s="4">
        <f>IFERROR(__xludf.DUMMYFUNCTION("""COMPUTED_VALUE"""),12.0)</f>
        <v>12</v>
      </c>
      <c r="R556" s="4"/>
      <c r="S556" s="4"/>
      <c r="T556" s="4"/>
      <c r="U556" s="4">
        <f>IFERROR(__xludf.DUMMYFUNCTION("""COMPUTED_VALUE"""),12.0)</f>
        <v>12</v>
      </c>
      <c r="V556" s="4" t="str">
        <f>IFERROR(__xludf.DUMMYFUNCTION("""COMPUTED_VALUE"""),"Tape")</f>
        <v>Tape</v>
      </c>
      <c r="W556" s="4" t="str">
        <f>IFERROR(__xludf.DUMMYFUNCTION("""COMPUTED_VALUE"""),"1123")</f>
        <v>1123</v>
      </c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</row>
    <row r="557">
      <c r="A557" s="4" t="str">
        <f>IFERROR(__xludf.DUMMYFUNCTION("""COMPUTED_VALUE"""),"IC:   USB Interface IC USB to Serial UART   [FT232RNL-REEL] [SSOP-28]")</f>
        <v>IC:   USB Interface IC USB to Serial UART   [FT232RNL-REEL] [SSOP-28]</v>
      </c>
      <c r="B557" s="4" t="str">
        <f>IFERROR(__xludf.DUMMYFUNCTION("""COMPUTED_VALUE"""),"OEPS080093")</f>
        <v>OEPS080093</v>
      </c>
      <c r="C557" s="4" t="str">
        <f>IFERROR(__xludf.DUMMYFUNCTION("""COMPUTED_VALUE"""),"SMD")</f>
        <v>SMD</v>
      </c>
      <c r="D557" s="4" t="str">
        <f>IFERROR(__xludf.DUMMYFUNCTION("""COMPUTED_VALUE"""),"FT232RNL-REEL")</f>
        <v>FT232RNL-REEL</v>
      </c>
      <c r="E557" s="4">
        <f>IFERROR(__xludf.DUMMYFUNCTION("""COMPUTED_VALUE"""),1.0)</f>
        <v>1</v>
      </c>
      <c r="F557" s="4" t="str">
        <f>IFERROR(__xludf.DUMMYFUNCTION("""COMPUTED_VALUE"""),"DigiKey")</f>
        <v>DigiKey</v>
      </c>
      <c r="G557" s="4" t="str">
        <f>IFERROR(__xludf.DUMMYFUNCTION("""COMPUTED_VALUE"""),"768-FT232RNL-REELDKR-ND")</f>
        <v>768-FT232RNL-REELDKR-ND</v>
      </c>
      <c r="H557" s="4"/>
      <c r="I557" s="4"/>
      <c r="J557" s="4"/>
      <c r="K557" s="4"/>
      <c r="L557" s="4"/>
      <c r="M557" s="4"/>
      <c r="N557" s="9" t="str">
        <f>IFERROR(__xludf.DUMMYFUNCTION("""COMPUTED_VALUE"""),"OEPS020042")</f>
        <v>OEPS020042</v>
      </c>
      <c r="O557" s="4" t="str">
        <f>IFERROR(__xludf.DUMMYFUNCTION("""COMPUTED_VALUE"""),"CRCW0603100RFKEAHP")</f>
        <v>CRCW0603100RFKEAHP</v>
      </c>
      <c r="P557" s="4" t="str">
        <f>IFERROR(__xludf.DUMMYFUNCTION("""COMPUTED_VALUE"""),"7(Tp) 7(Tp) 141(Tp) ")</f>
        <v>7(Tp) 7(Tp) 141(Tp) </v>
      </c>
      <c r="Q557" s="4">
        <f>IFERROR(__xludf.DUMMYFUNCTION("""COMPUTED_VALUE"""),155.0)</f>
        <v>155</v>
      </c>
      <c r="R557" s="4">
        <f>IFERROR(__xludf.DUMMYFUNCTION("""COMPUTED_VALUE"""),7.0)</f>
        <v>7</v>
      </c>
      <c r="S557" s="4" t="str">
        <f>IFERROR(__xludf.DUMMYFUNCTION("""COMPUTED_VALUE"""),"Tape")</f>
        <v>Tape</v>
      </c>
      <c r="T557" s="4" t="str">
        <f>IFERROR(__xludf.DUMMYFUNCTION("""COMPUTED_VALUE"""),"0421")</f>
        <v>0421</v>
      </c>
      <c r="U557" s="4">
        <f>IFERROR(__xludf.DUMMYFUNCTION("""COMPUTED_VALUE"""),7.0)</f>
        <v>7</v>
      </c>
      <c r="V557" s="4" t="str">
        <f>IFERROR(__xludf.DUMMYFUNCTION("""COMPUTED_VALUE"""),"Tape")</f>
        <v>Tape</v>
      </c>
      <c r="W557" s="4" t="str">
        <f>IFERROR(__xludf.DUMMYFUNCTION("""COMPUTED_VALUE"""),"0325")</f>
        <v>0325</v>
      </c>
      <c r="X557" s="4"/>
      <c r="Y557" s="4"/>
      <c r="Z557" s="4"/>
      <c r="AA557" s="4">
        <f>IFERROR(__xludf.DUMMYFUNCTION("""COMPUTED_VALUE"""),141.0)</f>
        <v>141</v>
      </c>
      <c r="AB557" s="4" t="str">
        <f>IFERROR(__xludf.DUMMYFUNCTION("""COMPUTED_VALUE"""),"Tape")</f>
        <v>Tape</v>
      </c>
      <c r="AC557" s="4" t="str">
        <f>IFERROR(__xludf.DUMMYFUNCTION("""COMPUTED_VALUE"""),"0725")</f>
        <v>0725</v>
      </c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</row>
    <row r="558">
      <c r="A558" s="4" t="str">
        <f>IFERROR(__xludf.DUMMYFUNCTION("""COMPUTED_VALUE"""),"IC:   USB Interface IC USB to Serial UART   [FT232RNQ-REEL] [32-VFQFN]")</f>
        <v>IC:   USB Interface IC USB to Serial UART   [FT232RNQ-REEL] [32-VFQFN]</v>
      </c>
      <c r="B558" s="4" t="str">
        <f>IFERROR(__xludf.DUMMYFUNCTION("""COMPUTED_VALUE"""),"OEPS080094")</f>
        <v>OEPS080094</v>
      </c>
      <c r="C558" s="4" t="str">
        <f>IFERROR(__xludf.DUMMYFUNCTION("""COMPUTED_VALUE"""),"SMD")</f>
        <v>SMD</v>
      </c>
      <c r="D558" s="4" t="str">
        <f>IFERROR(__xludf.DUMMYFUNCTION("""COMPUTED_VALUE"""),"FT232RNQ-REEL")</f>
        <v>FT232RNQ-REEL</v>
      </c>
      <c r="E558" s="4">
        <f>IFERROR(__xludf.DUMMYFUNCTION("""COMPUTED_VALUE"""),1.0)</f>
        <v>1</v>
      </c>
      <c r="F558" s="4" t="str">
        <f>IFERROR(__xludf.DUMMYFUNCTION("""COMPUTED_VALUE"""),"DigiKey")</f>
        <v>DigiKey</v>
      </c>
      <c r="G558" s="4" t="str">
        <f>IFERROR(__xludf.DUMMYFUNCTION("""COMPUTED_VALUE"""),"768-FT232RNQ-REELDKR-ND")</f>
        <v>768-FT232RNQ-REELDKR-ND</v>
      </c>
      <c r="H558" s="4"/>
      <c r="I558" s="4"/>
      <c r="J558" s="4"/>
      <c r="K558" s="4"/>
      <c r="L558" s="4"/>
      <c r="M558" s="4"/>
      <c r="N558" s="9" t="str">
        <f>IFERROR(__xludf.DUMMYFUNCTION("""COMPUTED_VALUE"""),"OEPS020043")</f>
        <v>OEPS020043</v>
      </c>
      <c r="O558" s="4" t="str">
        <f>IFERROR(__xludf.DUMMYFUNCTION("""COMPUTED_VALUE"""),"CPF0402B10KE1")</f>
        <v>CPF0402B10KE1</v>
      </c>
      <c r="P558" s="4" t="str">
        <f>IFERROR(__xludf.DUMMYFUNCTION("""COMPUTED_VALUE"""),"1000(R) ")</f>
        <v>1000(R) </v>
      </c>
      <c r="Q558" s="4">
        <f>IFERROR(__xludf.DUMMYFUNCTION("""COMPUTED_VALUE"""),1000.0)</f>
        <v>1000</v>
      </c>
      <c r="R558" s="4">
        <f>IFERROR(__xludf.DUMMYFUNCTION("""COMPUTED_VALUE"""),1000.0)</f>
        <v>1000</v>
      </c>
      <c r="S558" s="4" t="str">
        <f>IFERROR(__xludf.DUMMYFUNCTION("""COMPUTED_VALUE"""),"Reel")</f>
        <v>Reel</v>
      </c>
      <c r="T558" s="4" t="str">
        <f>IFERROR(__xludf.DUMMYFUNCTION("""COMPUTED_VALUE"""),"0325")</f>
        <v>0325</v>
      </c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</row>
    <row r="559">
      <c r="A559" s="4" t="str">
        <f>IFERROR(__xludf.DUMMYFUNCTION("""COMPUTED_VALUE"""),"IC:   USB Interface IC USB to Serial UART (OEPS NP1 073)   [FT232RL-REEL] [SSOP-28]")</f>
        <v>IC:   USB Interface IC USB to Serial UART (OEPS NP1 073)   [FT232RL-REEL] [SSOP-28]</v>
      </c>
      <c r="B559" s="4" t="str">
        <f>IFERROR(__xludf.DUMMYFUNCTION("""COMPUTED_VALUE"""),"OEPS080013")</f>
        <v>OEPS080013</v>
      </c>
      <c r="C559" s="4" t="str">
        <f>IFERROR(__xludf.DUMMYFUNCTION("""COMPUTED_VALUE"""),"SMD")</f>
        <v>SMD</v>
      </c>
      <c r="D559" s="4" t="str">
        <f>IFERROR(__xludf.DUMMYFUNCTION("""COMPUTED_VALUE"""),"FT232RL-REEL")</f>
        <v>FT232RL-REEL</v>
      </c>
      <c r="E559" s="4">
        <f>IFERROR(__xludf.DUMMYFUNCTION("""COMPUTED_VALUE"""),1.0)</f>
        <v>1</v>
      </c>
      <c r="F559" s="4" t="str">
        <f>IFERROR(__xludf.DUMMYFUNCTION("""COMPUTED_VALUE"""),"DigiKey")</f>
        <v>DigiKey</v>
      </c>
      <c r="G559" s="4" t="str">
        <f>IFERROR(__xludf.DUMMYFUNCTION("""COMPUTED_VALUE"""),"768-1007-6-ND")</f>
        <v>768-1007-6-ND</v>
      </c>
      <c r="H559" s="4"/>
      <c r="I559" s="4"/>
      <c r="J559" s="4"/>
      <c r="K559" s="4"/>
      <c r="L559" s="4"/>
      <c r="M559" s="4"/>
      <c r="N559" s="9" t="str">
        <f>IFERROR(__xludf.DUMMYFUNCTION("""COMPUTED_VALUE"""),"OEPS020044")</f>
        <v>OEPS020044</v>
      </c>
      <c r="O559" s="4" t="str">
        <f>IFERROR(__xludf.DUMMYFUNCTION("""COMPUTED_VALUE"""),"RT0402BRD0734KL")</f>
        <v>RT0402BRD0734KL</v>
      </c>
      <c r="P559" s="4" t="str">
        <f>IFERROR(__xludf.DUMMYFUNCTION("""COMPUTED_VALUE"""),"5(Tp) 2(Tp) ")</f>
        <v>5(Tp) 2(Tp) </v>
      </c>
      <c r="Q559" s="4">
        <f>IFERROR(__xludf.DUMMYFUNCTION("""COMPUTED_VALUE"""),7.0)</f>
        <v>7</v>
      </c>
      <c r="R559" s="4">
        <f>IFERROR(__xludf.DUMMYFUNCTION("""COMPUTED_VALUE"""),5.0)</f>
        <v>5</v>
      </c>
      <c r="S559" s="4" t="str">
        <f>IFERROR(__xludf.DUMMYFUNCTION("""COMPUTED_VALUE"""),"Tape")</f>
        <v>Tape</v>
      </c>
      <c r="T559" s="4" t="str">
        <f>IFERROR(__xludf.DUMMYFUNCTION("""COMPUTED_VALUE"""),"0425")</f>
        <v>0425</v>
      </c>
      <c r="U559" s="4">
        <f>IFERROR(__xludf.DUMMYFUNCTION("""COMPUTED_VALUE"""),2.0)</f>
        <v>2</v>
      </c>
      <c r="V559" s="4" t="str">
        <f>IFERROR(__xludf.DUMMYFUNCTION("""COMPUTED_VALUE"""),"Tape")</f>
        <v>Tape</v>
      </c>
      <c r="W559" s="4" t="str">
        <f>IFERROR(__xludf.DUMMYFUNCTION("""COMPUTED_VALUE"""),"1122")</f>
        <v>1122</v>
      </c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</row>
    <row r="560">
      <c r="A560" s="4" t="str">
        <f>IFERROR(__xludf.DUMMYFUNCTION("""COMPUTED_VALUE"""),"IC:   USB POWER MANAGER   [LTC3554EUD#PBF] [20-QFN]")</f>
        <v>IC:   USB POWER MANAGER   [LTC3554EUD#PBF] [20-QFN]</v>
      </c>
      <c r="B560" s="4" t="str">
        <f>IFERROR(__xludf.DUMMYFUNCTION("""COMPUTED_VALUE"""),"OEPS080113")</f>
        <v>OEPS080113</v>
      </c>
      <c r="C560" s="4" t="str">
        <f>IFERROR(__xludf.DUMMYFUNCTION("""COMPUTED_VALUE"""),"SMD")</f>
        <v>SMD</v>
      </c>
      <c r="D560" s="4" t="str">
        <f>IFERROR(__xludf.DUMMYFUNCTION("""COMPUTED_VALUE"""),"LTC3554EUD#PBF")</f>
        <v>LTC3554EUD#PBF</v>
      </c>
      <c r="E560" s="4">
        <f>IFERROR(__xludf.DUMMYFUNCTION("""COMPUTED_VALUE"""),1.0)</f>
        <v>1</v>
      </c>
      <c r="F560" s="4" t="str">
        <f>IFERROR(__xludf.DUMMYFUNCTION("""COMPUTED_VALUE"""),"DigiKey")</f>
        <v>DigiKey</v>
      </c>
      <c r="G560" s="4" t="str">
        <f>IFERROR(__xludf.DUMMYFUNCTION("""COMPUTED_VALUE"""),"LTC3554EUD#PBF-ND")</f>
        <v>LTC3554EUD#PBF-ND</v>
      </c>
      <c r="H560" s="4"/>
      <c r="I560" s="4"/>
      <c r="J560" s="4"/>
      <c r="K560" s="4"/>
      <c r="L560" s="4"/>
      <c r="M560" s="4"/>
      <c r="N560" s="9" t="str">
        <f>IFERROR(__xludf.DUMMYFUNCTION("""COMPUTED_VALUE"""),"OEPS020045")</f>
        <v>OEPS020045</v>
      </c>
      <c r="O560" s="4" t="str">
        <f>IFERROR(__xludf.DUMMYFUNCTION("""COMPUTED_VALUE"""),"CRM2512-FX-20R0ELF")</f>
        <v>CRM2512-FX-20R0ELF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</row>
    <row r="561">
      <c r="A561" s="4" t="str">
        <f>IFERROR(__xludf.DUMMYFUNCTION("""COMPUTED_VALUE"""),"IC:   USE OEPS030032 INSTEAD   [LSM0603453V] [0603]")</f>
        <v>IC:   USE OEPS030032 INSTEAD   [LSM0603453V] [0603]</v>
      </c>
      <c r="B561" s="4" t="str">
        <f>IFERROR(__xludf.DUMMYFUNCTION("""COMPUTED_VALUE"""),"OEPS080140")</f>
        <v>OEPS080140</v>
      </c>
      <c r="C561" s="4" t="str">
        <f>IFERROR(__xludf.DUMMYFUNCTION("""COMPUTED_VALUE"""),"SMD")</f>
        <v>SMD</v>
      </c>
      <c r="D561" s="4" t="str">
        <f>IFERROR(__xludf.DUMMYFUNCTION("""COMPUTED_VALUE"""),"LSM0603453V")</f>
        <v>LSM0603453V</v>
      </c>
      <c r="E561" s="4">
        <f>IFERROR(__xludf.DUMMYFUNCTION("""COMPUTED_VALUE"""),5.0)</f>
        <v>5</v>
      </c>
      <c r="F561" s="4" t="str">
        <f>IFERROR(__xludf.DUMMYFUNCTION("""COMPUTED_VALUE"""),"Digikey")</f>
        <v>Digikey</v>
      </c>
      <c r="G561" s="4" t="str">
        <f>IFERROR(__xludf.DUMMYFUNCTION("""COMPUTED_VALUE"""),"LSM0603453VDKR-ND")</f>
        <v>LSM0603453VDKR-ND</v>
      </c>
      <c r="H561" s="4"/>
      <c r="I561" s="4"/>
      <c r="J561" s="4"/>
      <c r="K561" s="4"/>
      <c r="L561" s="4"/>
      <c r="M561" s="4"/>
      <c r="N561" s="9" t="str">
        <f>IFERROR(__xludf.DUMMYFUNCTION("""COMPUTED_VALUE"""),"OEPS020046")</f>
        <v>OEPS020046</v>
      </c>
      <c r="O561" s="4" t="str">
        <f>IFERROR(__xludf.DUMMYFUNCTION("""COMPUTED_VALUE"""),"ERA-2AEB513X")</f>
        <v>ERA-2AEB513X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</row>
    <row r="562">
      <c r="A562" s="4" t="str">
        <f>IFERROR(__xludf.DUMMYFUNCTION("""COMPUTED_VALUE"""),"IC:   VREF 2.5V 0.05%   [LM4132AMF-2.5/NOPB] [SOT-23-5]")</f>
        <v>IC:   VREF 2.5V 0.05%   [LM4132AMF-2.5/NOPB] [SOT-23-5]</v>
      </c>
      <c r="B562" s="4" t="str">
        <f>IFERROR(__xludf.DUMMYFUNCTION("""COMPUTED_VALUE"""),"OEPS080214")</f>
        <v>OEPS080214</v>
      </c>
      <c r="C562" s="4" t="str">
        <f>IFERROR(__xludf.DUMMYFUNCTION("""COMPUTED_VALUE"""),"SMD")</f>
        <v>SMD</v>
      </c>
      <c r="D562" s="4" t="str">
        <f>IFERROR(__xludf.DUMMYFUNCTION("""COMPUTED_VALUE"""),"LM4132AMF-2.5/NOPB")</f>
        <v>LM4132AMF-2.5/NOPB</v>
      </c>
      <c r="E562" s="4">
        <f>IFERROR(__xludf.DUMMYFUNCTION("""COMPUTED_VALUE"""),1.0)</f>
        <v>1</v>
      </c>
      <c r="F562" s="4" t="str">
        <f>IFERROR(__xludf.DUMMYFUNCTION("""COMPUTED_VALUE"""),"Digikey")</f>
        <v>Digikey</v>
      </c>
      <c r="G562" s="4" t="str">
        <f>IFERROR(__xludf.DUMMYFUNCTION("""COMPUTED_VALUE"""),"LM4132AMF-2.5/NOPBDKR-ND")</f>
        <v>LM4132AMF-2.5/NOPBDKR-ND</v>
      </c>
      <c r="H562" s="4"/>
      <c r="I562" s="4"/>
      <c r="J562" s="4"/>
      <c r="K562" s="4"/>
      <c r="L562" s="4"/>
      <c r="M562" s="4"/>
      <c r="N562" s="9" t="str">
        <f>IFERROR(__xludf.DUMMYFUNCTION("""COMPUTED_VALUE"""),"OEPS020047")</f>
        <v>OEPS020047</v>
      </c>
      <c r="O562" s="4" t="str">
        <f>IFERROR(__xludf.DUMMYFUNCTION("""COMPUTED_VALUE"""),"RT0402BRD0714K7L")</f>
        <v>RT0402BRD0714K7L</v>
      </c>
      <c r="P562" s="4" t="str">
        <f>IFERROR(__xludf.DUMMYFUNCTION("""COMPUTED_VALUE"""),"20(Tp) ")</f>
        <v>20(Tp) </v>
      </c>
      <c r="Q562" s="4">
        <f>IFERROR(__xludf.DUMMYFUNCTION("""COMPUTED_VALUE"""),20.0)</f>
        <v>20</v>
      </c>
      <c r="R562" s="4">
        <f>IFERROR(__xludf.DUMMYFUNCTION("""COMPUTED_VALUE"""),20.0)</f>
        <v>20</v>
      </c>
      <c r="S562" s="4" t="str">
        <f>IFERROR(__xludf.DUMMYFUNCTION("""COMPUTED_VALUE"""),"Tape")</f>
        <v>Tape</v>
      </c>
      <c r="T562" s="4" t="str">
        <f>IFERROR(__xludf.DUMMYFUNCTION("""COMPUTED_VALUE"""),"0126")</f>
        <v>0126</v>
      </c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</row>
    <row r="563">
      <c r="A563" s="4" t="str">
        <f>IFERROR(__xludf.DUMMYFUNCTION("""COMPUTED_VALUE"""),"IC:   VREF 2.5V 0.8% 5mA   [AD1582ARTZ-REEL7] [SOT-23-3]")</f>
        <v>IC:   VREF 2.5V 0.8% 5mA   [AD1582ARTZ-REEL7] [SOT-23-3]</v>
      </c>
      <c r="B563" s="4" t="str">
        <f>IFERROR(__xludf.DUMMYFUNCTION("""COMPUTED_VALUE"""),"OEPS080224")</f>
        <v>OEPS080224</v>
      </c>
      <c r="C563" s="4" t="str">
        <f>IFERROR(__xludf.DUMMYFUNCTION("""COMPUTED_VALUE"""),"SMD")</f>
        <v>SMD</v>
      </c>
      <c r="D563" s="4" t="str">
        <f>IFERROR(__xludf.DUMMYFUNCTION("""COMPUTED_VALUE"""),"AD1582ARTZ-REEL7")</f>
        <v>AD1582ARTZ-REEL7</v>
      </c>
      <c r="E563" s="4">
        <f>IFERROR(__xludf.DUMMYFUNCTION("""COMPUTED_VALUE"""),1.0)</f>
        <v>1</v>
      </c>
      <c r="F563" s="4" t="str">
        <f>IFERROR(__xludf.DUMMYFUNCTION("""COMPUTED_VALUE"""),"Digikey")</f>
        <v>Digikey</v>
      </c>
      <c r="G563" s="4" t="str">
        <f>IFERROR(__xludf.DUMMYFUNCTION("""COMPUTED_VALUE"""),"505-AD1582ARTZ-REEL7DKR-ND")</f>
        <v>505-AD1582ARTZ-REEL7DKR-ND</v>
      </c>
      <c r="H563" s="4"/>
      <c r="I563" s="4"/>
      <c r="J563" s="4"/>
      <c r="K563" s="4"/>
      <c r="L563" s="4"/>
      <c r="M563" s="4"/>
      <c r="N563" s="9" t="str">
        <f>IFERROR(__xludf.DUMMYFUNCTION("""COMPUTED_VALUE"""),"OEPS020048")</f>
        <v>OEPS020048</v>
      </c>
      <c r="O563" s="4" t="str">
        <f>IFERROR(__xludf.DUMMYFUNCTION("""COMPUTED_VALUE"""),"ERJ-2RKF2402X")</f>
        <v>ERJ-2RKF2402X</v>
      </c>
      <c r="P563" s="4" t="str">
        <f>IFERROR(__xludf.DUMMYFUNCTION("""COMPUTED_VALUE"""),"1(Tp) 14(Tp) 1(Tp) ")</f>
        <v>1(Tp) 14(Tp) 1(Tp) </v>
      </c>
      <c r="Q563" s="4">
        <f>IFERROR(__xludf.DUMMYFUNCTION("""COMPUTED_VALUE"""),16.0)</f>
        <v>16</v>
      </c>
      <c r="R563" s="4"/>
      <c r="S563" s="4"/>
      <c r="T563" s="4"/>
      <c r="U563" s="4">
        <f>IFERROR(__xludf.DUMMYFUNCTION("""COMPUTED_VALUE"""),1.0)</f>
        <v>1</v>
      </c>
      <c r="V563" s="4" t="str">
        <f>IFERROR(__xludf.DUMMYFUNCTION("""COMPUTED_VALUE"""),"Tape")</f>
        <v>Tape</v>
      </c>
      <c r="W563" s="4" t="str">
        <f>IFERROR(__xludf.DUMMYFUNCTION("""COMPUTED_VALUE"""),"0224")</f>
        <v>0224</v>
      </c>
      <c r="X563" s="4">
        <f>IFERROR(__xludf.DUMMYFUNCTION("""COMPUTED_VALUE"""),14.0)</f>
        <v>14</v>
      </c>
      <c r="Y563" s="4" t="str">
        <f>IFERROR(__xludf.DUMMYFUNCTION("""COMPUTED_VALUE"""),"Tape")</f>
        <v>Tape</v>
      </c>
      <c r="Z563" s="4" t="str">
        <f>IFERROR(__xludf.DUMMYFUNCTION("""COMPUTED_VALUE"""),"1023")</f>
        <v>1023</v>
      </c>
      <c r="AA563" s="4">
        <f>IFERROR(__xludf.DUMMYFUNCTION("""COMPUTED_VALUE"""),1.0)</f>
        <v>1</v>
      </c>
      <c r="AB563" s="4" t="str">
        <f>IFERROR(__xludf.DUMMYFUNCTION("""COMPUTED_VALUE"""),"Tape")</f>
        <v>Tape</v>
      </c>
      <c r="AC563" s="4" t="str">
        <f>IFERROR(__xludf.DUMMYFUNCTION("""COMPUTED_VALUE"""),"0123")</f>
        <v>0123</v>
      </c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</row>
    <row r="564">
      <c r="A564" s="4" t="str">
        <f>IFERROR(__xludf.DUMMYFUNCTION("""COMPUTED_VALUE"""),"IC:   XTAL OSC TCXO 32MHz HCMOS 2.5ppm   [O 32,0-JT32C-A-K-3,3-LF] [4-SMD]")</f>
        <v>IC:   XTAL OSC TCXO 32MHz HCMOS 2.5ppm   [O 32,0-JT32C-A-K-3,3-LF] [4-SMD]</v>
      </c>
      <c r="B564" s="4" t="str">
        <f>IFERROR(__xludf.DUMMYFUNCTION("""COMPUTED_VALUE"""),"OEPS080014")</f>
        <v>OEPS080014</v>
      </c>
      <c r="C564" s="4" t="str">
        <f>IFERROR(__xludf.DUMMYFUNCTION("""COMPUTED_VALUE"""),"SMD")</f>
        <v>SMD</v>
      </c>
      <c r="D564" s="4" t="str">
        <f>IFERROR(__xludf.DUMMYFUNCTION("""COMPUTED_VALUE"""),"O 32,0-JT32C-A-K-3,3-LF")</f>
        <v>O 32,0-JT32C-A-K-3,3-LF</v>
      </c>
      <c r="E564" s="4">
        <f>IFERROR(__xludf.DUMMYFUNCTION("""COMPUTED_VALUE"""),5.0)</f>
        <v>5</v>
      </c>
      <c r="F564" s="4" t="str">
        <f>IFERROR(__xludf.DUMMYFUNCTION("""COMPUTED_VALUE"""),"DigiKey")</f>
        <v>DigiKey</v>
      </c>
      <c r="G564" s="4" t="str">
        <f>IFERROR(__xludf.DUMMYFUNCTION("""COMPUTED_VALUE"""),"1908-1044-6-ND")</f>
        <v>1908-1044-6-ND</v>
      </c>
      <c r="H564" s="4"/>
      <c r="I564" s="4"/>
      <c r="J564" s="4"/>
      <c r="K564" s="4"/>
      <c r="L564" s="4"/>
      <c r="M564" s="4"/>
      <c r="N564" s="9" t="str">
        <f>IFERROR(__xludf.DUMMYFUNCTION("""COMPUTED_VALUE"""),"OEPS020049")</f>
        <v>OEPS020049</v>
      </c>
      <c r="O564" s="4" t="str">
        <f>IFERROR(__xludf.DUMMYFUNCTION("""COMPUTED_VALUE"""),"MCKNP02SJ0240A10")</f>
        <v>MCKNP02SJ0240A10</v>
      </c>
      <c r="P564" s="4" t="str">
        <f>IFERROR(__xludf.DUMMYFUNCTION("""COMPUTED_VALUE"""),"3 2 ")</f>
        <v>3 2 </v>
      </c>
      <c r="Q564" s="4">
        <f>IFERROR(__xludf.DUMMYFUNCTION("""COMPUTED_VALUE"""),5.0)</f>
        <v>5</v>
      </c>
      <c r="R564" s="4">
        <f>IFERROR(__xludf.DUMMYFUNCTION("""COMPUTED_VALUE"""),3.0)</f>
        <v>3</v>
      </c>
      <c r="S564" s="4" t="str">
        <f>IFERROR(__xludf.DUMMYFUNCTION("""COMPUTED_VALUE"""),"Bag")</f>
        <v>Bag</v>
      </c>
      <c r="T564" s="4" t="str">
        <f>IFERROR(__xludf.DUMMYFUNCTION("""COMPUTED_VALUE"""),"XXXX")</f>
        <v>XXXX</v>
      </c>
      <c r="U564" s="4">
        <f>IFERROR(__xludf.DUMMYFUNCTION("""COMPUTED_VALUE"""),2.0)</f>
        <v>2</v>
      </c>
      <c r="V564" s="4" t="str">
        <f>IFERROR(__xludf.DUMMYFUNCTION("""COMPUTED_VALUE"""),"Bag")</f>
        <v>Bag</v>
      </c>
      <c r="W564" s="4" t="str">
        <f>IFERROR(__xludf.DUMMYFUNCTION("""COMPUTED_VALUE"""),"0323")</f>
        <v>0323</v>
      </c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</row>
    <row r="565">
      <c r="A565" s="4" t="str">
        <f>IFERROR(__xludf.DUMMYFUNCTION("""COMPUTED_VALUE"""),"IC:   XTAL OSC XO 26,0000MHz HCMOS 25ppm (OEPS J30 035)   [XLH536026.000000I] [6-SMD]")</f>
        <v>IC:   XTAL OSC XO 26,0000MHz HCMOS 25ppm (OEPS J30 035)   [XLH536026.000000I] [6-SMD]</v>
      </c>
      <c r="B565" s="4" t="str">
        <f>IFERROR(__xludf.DUMMYFUNCTION("""COMPUTED_VALUE"""),"OEPS080142")</f>
        <v>OEPS080142</v>
      </c>
      <c r="C565" s="4" t="str">
        <f>IFERROR(__xludf.DUMMYFUNCTION("""COMPUTED_VALUE"""),"SMD")</f>
        <v>SMD</v>
      </c>
      <c r="D565" s="4" t="str">
        <f>IFERROR(__xludf.DUMMYFUNCTION("""COMPUTED_VALUE"""),"XLH536026.000000I")</f>
        <v>XLH536026.000000I</v>
      </c>
      <c r="E565" s="4">
        <f>IFERROR(__xludf.DUMMYFUNCTION("""COMPUTED_VALUE"""),5.0)</f>
        <v>5</v>
      </c>
      <c r="F565" s="4" t="str">
        <f>IFERROR(__xludf.DUMMYFUNCTION("""COMPUTED_VALUE"""),"Digikey")</f>
        <v>Digikey</v>
      </c>
      <c r="G565" s="4" t="str">
        <f>IFERROR(__xludf.DUMMYFUNCTION("""COMPUTED_VALUE"""),"631-1320-ND")</f>
        <v>631-1320-ND</v>
      </c>
      <c r="H565" s="4"/>
      <c r="I565" s="4"/>
      <c r="J565" s="4"/>
      <c r="K565" s="4"/>
      <c r="L565" s="4"/>
      <c r="M565" s="4"/>
      <c r="N565" s="9" t="str">
        <f>IFERROR(__xludf.DUMMYFUNCTION("""COMPUTED_VALUE"""),"OEPS020050")</f>
        <v>OEPS020050</v>
      </c>
      <c r="O565" s="4" t="str">
        <f>IFERROR(__xludf.DUMMYFUNCTION("""COMPUTED_VALUE"""),"91A1A-B28-D10L")</f>
        <v>91A1A-B28-D10L</v>
      </c>
      <c r="P565" s="4" t="str">
        <f>IFERROR(__xludf.DUMMYFUNCTION("""COMPUTED_VALUE"""),"3 ")</f>
        <v>3 </v>
      </c>
      <c r="Q565" s="4">
        <f>IFERROR(__xludf.DUMMYFUNCTION("""COMPUTED_VALUE"""),3.0)</f>
        <v>3</v>
      </c>
      <c r="R565" s="4">
        <f>IFERROR(__xludf.DUMMYFUNCTION("""COMPUTED_VALUE"""),3.0)</f>
        <v>3</v>
      </c>
      <c r="S565" s="4" t="str">
        <f>IFERROR(__xludf.DUMMYFUNCTION("""COMPUTED_VALUE"""),"Bag")</f>
        <v>Bag</v>
      </c>
      <c r="T565" s="4" t="str">
        <f>IFERROR(__xludf.DUMMYFUNCTION("""COMPUTED_VALUE"""),"0525")</f>
        <v>0525</v>
      </c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</row>
    <row r="566">
      <c r="A566" s="4" t="str">
        <f>IFERROR(__xludf.DUMMYFUNCTION("""COMPUTED_VALUE"""),"IC:   XTAL OSC XO 48MHZ CMOS 25ppm   [ECS-2016MV-480-CN-TR] [4-SMD]")</f>
        <v>IC:   XTAL OSC XO 48MHZ CMOS 25ppm   [ECS-2016MV-480-CN-TR] [4-SMD]</v>
      </c>
      <c r="B566" s="4" t="str">
        <f>IFERROR(__xludf.DUMMYFUNCTION("""COMPUTED_VALUE"""),"OEPS080079")</f>
        <v>OEPS080079</v>
      </c>
      <c r="C566" s="4" t="str">
        <f>IFERROR(__xludf.DUMMYFUNCTION("""COMPUTED_VALUE"""),"SMD")</f>
        <v>SMD</v>
      </c>
      <c r="D566" s="4" t="str">
        <f>IFERROR(__xludf.DUMMYFUNCTION("""COMPUTED_VALUE"""),"ECS-2016MV-480-CN-TR")</f>
        <v>ECS-2016MV-480-CN-TR</v>
      </c>
      <c r="E566" s="4">
        <f>IFERROR(__xludf.DUMMYFUNCTION("""COMPUTED_VALUE"""),5.0)</f>
        <v>5</v>
      </c>
      <c r="F566" s="4" t="str">
        <f>IFERROR(__xludf.DUMMYFUNCTION("""COMPUTED_VALUE"""),"DigiKey")</f>
        <v>DigiKey</v>
      </c>
      <c r="G566" s="4" t="str">
        <f>IFERROR(__xludf.DUMMYFUNCTION("""COMPUTED_VALUE"""),"XC2807DKR-ND")</f>
        <v>XC2807DKR-ND</v>
      </c>
      <c r="H566" s="4"/>
      <c r="I566" s="4"/>
      <c r="J566" s="4"/>
      <c r="K566" s="4"/>
      <c r="L566" s="4"/>
      <c r="M566" s="4"/>
      <c r="N566" s="9" t="str">
        <f>IFERROR(__xludf.DUMMYFUNCTION("""COMPUTED_VALUE"""),"OEPS020051")</f>
        <v>OEPS020051</v>
      </c>
      <c r="O566" s="4" t="str">
        <f>IFERROR(__xludf.DUMMYFUNCTION("""COMPUTED_VALUE"""),"AC0402FR-07100KL")</f>
        <v>AC0402FR-07100KL</v>
      </c>
      <c r="P566" s="4" t="str">
        <f>IFERROR(__xludf.DUMMYFUNCTION("""COMPUTED_VALUE"""),"94(Tp) 150 ")</f>
        <v>94(Tp) 150 </v>
      </c>
      <c r="Q566" s="4">
        <f>IFERROR(__xludf.DUMMYFUNCTION("""COMPUTED_VALUE"""),244.0)</f>
        <v>244</v>
      </c>
      <c r="R566" s="4">
        <f>IFERROR(__xludf.DUMMYFUNCTION("""COMPUTED_VALUE"""),94.0)</f>
        <v>94</v>
      </c>
      <c r="S566" s="4" t="str">
        <f>IFERROR(__xludf.DUMMYFUNCTION("""COMPUTED_VALUE"""),"Tape")</f>
        <v>Tape</v>
      </c>
      <c r="T566" s="4" t="str">
        <f>IFERROR(__xludf.DUMMYFUNCTION("""COMPUTED_VALUE"""),"XX25")</f>
        <v>XX25</v>
      </c>
      <c r="U566" s="4">
        <f>IFERROR(__xludf.DUMMYFUNCTION("""COMPUTED_VALUE"""),150.0)</f>
        <v>150</v>
      </c>
      <c r="V566" s="4" t="str">
        <f>IFERROR(__xludf.DUMMYFUNCTION("""COMPUTED_VALUE"""),"Bag")</f>
        <v>Bag</v>
      </c>
      <c r="W566" s="4" t="str">
        <f>IFERROR(__xludf.DUMMYFUNCTION("""COMPUTED_VALUE"""),"0723")</f>
        <v>0723</v>
      </c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</row>
    <row r="567">
      <c r="A567" s="4" t="str">
        <f>IFERROR(__xludf.DUMMYFUNCTION("""COMPUTED_VALUE"""),"IC:   XTAL OSC XO 66.6667MHZ CMOS 50ppm (OEPS J05 035C)   [KC2520K66.6667C1GE00] [4-SMD]")</f>
        <v>IC:   XTAL OSC XO 66.6667MHZ CMOS 50ppm (OEPS J05 035C)   [KC2520K66.6667C1GE00] [4-SMD]</v>
      </c>
      <c r="B567" s="4" t="str">
        <f>IFERROR(__xludf.DUMMYFUNCTION("""COMPUTED_VALUE"""),"OEPS080073")</f>
        <v>OEPS080073</v>
      </c>
      <c r="C567" s="4" t="str">
        <f>IFERROR(__xludf.DUMMYFUNCTION("""COMPUTED_VALUE"""),"SMD")</f>
        <v>SMD</v>
      </c>
      <c r="D567" s="4" t="str">
        <f>IFERROR(__xludf.DUMMYFUNCTION("""COMPUTED_VALUE"""),"KC2520K66.6667C1GE00")</f>
        <v>KC2520K66.6667C1GE00</v>
      </c>
      <c r="E567" s="4">
        <f>IFERROR(__xludf.DUMMYFUNCTION("""COMPUTED_VALUE"""),3.0)</f>
        <v>3</v>
      </c>
      <c r="F567" s="4" t="str">
        <f>IFERROR(__xludf.DUMMYFUNCTION("""COMPUTED_VALUE"""),"DigiKey")</f>
        <v>DigiKey</v>
      </c>
      <c r="G567" s="4" t="str">
        <f>IFERROR(__xludf.DUMMYFUNCTION("""COMPUTED_VALUE"""),"478-KC2520K66.6667C1GE00DKR-ND")</f>
        <v>478-KC2520K66.6667C1GE00DKR-ND</v>
      </c>
      <c r="H567" s="4"/>
      <c r="I567" s="4"/>
      <c r="J567" s="4"/>
      <c r="K567" s="4"/>
      <c r="L567" s="4"/>
      <c r="M567" s="4"/>
      <c r="N567" s="9" t="str">
        <f>IFERROR(__xludf.DUMMYFUNCTION("""COMPUTED_VALUE"""),"OEPS020052")</f>
        <v>OEPS020052</v>
      </c>
      <c r="O567" s="4" t="str">
        <f>IFERROR(__xludf.DUMMYFUNCTION("""COMPUTED_VALUE"""),"MF25 1M")</f>
        <v>MF25 1M</v>
      </c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</row>
    <row r="568">
      <c r="A568" s="4" t="str">
        <f>IFERROR(__xludf.DUMMYFUNCTION("""COMPUTED_VALUE"""),"INDUCTOR:   COMMON MODE CHOKE 330mA 2LN 90Ω   [DLW21HN900SQ2L] [2.0mm X 1.2mm]")</f>
        <v>INDUCTOR:   COMMON MODE CHOKE 330mA 2LN 90Ω   [DLW21HN900SQ2L] [2.0mm X 1.2mm]</v>
      </c>
      <c r="B568" s="4" t="str">
        <f>IFERROR(__xludf.DUMMYFUNCTION("""COMPUTED_VALUE"""),"OEPS040030")</f>
        <v>OEPS040030</v>
      </c>
      <c r="C568" s="4" t="str">
        <f>IFERROR(__xludf.DUMMYFUNCTION("""COMPUTED_VALUE"""),"SMD")</f>
        <v>SMD</v>
      </c>
      <c r="D568" s="4" t="str">
        <f>IFERROR(__xludf.DUMMYFUNCTION("""COMPUTED_VALUE"""),"DLW21HN900SQ2L")</f>
        <v>DLW21HN900SQ2L</v>
      </c>
      <c r="E568" s="4">
        <f>IFERROR(__xludf.DUMMYFUNCTION("""COMPUTED_VALUE"""),10.0)</f>
        <v>10</v>
      </c>
      <c r="F568" s="4" t="str">
        <f>IFERROR(__xludf.DUMMYFUNCTION("""COMPUTED_VALUE"""),"Digikey")</f>
        <v>Digikey</v>
      </c>
      <c r="G568" s="4" t="str">
        <f>IFERROR(__xludf.DUMMYFUNCTION("""COMPUTED_VALUE"""),"490-1064-6-ND")</f>
        <v>490-1064-6-ND</v>
      </c>
      <c r="H568" s="4"/>
      <c r="I568" s="4"/>
      <c r="J568" s="4"/>
      <c r="K568" s="4"/>
      <c r="L568" s="4"/>
      <c r="M568" s="4"/>
      <c r="N568" s="9" t="str">
        <f>IFERROR(__xludf.DUMMYFUNCTION("""COMPUTED_VALUE"""),"OEPS020053")</f>
        <v>OEPS020053</v>
      </c>
      <c r="O568" s="4" t="str">
        <f>IFERROR(__xludf.DUMMYFUNCTION("""COMPUTED_VALUE"""),"MF25 100K")</f>
        <v>MF25 100K</v>
      </c>
      <c r="P568" s="4" t="str">
        <f>IFERROR(__xludf.DUMMYFUNCTION("""COMPUTED_VALUE"""),"165 ")</f>
        <v>165 </v>
      </c>
      <c r="Q568" s="4">
        <f>IFERROR(__xludf.DUMMYFUNCTION("""COMPUTED_VALUE"""),165.0)</f>
        <v>165</v>
      </c>
      <c r="R568" s="4">
        <f>IFERROR(__xludf.DUMMYFUNCTION("""COMPUTED_VALUE"""),165.0)</f>
        <v>165</v>
      </c>
      <c r="S568" s="4" t="str">
        <f>IFERROR(__xludf.DUMMYFUNCTION("""COMPUTED_VALUE"""),"Bag")</f>
        <v>Bag</v>
      </c>
      <c r="T568" s="4" t="str">
        <f>IFERROR(__xludf.DUMMYFUNCTION("""COMPUTED_VALUE"""),"0723")</f>
        <v>0723</v>
      </c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</row>
    <row r="569">
      <c r="A569" s="4" t="str">
        <f>IFERROR(__xludf.DUMMYFUNCTION("""COMPUTED_VALUE"""),"INDUCTOR:   FERRITE BEAD SMD 0201 120Ω 900mA 160mΩ   [BLM03PX121SN1D] [0201]")</f>
        <v>INDUCTOR:   FERRITE BEAD SMD 0201 120Ω 900mA 160mΩ   [BLM03PX121SN1D] [0201]</v>
      </c>
      <c r="B569" s="4" t="str">
        <f>IFERROR(__xludf.DUMMYFUNCTION("""COMPUTED_VALUE"""),"OEPS040020")</f>
        <v>OEPS040020</v>
      </c>
      <c r="C569" s="4" t="str">
        <f>IFERROR(__xludf.DUMMYFUNCTION("""COMPUTED_VALUE"""),"SMD")</f>
        <v>SMD</v>
      </c>
      <c r="D569" s="4" t="str">
        <f>IFERROR(__xludf.DUMMYFUNCTION("""COMPUTED_VALUE"""),"BLM03PX121SN1D")</f>
        <v>BLM03PX121SN1D</v>
      </c>
      <c r="E569" s="4">
        <f>IFERROR(__xludf.DUMMYFUNCTION("""COMPUTED_VALUE"""),30.0)</f>
        <v>30</v>
      </c>
      <c r="F569" s="4" t="str">
        <f>IFERROR(__xludf.DUMMYFUNCTION("""COMPUTED_VALUE"""),"DigiKey")</f>
        <v>DigiKey</v>
      </c>
      <c r="G569" s="4" t="str">
        <f>IFERROR(__xludf.DUMMYFUNCTION("""COMPUTED_VALUE"""),"490-BLM03PX121SN1DDKR-ND")</f>
        <v>490-BLM03PX121SN1DDKR-ND</v>
      </c>
      <c r="H569" s="4"/>
      <c r="I569" s="4"/>
      <c r="J569" s="4"/>
      <c r="K569" s="4"/>
      <c r="L569" s="4"/>
      <c r="M569" s="4"/>
      <c r="N569" s="9" t="str">
        <f>IFERROR(__xludf.DUMMYFUNCTION("""COMPUTED_VALUE"""),"OEPS020054")</f>
        <v>OEPS020054</v>
      </c>
      <c r="O569" s="4" t="str">
        <f>IFERROR(__xludf.DUMMYFUNCTION("""COMPUTED_VALUE"""),"MF25 22K")</f>
        <v>MF25 22K</v>
      </c>
      <c r="P569" s="4" t="str">
        <f>IFERROR(__xludf.DUMMYFUNCTION("""COMPUTED_VALUE"""),"165 ")</f>
        <v>165 </v>
      </c>
      <c r="Q569" s="4">
        <f>IFERROR(__xludf.DUMMYFUNCTION("""COMPUTED_VALUE"""),165.0)</f>
        <v>165</v>
      </c>
      <c r="R569" s="4">
        <f>IFERROR(__xludf.DUMMYFUNCTION("""COMPUTED_VALUE"""),165.0)</f>
        <v>165</v>
      </c>
      <c r="S569" s="4" t="str">
        <f>IFERROR(__xludf.DUMMYFUNCTION("""COMPUTED_VALUE"""),"Bag")</f>
        <v>Bag</v>
      </c>
      <c r="T569" s="4" t="str">
        <f>IFERROR(__xludf.DUMMYFUNCTION("""COMPUTED_VALUE"""),"0723")</f>
        <v>0723</v>
      </c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</row>
    <row r="570">
      <c r="A570" s="4" t="str">
        <f>IFERROR(__xludf.DUMMYFUNCTION("""COMPUTED_VALUE"""),"INDUCTOR:   FERRITE BEAD SMD 0201 1kΩ 200mA 1.25Ω   [BLM03AX102SN1D] [0201]")</f>
        <v>INDUCTOR:   FERRITE BEAD SMD 0201 1kΩ 200mA 1.25Ω   [BLM03AX102SN1D] [0201]</v>
      </c>
      <c r="B570" s="4" t="str">
        <f>IFERROR(__xludf.DUMMYFUNCTION("""COMPUTED_VALUE"""),"OEPS040018")</f>
        <v>OEPS040018</v>
      </c>
      <c r="C570" s="4" t="str">
        <f>IFERROR(__xludf.DUMMYFUNCTION("""COMPUTED_VALUE"""),"SMD")</f>
        <v>SMD</v>
      </c>
      <c r="D570" s="4" t="str">
        <f>IFERROR(__xludf.DUMMYFUNCTION("""COMPUTED_VALUE"""),"BLM03AX102SN1D")</f>
        <v>BLM03AX102SN1D</v>
      </c>
      <c r="E570" s="4">
        <f>IFERROR(__xludf.DUMMYFUNCTION("""COMPUTED_VALUE"""),30.0)</f>
        <v>30</v>
      </c>
      <c r="F570" s="4" t="str">
        <f>IFERROR(__xludf.DUMMYFUNCTION("""COMPUTED_VALUE"""),"DigiKey")</f>
        <v>DigiKey</v>
      </c>
      <c r="G570" s="4" t="str">
        <f>IFERROR(__xludf.DUMMYFUNCTION("""COMPUTED_VALUE"""),"490-5625-6-ND")</f>
        <v>490-5625-6-ND</v>
      </c>
      <c r="H570" s="4"/>
      <c r="I570" s="4"/>
      <c r="J570" s="4"/>
      <c r="K570" s="4"/>
      <c r="L570" s="4"/>
      <c r="M570" s="4"/>
      <c r="N570" s="9" t="str">
        <f>IFERROR(__xludf.DUMMYFUNCTION("""COMPUTED_VALUE"""),"OEPS020055")</f>
        <v>OEPS020055</v>
      </c>
      <c r="O570" s="4" t="str">
        <f>IFERROR(__xludf.DUMMYFUNCTION("""COMPUTED_VALUE"""),"MF25 2K2")</f>
        <v>MF25 2K2</v>
      </c>
      <c r="P570" s="4" t="str">
        <f>IFERROR(__xludf.DUMMYFUNCTION("""COMPUTED_VALUE"""),"165 ")</f>
        <v>165 </v>
      </c>
      <c r="Q570" s="4">
        <f>IFERROR(__xludf.DUMMYFUNCTION("""COMPUTED_VALUE"""),165.0)</f>
        <v>165</v>
      </c>
      <c r="R570" s="4">
        <f>IFERROR(__xludf.DUMMYFUNCTION("""COMPUTED_VALUE"""),165.0)</f>
        <v>165</v>
      </c>
      <c r="S570" s="4" t="str">
        <f>IFERROR(__xludf.DUMMYFUNCTION("""COMPUTED_VALUE"""),"Bag")</f>
        <v>Bag</v>
      </c>
      <c r="T570" s="4" t="str">
        <f>IFERROR(__xludf.DUMMYFUNCTION("""COMPUTED_VALUE"""),"0723")</f>
        <v>0723</v>
      </c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</row>
    <row r="571">
      <c r="A571" s="4" t="str">
        <f>IFERROR(__xludf.DUMMYFUNCTION("""COMPUTED_VALUE"""),"INDUCTOR:   FERRITE BEAD SMD 0201 500Ω 500mA 360mΩ   [BLF03RD501GZED] [0201]")</f>
        <v>INDUCTOR:   FERRITE BEAD SMD 0201 500Ω 500mA 360mΩ   [BLF03RD501GZED] [0201]</v>
      </c>
      <c r="B571" s="4" t="str">
        <f>IFERROR(__xludf.DUMMYFUNCTION("""COMPUTED_VALUE"""),"OEPS040006")</f>
        <v>OEPS040006</v>
      </c>
      <c r="C571" s="4" t="str">
        <f>IFERROR(__xludf.DUMMYFUNCTION("""COMPUTED_VALUE"""),"SMD")</f>
        <v>SMD</v>
      </c>
      <c r="D571" s="4" t="str">
        <f>IFERROR(__xludf.DUMMYFUNCTION("""COMPUTED_VALUE"""),"BLF03RD501GZED")</f>
        <v>BLF03RD501GZED</v>
      </c>
      <c r="E571" s="4">
        <f>IFERROR(__xludf.DUMMYFUNCTION("""COMPUTED_VALUE"""),30.0)</f>
        <v>30</v>
      </c>
      <c r="F571" s="4" t="str">
        <f>IFERROR(__xludf.DUMMYFUNCTION("""COMPUTED_VALUE"""),"DigiKey")</f>
        <v>DigiKey</v>
      </c>
      <c r="G571" s="4" t="str">
        <f>IFERROR(__xludf.DUMMYFUNCTION("""COMPUTED_VALUE"""),"490-BLF03RD501GZEDDKR-ND")</f>
        <v>490-BLF03RD501GZEDDKR-ND</v>
      </c>
      <c r="H571" s="4"/>
      <c r="I571" s="4"/>
      <c r="J571" s="4"/>
      <c r="K571" s="4"/>
      <c r="L571" s="4"/>
      <c r="M571" s="4"/>
      <c r="N571" s="9" t="str">
        <f>IFERROR(__xludf.DUMMYFUNCTION("""COMPUTED_VALUE"""),"OEPS020056")</f>
        <v>OEPS020056</v>
      </c>
      <c r="O571" s="4" t="str">
        <f>IFERROR(__xludf.DUMMYFUNCTION("""COMPUTED_VALUE"""),"MF25 1K")</f>
        <v>MF25 1K</v>
      </c>
      <c r="P571" s="4" t="str">
        <f>IFERROR(__xludf.DUMMYFUNCTION("""COMPUTED_VALUE"""),"165 ")</f>
        <v>165 </v>
      </c>
      <c r="Q571" s="4">
        <f>IFERROR(__xludf.DUMMYFUNCTION("""COMPUTED_VALUE"""),165.0)</f>
        <v>165</v>
      </c>
      <c r="R571" s="4">
        <f>IFERROR(__xludf.DUMMYFUNCTION("""COMPUTED_VALUE"""),165.0)</f>
        <v>165</v>
      </c>
      <c r="S571" s="4" t="str">
        <f>IFERROR(__xludf.DUMMYFUNCTION("""COMPUTED_VALUE"""),"Bag")</f>
        <v>Bag</v>
      </c>
      <c r="T571" s="4" t="str">
        <f>IFERROR(__xludf.DUMMYFUNCTION("""COMPUTED_VALUE"""),"0723")</f>
        <v>0723</v>
      </c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</row>
    <row r="572">
      <c r="A572" s="4" t="str">
        <f>IFERROR(__xludf.DUMMYFUNCTION("""COMPUTED_VALUE"""),"INDUCTOR:   FERRITE BEAD SMD 0402 1kΩ 350mA 490mΩ   [BLM15AX102SN1D] [0402]")</f>
        <v>INDUCTOR:   FERRITE BEAD SMD 0402 1kΩ 350mA 490mΩ   [BLM15AX102SN1D] [0402]</v>
      </c>
      <c r="B572" s="4" t="str">
        <f>IFERROR(__xludf.DUMMYFUNCTION("""COMPUTED_VALUE"""),"OEPS040016")</f>
        <v>OEPS040016</v>
      </c>
      <c r="C572" s="4" t="str">
        <f>IFERROR(__xludf.DUMMYFUNCTION("""COMPUTED_VALUE"""),"SMD")</f>
        <v>SMD</v>
      </c>
      <c r="D572" s="4" t="str">
        <f>IFERROR(__xludf.DUMMYFUNCTION("""COMPUTED_VALUE"""),"BLM15AX102SN1D")</f>
        <v>BLM15AX102SN1D</v>
      </c>
      <c r="E572" s="4">
        <f>IFERROR(__xludf.DUMMYFUNCTION("""COMPUTED_VALUE"""),20.0)</f>
        <v>20</v>
      </c>
      <c r="F572" s="4" t="str">
        <f>IFERROR(__xludf.DUMMYFUNCTION("""COMPUTED_VALUE"""),"DigiKey")</f>
        <v>DigiKey</v>
      </c>
      <c r="G572" s="4" t="str">
        <f>IFERROR(__xludf.DUMMYFUNCTION("""COMPUTED_VALUE"""),"490-5442-6-ND")</f>
        <v>490-5442-6-ND</v>
      </c>
      <c r="H572" s="4"/>
      <c r="I572" s="4"/>
      <c r="J572" s="4"/>
      <c r="K572" s="4"/>
      <c r="L572" s="4"/>
      <c r="M572" s="4"/>
      <c r="N572" s="9" t="str">
        <f>IFERROR(__xludf.DUMMYFUNCTION("""COMPUTED_VALUE"""),"OEPS020057")</f>
        <v>OEPS020057</v>
      </c>
      <c r="O572" s="4" t="str">
        <f>IFERROR(__xludf.DUMMYFUNCTION("""COMPUTED_VALUE"""),"MF25 220R")</f>
        <v>MF25 220R</v>
      </c>
      <c r="P572" s="4" t="str">
        <f>IFERROR(__xludf.DUMMYFUNCTION("""COMPUTED_VALUE"""),"165 ")</f>
        <v>165 </v>
      </c>
      <c r="Q572" s="4">
        <f>IFERROR(__xludf.DUMMYFUNCTION("""COMPUTED_VALUE"""),165.0)</f>
        <v>165</v>
      </c>
      <c r="R572" s="4">
        <f>IFERROR(__xludf.DUMMYFUNCTION("""COMPUTED_VALUE"""),165.0)</f>
        <v>165</v>
      </c>
      <c r="S572" s="4" t="str">
        <f>IFERROR(__xludf.DUMMYFUNCTION("""COMPUTED_VALUE"""),"Bag")</f>
        <v>Bag</v>
      </c>
      <c r="T572" s="4" t="str">
        <f>IFERROR(__xludf.DUMMYFUNCTION("""COMPUTED_VALUE"""),"0723")</f>
        <v>0723</v>
      </c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</row>
    <row r="573">
      <c r="A573" s="4" t="str">
        <f>IFERROR(__xludf.DUMMYFUNCTION("""COMPUTED_VALUE"""),"INDUCTOR:   FERRITE BEAD SMD 0402 600Ω 900mA 230mΩ   [BLM15PX601SN1D] [0402]")</f>
        <v>INDUCTOR:   FERRITE BEAD SMD 0402 600Ω 900mA 230mΩ   [BLM15PX601SN1D] [0402]</v>
      </c>
      <c r="B573" s="4" t="str">
        <f>IFERROR(__xludf.DUMMYFUNCTION("""COMPUTED_VALUE"""),"OEPS040019")</f>
        <v>OEPS040019</v>
      </c>
      <c r="C573" s="4" t="str">
        <f>IFERROR(__xludf.DUMMYFUNCTION("""COMPUTED_VALUE"""),"SMD")</f>
        <v>SMD</v>
      </c>
      <c r="D573" s="4" t="str">
        <f>IFERROR(__xludf.DUMMYFUNCTION("""COMPUTED_VALUE"""),"BLM15PX601SN1D")</f>
        <v>BLM15PX601SN1D</v>
      </c>
      <c r="E573" s="4">
        <f>IFERROR(__xludf.DUMMYFUNCTION("""COMPUTED_VALUE"""),20.0)</f>
        <v>20</v>
      </c>
      <c r="F573" s="4" t="str">
        <f>IFERROR(__xludf.DUMMYFUNCTION("""COMPUTED_VALUE"""),"DigiKey")</f>
        <v>DigiKey</v>
      </c>
      <c r="G573" s="4" t="str">
        <f>IFERROR(__xludf.DUMMYFUNCTION("""COMPUTED_VALUE"""),"490-9657-6-ND")</f>
        <v>490-9657-6-ND</v>
      </c>
      <c r="H573" s="4"/>
      <c r="I573" s="4"/>
      <c r="J573" s="4"/>
      <c r="K573" s="4"/>
      <c r="L573" s="4"/>
      <c r="M573" s="4"/>
      <c r="N573" s="9" t="str">
        <f>IFERROR(__xludf.DUMMYFUNCTION("""COMPUTED_VALUE"""),"OEPS020058")</f>
        <v>OEPS020058</v>
      </c>
      <c r="O573" s="4" t="str">
        <f>IFERROR(__xludf.DUMMYFUNCTION("""COMPUTED_VALUE"""),"CRCW02017K15FKED")</f>
        <v>CRCW02017K15FKED</v>
      </c>
      <c r="P573" s="4" t="str">
        <f>IFERROR(__xludf.DUMMYFUNCTION("""COMPUTED_VALUE"""),"20(Tp) ")</f>
        <v>20(Tp) </v>
      </c>
      <c r="Q573" s="4">
        <f>IFERROR(__xludf.DUMMYFUNCTION("""COMPUTED_VALUE"""),20.0)</f>
        <v>20</v>
      </c>
      <c r="R573" s="4">
        <f>IFERROR(__xludf.DUMMYFUNCTION("""COMPUTED_VALUE"""),20.0)</f>
        <v>20</v>
      </c>
      <c r="S573" s="4" t="str">
        <f>IFERROR(__xludf.DUMMYFUNCTION("""COMPUTED_VALUE"""),"Tape")</f>
        <v>Tape</v>
      </c>
      <c r="T573" s="4" t="str">
        <f>IFERROR(__xludf.DUMMYFUNCTION("""COMPUTED_VALUE"""),"0923")</f>
        <v>0923</v>
      </c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</row>
    <row r="574">
      <c r="A574" s="4" t="str">
        <f>IFERROR(__xludf.DUMMYFUNCTION("""COMPUTED_VALUE"""),"INDUCTOR:   FERRITE BEAD SMD 0603 600Ω 1.3A 150mΩ (OEPS J30 030)   [BLM18KG601SN1D] [0603]")</f>
        <v>INDUCTOR:   FERRITE BEAD SMD 0603 600Ω 1.3A 150mΩ (OEPS J30 030)   [BLM18KG601SN1D] [0603]</v>
      </c>
      <c r="B574" s="4" t="str">
        <f>IFERROR(__xludf.DUMMYFUNCTION("""COMPUTED_VALUE"""),"OEPS040029")</f>
        <v>OEPS040029</v>
      </c>
      <c r="C574" s="4" t="str">
        <f>IFERROR(__xludf.DUMMYFUNCTION("""COMPUTED_VALUE"""),"SMD")</f>
        <v>SMD</v>
      </c>
      <c r="D574" s="4" t="str">
        <f>IFERROR(__xludf.DUMMYFUNCTION("""COMPUTED_VALUE"""),"BLM18KG601SN1D")</f>
        <v>BLM18KG601SN1D</v>
      </c>
      <c r="E574" s="4">
        <f>IFERROR(__xludf.DUMMYFUNCTION("""COMPUTED_VALUE"""),20.0)</f>
        <v>20</v>
      </c>
      <c r="F574" s="4" t="str">
        <f>IFERROR(__xludf.DUMMYFUNCTION("""COMPUTED_VALUE"""),"Digikey")</f>
        <v>Digikey</v>
      </c>
      <c r="G574" s="4" t="str">
        <f>IFERROR(__xludf.DUMMYFUNCTION("""COMPUTED_VALUE"""),"490-5258-6-ND")</f>
        <v>490-5258-6-ND</v>
      </c>
      <c r="H574" s="4"/>
      <c r="I574" s="4"/>
      <c r="J574" s="4"/>
      <c r="K574" s="4"/>
      <c r="L574" s="4"/>
      <c r="M574" s="4"/>
      <c r="N574" s="9" t="str">
        <f>IFERROR(__xludf.DUMMYFUNCTION("""COMPUTED_VALUE"""),"OEPS020059")</f>
        <v>OEPS020059</v>
      </c>
      <c r="O574" s="4" t="str">
        <f>IFERROR(__xludf.DUMMYFUNCTION("""COMPUTED_VALUE"""),"CR0402-FX-1501GLF")</f>
        <v>CR0402-FX-1501GLF</v>
      </c>
      <c r="P574" s="4" t="str">
        <f>IFERROR(__xludf.DUMMYFUNCTION("""COMPUTED_VALUE"""),"50(Tp) ")</f>
        <v>50(Tp) </v>
      </c>
      <c r="Q574" s="4">
        <f>IFERROR(__xludf.DUMMYFUNCTION("""COMPUTED_VALUE"""),50.0)</f>
        <v>50</v>
      </c>
      <c r="R574" s="4">
        <f>IFERROR(__xludf.DUMMYFUNCTION("""COMPUTED_VALUE"""),50.0)</f>
        <v>50</v>
      </c>
      <c r="S574" s="4" t="str">
        <f>IFERROR(__xludf.DUMMYFUNCTION("""COMPUTED_VALUE"""),"Tape")</f>
        <v>Tape</v>
      </c>
      <c r="T574" s="4" t="str">
        <f>IFERROR(__xludf.DUMMYFUNCTION("""COMPUTED_VALUE"""),"0723")</f>
        <v>0723</v>
      </c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</row>
    <row r="575">
      <c r="A575" s="4" t="str">
        <f>IFERROR(__xludf.DUMMYFUNCTION("""COMPUTED_VALUE"""),"INDUCTOR:   FERRITE BEAD SMD 0805 1kΩ 1.5A 150mΩ   [MPZ2012S102AT000] [SMD]")</f>
        <v>INDUCTOR:   FERRITE BEAD SMD 0805 1kΩ 1.5A 150mΩ   [MPZ2012S102AT000] [SMD]</v>
      </c>
      <c r="B575" s="4" t="str">
        <f>IFERROR(__xludf.DUMMYFUNCTION("""COMPUTED_VALUE"""),"OEPS040034")</f>
        <v>OEPS040034</v>
      </c>
      <c r="C575" s="4" t="str">
        <f>IFERROR(__xludf.DUMMYFUNCTION("""COMPUTED_VALUE"""),"SMD")</f>
        <v>SMD</v>
      </c>
      <c r="D575" s="4" t="str">
        <f>IFERROR(__xludf.DUMMYFUNCTION("""COMPUTED_VALUE"""),"MPZ2012S102AT000")</f>
        <v>MPZ2012S102AT000</v>
      </c>
      <c r="E575" s="4">
        <f>IFERROR(__xludf.DUMMYFUNCTION("""COMPUTED_VALUE"""),5.0)</f>
        <v>5</v>
      </c>
      <c r="F575" s="4" t="str">
        <f>IFERROR(__xludf.DUMMYFUNCTION("""COMPUTED_VALUE"""),"Digikey")</f>
        <v>Digikey</v>
      </c>
      <c r="G575" s="4" t="str">
        <f>IFERROR(__xludf.DUMMYFUNCTION("""COMPUTED_VALUE"""),"445-MPZ2012S102AT000DKR-ND")</f>
        <v>445-MPZ2012S102AT000DKR-ND</v>
      </c>
      <c r="H575" s="4"/>
      <c r="I575" s="4"/>
      <c r="J575" s="4"/>
      <c r="K575" s="4"/>
      <c r="L575" s="4"/>
      <c r="M575" s="4"/>
      <c r="N575" s="9" t="str">
        <f>IFERROR(__xludf.DUMMYFUNCTION("""COMPUTED_VALUE"""),"OEPS020060")</f>
        <v>OEPS020060</v>
      </c>
      <c r="O575" s="4" t="str">
        <f>IFERROR(__xludf.DUMMYFUNCTION("""COMPUTED_VALUE"""),"CRCW0402270RFKEDC")</f>
        <v>CRCW0402270RFKEDC</v>
      </c>
      <c r="P575" s="4" t="str">
        <f>IFERROR(__xludf.DUMMYFUNCTION("""COMPUTED_VALUE"""),"7(Tp) ")</f>
        <v>7(Tp) </v>
      </c>
      <c r="Q575" s="4">
        <f>IFERROR(__xludf.DUMMYFUNCTION("""COMPUTED_VALUE"""),7.0)</f>
        <v>7</v>
      </c>
      <c r="R575" s="4">
        <f>IFERROR(__xludf.DUMMYFUNCTION("""COMPUTED_VALUE"""),7.0)</f>
        <v>7</v>
      </c>
      <c r="S575" s="4" t="str">
        <f>IFERROR(__xludf.DUMMYFUNCTION("""COMPUTED_VALUE"""),"Tape")</f>
        <v>Tape</v>
      </c>
      <c r="T575" s="4" t="str">
        <f>IFERROR(__xludf.DUMMYFUNCTION("""COMPUTED_VALUE"""),"0925")</f>
        <v>0925</v>
      </c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</row>
    <row r="576">
      <c r="A576" s="4" t="str">
        <f>IFERROR(__xludf.DUMMYFUNCTION("""COMPUTED_VALUE"""),"INDUCTOR:   FERRITE BEAD SMD 0805 220Ω 2A 45mΩ (OEPS J30 029)   [BLM21PG221SN1D] [0805]")</f>
        <v>INDUCTOR:   FERRITE BEAD SMD 0805 220Ω 2A 45mΩ (OEPS J30 029)   [BLM21PG221SN1D] [0805]</v>
      </c>
      <c r="B576" s="4" t="str">
        <f>IFERROR(__xludf.DUMMYFUNCTION("""COMPUTED_VALUE"""),"OEPS040028")</f>
        <v>OEPS040028</v>
      </c>
      <c r="C576" s="4" t="str">
        <f>IFERROR(__xludf.DUMMYFUNCTION("""COMPUTED_VALUE"""),"SMD")</f>
        <v>SMD</v>
      </c>
      <c r="D576" s="4" t="str">
        <f>IFERROR(__xludf.DUMMYFUNCTION("""COMPUTED_VALUE"""),"BLM21PG221SN1D")</f>
        <v>BLM21PG221SN1D</v>
      </c>
      <c r="E576" s="4">
        <f>IFERROR(__xludf.DUMMYFUNCTION("""COMPUTED_VALUE"""),20.0)</f>
        <v>20</v>
      </c>
      <c r="F576" s="4" t="str">
        <f>IFERROR(__xludf.DUMMYFUNCTION("""COMPUTED_VALUE"""),"Digikey")</f>
        <v>Digikey</v>
      </c>
      <c r="G576" s="4" t="str">
        <f>IFERROR(__xludf.DUMMYFUNCTION("""COMPUTED_VALUE"""),"490-1054-6-ND")</f>
        <v>490-1054-6-ND</v>
      </c>
      <c r="H576" s="4"/>
      <c r="I576" s="4"/>
      <c r="J576" s="4"/>
      <c r="K576" s="4"/>
      <c r="L576" s="4"/>
      <c r="M576" s="4"/>
      <c r="N576" s="9" t="str">
        <f>IFERROR(__xludf.DUMMYFUNCTION("""COMPUTED_VALUE"""),"OEPS020062")</f>
        <v>OEPS020062</v>
      </c>
      <c r="O576" s="4" t="str">
        <f>IFERROR(__xludf.DUMMYFUNCTION("""COMPUTED_VALUE"""),"ERJ-2RKF1403X")</f>
        <v>ERJ-2RKF1403X</v>
      </c>
      <c r="P576" s="4" t="str">
        <f>IFERROR(__xludf.DUMMYFUNCTION("""COMPUTED_VALUE"""),"9(Tp) ")</f>
        <v>9(Tp) </v>
      </c>
      <c r="Q576" s="4">
        <f>IFERROR(__xludf.DUMMYFUNCTION("""COMPUTED_VALUE"""),9.0)</f>
        <v>9</v>
      </c>
      <c r="R576" s="4">
        <f>IFERROR(__xludf.DUMMYFUNCTION("""COMPUTED_VALUE"""),9.0)</f>
        <v>9</v>
      </c>
      <c r="S576" s="4" t="str">
        <f>IFERROR(__xludf.DUMMYFUNCTION("""COMPUTED_VALUE"""),"Tape")</f>
        <v>Tape</v>
      </c>
      <c r="T576" s="4" t="str">
        <f>IFERROR(__xludf.DUMMYFUNCTION("""COMPUTED_VALUE"""),"0326")</f>
        <v>0326</v>
      </c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</row>
    <row r="577">
      <c r="A577" s="4" t="str">
        <f>IFERROR(__xludf.DUMMYFUNCTION("""COMPUTED_VALUE"""),"INDUCTOR:   FERRITE BEAD SMD 0805 600Ω 2A 100mΩ (OEPS J30 032)   [MPZ2012S601AT000] [0805]")</f>
        <v>INDUCTOR:   FERRITE BEAD SMD 0805 600Ω 2A 100mΩ (OEPS J30 032)   [MPZ2012S601AT000] [0805]</v>
      </c>
      <c r="B577" s="4" t="str">
        <f>IFERROR(__xludf.DUMMYFUNCTION("""COMPUTED_VALUE"""),"OEPS040027")</f>
        <v>OEPS040027</v>
      </c>
      <c r="C577" s="4" t="str">
        <f>IFERROR(__xludf.DUMMYFUNCTION("""COMPUTED_VALUE"""),"SMD")</f>
        <v>SMD</v>
      </c>
      <c r="D577" s="4" t="str">
        <f>IFERROR(__xludf.DUMMYFUNCTION("""COMPUTED_VALUE"""),"MPZ2012S601AT000")</f>
        <v>MPZ2012S601AT000</v>
      </c>
      <c r="E577" s="4">
        <f>IFERROR(__xludf.DUMMYFUNCTION("""COMPUTED_VALUE"""),20.0)</f>
        <v>20</v>
      </c>
      <c r="F577" s="4" t="str">
        <f>IFERROR(__xludf.DUMMYFUNCTION("""COMPUTED_VALUE"""),"Digikey")</f>
        <v>Digikey</v>
      </c>
      <c r="G577" s="4" t="str">
        <f>IFERROR(__xludf.DUMMYFUNCTION("""COMPUTED_VALUE"""),"445-MPZ2012S601AT000DKR-ND")</f>
        <v>445-MPZ2012S601AT000DKR-ND</v>
      </c>
      <c r="H577" s="4"/>
      <c r="I577" s="4"/>
      <c r="J577" s="4"/>
      <c r="K577" s="4"/>
      <c r="L577" s="4"/>
      <c r="M577" s="4"/>
      <c r="N577" s="9" t="str">
        <f>IFERROR(__xludf.DUMMYFUNCTION("""COMPUTED_VALUE"""),"OEPS020063")</f>
        <v>OEPS020063</v>
      </c>
      <c r="O577" s="4" t="str">
        <f>IFERROR(__xludf.DUMMYFUNCTION("""COMPUTED_VALUE"""),"ERJ-2RKF2701X")</f>
        <v>ERJ-2RKF2701X</v>
      </c>
      <c r="P577" s="4" t="str">
        <f>IFERROR(__xludf.DUMMYFUNCTION("""COMPUTED_VALUE"""),"207(Tp) 31(Tp) 1(Tp) ")</f>
        <v>207(Tp) 31(Tp) 1(Tp) </v>
      </c>
      <c r="Q577" s="4">
        <f>IFERROR(__xludf.DUMMYFUNCTION("""COMPUTED_VALUE"""),239.0)</f>
        <v>239</v>
      </c>
      <c r="R577" s="4">
        <f>IFERROR(__xludf.DUMMYFUNCTION("""COMPUTED_VALUE"""),207.0)</f>
        <v>207</v>
      </c>
      <c r="S577" s="4" t="str">
        <f>IFERROR(__xludf.DUMMYFUNCTION("""COMPUTED_VALUE"""),"Tape")</f>
        <v>Tape</v>
      </c>
      <c r="T577" s="4" t="str">
        <f>IFERROR(__xludf.DUMMYFUNCTION("""COMPUTED_VALUE"""),"XXXX")</f>
        <v>XXXX</v>
      </c>
      <c r="U577" s="4">
        <f>IFERROR(__xludf.DUMMYFUNCTION("""COMPUTED_VALUE"""),31.0)</f>
        <v>31</v>
      </c>
      <c r="V577" s="4" t="str">
        <f>IFERROR(__xludf.DUMMYFUNCTION("""COMPUTED_VALUE"""),"Tape")</f>
        <v>Tape</v>
      </c>
      <c r="W577" s="4" t="str">
        <f>IFERROR(__xludf.DUMMYFUNCTION("""COMPUTED_VALUE"""),"0224")</f>
        <v>0224</v>
      </c>
      <c r="X577" s="4">
        <f>IFERROR(__xludf.DUMMYFUNCTION("""COMPUTED_VALUE"""),1.0)</f>
        <v>1</v>
      </c>
      <c r="Y577" s="4" t="str">
        <f>IFERROR(__xludf.DUMMYFUNCTION("""COMPUTED_VALUE"""),"Tape")</f>
        <v>Tape</v>
      </c>
      <c r="Z577" s="4" t="str">
        <f>IFERROR(__xludf.DUMMYFUNCTION("""COMPUTED_VALUE"""),"XXXX")</f>
        <v>XXXX</v>
      </c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</row>
    <row r="578">
      <c r="A578" s="4" t="str">
        <f>IFERROR(__xludf.DUMMYFUNCTION("""COMPUTED_VALUE"""),"INDUCTOR:   FERRITE BEAD SMD 1kΩ 250mA 1.25Ω (OEPS J05 016)   [BLM15HD102SN1D] [0402]")</f>
        <v>INDUCTOR:   FERRITE BEAD SMD 1kΩ 250mA 1.25Ω (OEPS J05 016)   [BLM15HD102SN1D] [0402]</v>
      </c>
      <c r="B578" s="4" t="str">
        <f>IFERROR(__xludf.DUMMYFUNCTION("""COMPUTED_VALUE"""),"OEPS040013")</f>
        <v>OEPS040013</v>
      </c>
      <c r="C578" s="4" t="str">
        <f>IFERROR(__xludf.DUMMYFUNCTION("""COMPUTED_VALUE"""),"SMD")</f>
        <v>SMD</v>
      </c>
      <c r="D578" s="4" t="str">
        <f>IFERROR(__xludf.DUMMYFUNCTION("""COMPUTED_VALUE"""),"BLM15HD102SN1D")</f>
        <v>BLM15HD102SN1D</v>
      </c>
      <c r="E578" s="4">
        <f>IFERROR(__xludf.DUMMYFUNCTION("""COMPUTED_VALUE"""),20.0)</f>
        <v>20</v>
      </c>
      <c r="F578" s="4" t="str">
        <f>IFERROR(__xludf.DUMMYFUNCTION("""COMPUTED_VALUE"""),"DigiKey")</f>
        <v>DigiKey</v>
      </c>
      <c r="G578" s="4" t="str">
        <f>IFERROR(__xludf.DUMMYFUNCTION("""COMPUTED_VALUE"""),"490-4003-6-ND")</f>
        <v>490-4003-6-ND</v>
      </c>
      <c r="H578" s="4"/>
      <c r="I578" s="4"/>
      <c r="J578" s="4"/>
      <c r="K578" s="4"/>
      <c r="L578" s="4"/>
      <c r="M578" s="4"/>
      <c r="N578" s="9" t="str">
        <f>IFERROR(__xludf.DUMMYFUNCTION("""COMPUTED_VALUE"""),"OEPS020064")</f>
        <v>OEPS020064</v>
      </c>
      <c r="O578" s="4" t="str">
        <f>IFERROR(__xludf.DUMMYFUNCTION("""COMPUTED_VALUE"""),"ERJ-2RKF1202X")</f>
        <v>ERJ-2RKF1202X</v>
      </c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</row>
    <row r="579">
      <c r="A579" s="4" t="str">
        <f>IFERROR(__xludf.DUMMYFUNCTION("""COMPUTED_VALUE"""),"INDUCTOR:   FERRITE BEAD SMD 220Ω 4A 30% 20mΩ   [FBMH3216HM221NTV] [1206]")</f>
        <v>INDUCTOR:   FERRITE BEAD SMD 220Ω 4A 30% 20mΩ   [FBMH3216HM221NTV] [1206]</v>
      </c>
      <c r="B579" s="4" t="str">
        <f>IFERROR(__xludf.DUMMYFUNCTION("""COMPUTED_VALUE"""),"OEPS040002")</f>
        <v>OEPS040002</v>
      </c>
      <c r="C579" s="4" t="str">
        <f>IFERROR(__xludf.DUMMYFUNCTION("""COMPUTED_VALUE"""),"SMD")</f>
        <v>SMD</v>
      </c>
      <c r="D579" s="4" t="str">
        <f>IFERROR(__xludf.DUMMYFUNCTION("""COMPUTED_VALUE"""),"FBMH3216HM221NTV")</f>
        <v>FBMH3216HM221NTV</v>
      </c>
      <c r="E579" s="4">
        <f>IFERROR(__xludf.DUMMYFUNCTION("""COMPUTED_VALUE"""),10.0)</f>
        <v>10</v>
      </c>
      <c r="F579" s="4" t="str">
        <f>IFERROR(__xludf.DUMMYFUNCTION("""COMPUTED_VALUE"""),"DigiKey")</f>
        <v>DigiKey</v>
      </c>
      <c r="G579" s="4" t="str">
        <f>IFERROR(__xludf.DUMMYFUNCTION("""COMPUTED_VALUE"""),"587-3834-6-ND")</f>
        <v>587-3834-6-ND</v>
      </c>
      <c r="H579" s="4"/>
      <c r="I579" s="4"/>
      <c r="J579" s="4"/>
      <c r="K579" s="4"/>
      <c r="L579" s="4"/>
      <c r="M579" s="4"/>
      <c r="N579" s="9" t="str">
        <f>IFERROR(__xludf.DUMMYFUNCTION("""COMPUTED_VALUE"""),"OEPS020065")</f>
        <v>OEPS020065</v>
      </c>
      <c r="O579" s="4" t="str">
        <f>IFERROR(__xludf.DUMMYFUNCTION("""COMPUTED_VALUE"""),"RC0201FR-071KL")</f>
        <v>RC0201FR-071KL</v>
      </c>
      <c r="P579" s="4" t="str">
        <f>IFERROR(__xludf.DUMMYFUNCTION("""COMPUTED_VALUE"""),"58(Tp) ")</f>
        <v>58(Tp) </v>
      </c>
      <c r="Q579" s="4">
        <f>IFERROR(__xludf.DUMMYFUNCTION("""COMPUTED_VALUE"""),58.0)</f>
        <v>58</v>
      </c>
      <c r="R579" s="4">
        <f>IFERROR(__xludf.DUMMYFUNCTION("""COMPUTED_VALUE"""),58.0)</f>
        <v>58</v>
      </c>
      <c r="S579" s="4" t="str">
        <f>IFERROR(__xludf.DUMMYFUNCTION("""COMPUTED_VALUE"""),"Tape")</f>
        <v>Tape</v>
      </c>
      <c r="T579" s="4" t="str">
        <f>IFERROR(__xludf.DUMMYFUNCTION("""COMPUTED_VALUE"""),"0923")</f>
        <v>0923</v>
      </c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</row>
    <row r="580">
      <c r="A580" s="4" t="str">
        <f>IFERROR(__xludf.DUMMYFUNCTION("""COMPUTED_VALUE"""),"INDUCTOR:   FERRITE BEAD SMD 30Ω 1A 50mΩ   [BLM18PG300SN1D] [0603]")</f>
        <v>INDUCTOR:   FERRITE BEAD SMD 30Ω 1A 50mΩ   [BLM18PG300SN1D] [0603]</v>
      </c>
      <c r="B580" s="4" t="str">
        <f>IFERROR(__xludf.DUMMYFUNCTION("""COMPUTED_VALUE"""),"OEPS040008")</f>
        <v>OEPS040008</v>
      </c>
      <c r="C580" s="4" t="str">
        <f>IFERROR(__xludf.DUMMYFUNCTION("""COMPUTED_VALUE"""),"SMD")</f>
        <v>SMD</v>
      </c>
      <c r="D580" s="4" t="str">
        <f>IFERROR(__xludf.DUMMYFUNCTION("""COMPUTED_VALUE"""),"BLM18PG300SN1D")</f>
        <v>BLM18PG300SN1D</v>
      </c>
      <c r="E580" s="4">
        <f>IFERROR(__xludf.DUMMYFUNCTION("""COMPUTED_VALUE"""),20.0)</f>
        <v>20</v>
      </c>
      <c r="F580" s="4" t="str">
        <f>IFERROR(__xludf.DUMMYFUNCTION("""COMPUTED_VALUE"""),"DigiKey")</f>
        <v>DigiKey</v>
      </c>
      <c r="G580" s="4" t="str">
        <f>IFERROR(__xludf.DUMMYFUNCTION("""COMPUTED_VALUE"""),"490-1035-6-ND")</f>
        <v>490-1035-6-ND</v>
      </c>
      <c r="H580" s="4"/>
      <c r="I580" s="4"/>
      <c r="J580" s="4"/>
      <c r="K580" s="4"/>
      <c r="L580" s="4"/>
      <c r="M580" s="4"/>
      <c r="N580" s="9" t="str">
        <f>IFERROR(__xludf.DUMMYFUNCTION("""COMPUTED_VALUE"""),"OEPS020066")</f>
        <v>OEPS020066</v>
      </c>
      <c r="O580" s="4" t="str">
        <f>IFERROR(__xludf.DUMMYFUNCTION("""COMPUTED_VALUE"""),"CRCW020110K0FNED")</f>
        <v>CRCW020110K0FNED</v>
      </c>
      <c r="P580" s="4" t="str">
        <f>IFERROR(__xludf.DUMMYFUNCTION("""COMPUTED_VALUE"""),"42(Tp) ")</f>
        <v>42(Tp) </v>
      </c>
      <c r="Q580" s="4">
        <f>IFERROR(__xludf.DUMMYFUNCTION("""COMPUTED_VALUE"""),42.0)</f>
        <v>42</v>
      </c>
      <c r="R580" s="4">
        <f>IFERROR(__xludf.DUMMYFUNCTION("""COMPUTED_VALUE"""),42.0)</f>
        <v>42</v>
      </c>
      <c r="S580" s="4" t="str">
        <f>IFERROR(__xludf.DUMMYFUNCTION("""COMPUTED_VALUE"""),"Tape")</f>
        <v>Tape</v>
      </c>
      <c r="T580" s="4" t="str">
        <f>IFERROR(__xludf.DUMMYFUNCTION("""COMPUTED_VALUE"""),"0923")</f>
        <v>0923</v>
      </c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</row>
    <row r="581">
      <c r="A581" s="4" t="str">
        <f>IFERROR(__xludf.DUMMYFUNCTION("""COMPUTED_VALUE"""),"INDUCTOR:   FERRITE BEAD SMD 330Ω 1.5A 70mΩ   [BLM18SG331TN1D] [0603]")</f>
        <v>INDUCTOR:   FERRITE BEAD SMD 330Ω 1.5A 70mΩ   [BLM18SG331TN1D] [0603]</v>
      </c>
      <c r="B581" s="4" t="str">
        <f>IFERROR(__xludf.DUMMYFUNCTION("""COMPUTED_VALUE"""),"OEPS040004")</f>
        <v>OEPS040004</v>
      </c>
      <c r="C581" s="4" t="str">
        <f>IFERROR(__xludf.DUMMYFUNCTION("""COMPUTED_VALUE"""),"SMD")</f>
        <v>SMD</v>
      </c>
      <c r="D581" s="4" t="str">
        <f>IFERROR(__xludf.DUMMYFUNCTION("""COMPUTED_VALUE"""),"BLM18SG331TN1D")</f>
        <v>BLM18SG331TN1D</v>
      </c>
      <c r="E581" s="4">
        <f>IFERROR(__xludf.DUMMYFUNCTION("""COMPUTED_VALUE"""),20.0)</f>
        <v>20</v>
      </c>
      <c r="F581" s="4" t="str">
        <f>IFERROR(__xludf.DUMMYFUNCTION("""COMPUTED_VALUE"""),"DigiKey")</f>
        <v>DigiKey</v>
      </c>
      <c r="G581" s="4" t="str">
        <f>IFERROR(__xludf.DUMMYFUNCTION("""COMPUTED_VALUE"""),"490-3997-6-ND")</f>
        <v>490-3997-6-ND</v>
      </c>
      <c r="H581" s="4"/>
      <c r="I581" s="4"/>
      <c r="J581" s="4"/>
      <c r="K581" s="4"/>
      <c r="L581" s="4"/>
      <c r="M581" s="4"/>
      <c r="N581" s="9" t="str">
        <f>IFERROR(__xludf.DUMMYFUNCTION("""COMPUTED_VALUE"""),"OEPS020067")</f>
        <v>OEPS020067</v>
      </c>
      <c r="O581" s="4" t="str">
        <f>IFERROR(__xludf.DUMMYFUNCTION("""COMPUTED_VALUE"""),"RC0201FR-072KL")</f>
        <v>RC0201FR-072KL</v>
      </c>
      <c r="P581" s="4" t="str">
        <f>IFERROR(__xludf.DUMMYFUNCTION("""COMPUTED_VALUE"""),"51(Tp) ")</f>
        <v>51(Tp) </v>
      </c>
      <c r="Q581" s="4">
        <f>IFERROR(__xludf.DUMMYFUNCTION("""COMPUTED_VALUE"""),51.0)</f>
        <v>51</v>
      </c>
      <c r="R581" s="4">
        <f>IFERROR(__xludf.DUMMYFUNCTION("""COMPUTED_VALUE"""),51.0)</f>
        <v>51</v>
      </c>
      <c r="S581" s="4" t="str">
        <f>IFERROR(__xludf.DUMMYFUNCTION("""COMPUTED_VALUE"""),"Tape")</f>
        <v>Tape</v>
      </c>
      <c r="T581" s="4" t="str">
        <f>IFERROR(__xludf.DUMMYFUNCTION("""COMPUTED_VALUE"""),"0325")</f>
        <v>0325</v>
      </c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</row>
    <row r="582">
      <c r="A582" s="4" t="str">
        <f>IFERROR(__xludf.DUMMYFUNCTION("""COMPUTED_VALUE"""),"INDUCTOR:   FERRITE BEAD SMD 40Ω 2A 50mΩ   [MI0805K400R-10] [0805]")</f>
        <v>INDUCTOR:   FERRITE BEAD SMD 40Ω 2A 50mΩ   [MI0805K400R-10] [0805]</v>
      </c>
      <c r="B582" s="4" t="str">
        <f>IFERROR(__xludf.DUMMYFUNCTION("""COMPUTED_VALUE"""),"OEPS040003")</f>
        <v>OEPS040003</v>
      </c>
      <c r="C582" s="4" t="str">
        <f>IFERROR(__xludf.DUMMYFUNCTION("""COMPUTED_VALUE"""),"SMD")</f>
        <v>SMD</v>
      </c>
      <c r="D582" s="4" t="str">
        <f>IFERROR(__xludf.DUMMYFUNCTION("""COMPUTED_VALUE"""),"MI0805K400R-10")</f>
        <v>MI0805K400R-10</v>
      </c>
      <c r="E582" s="4">
        <f>IFERROR(__xludf.DUMMYFUNCTION("""COMPUTED_VALUE"""),20.0)</f>
        <v>20</v>
      </c>
      <c r="F582" s="4" t="str">
        <f>IFERROR(__xludf.DUMMYFUNCTION("""COMPUTED_VALUE"""),"DigiKey")</f>
        <v>DigiKey</v>
      </c>
      <c r="G582" s="4" t="str">
        <f>IFERROR(__xludf.DUMMYFUNCTION("""COMPUTED_VALUE"""),"240-2389-6-ND")</f>
        <v>240-2389-6-ND</v>
      </c>
      <c r="H582" s="4"/>
      <c r="I582" s="4"/>
      <c r="J582" s="4"/>
      <c r="K582" s="4"/>
      <c r="L582" s="4"/>
      <c r="M582" s="4"/>
      <c r="N582" s="9" t="str">
        <f>IFERROR(__xludf.DUMMYFUNCTION("""COMPUTED_VALUE"""),"OEPS020068")</f>
        <v>OEPS020068</v>
      </c>
      <c r="O582" s="4" t="str">
        <f>IFERROR(__xludf.DUMMYFUNCTION("""COMPUTED_VALUE"""),"RC0201FR-0749R9L")</f>
        <v>RC0201FR-0749R9L</v>
      </c>
      <c r="P582" s="4" t="str">
        <f>IFERROR(__xludf.DUMMYFUNCTION("""COMPUTED_VALUE"""),"21(Tp) ")</f>
        <v>21(Tp) </v>
      </c>
      <c r="Q582" s="4">
        <f>IFERROR(__xludf.DUMMYFUNCTION("""COMPUTED_VALUE"""),21.0)</f>
        <v>21</v>
      </c>
      <c r="R582" s="4">
        <f>IFERROR(__xludf.DUMMYFUNCTION("""COMPUTED_VALUE"""),21.0)</f>
        <v>21</v>
      </c>
      <c r="S582" s="4" t="str">
        <f>IFERROR(__xludf.DUMMYFUNCTION("""COMPUTED_VALUE"""),"Tape")</f>
        <v>Tape</v>
      </c>
      <c r="T582" s="4" t="str">
        <f>IFERROR(__xludf.DUMMYFUNCTION("""COMPUTED_VALUE"""),"0923")</f>
        <v>0923</v>
      </c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</row>
    <row r="583">
      <c r="A583" s="4" t="str">
        <f>IFERROR(__xludf.DUMMYFUNCTION("""COMPUTED_VALUE"""),"INDUCTOR:   FERRITE BEAD SMD 470Ω 1A 200mΩ (OEPS J05 017)   [BLM18PG471SN1D] [0603]")</f>
        <v>INDUCTOR:   FERRITE BEAD SMD 470Ω 1A 200mΩ (OEPS J05 017)   [BLM18PG471SN1D] [0603]</v>
      </c>
      <c r="B583" s="4" t="str">
        <f>IFERROR(__xludf.DUMMYFUNCTION("""COMPUTED_VALUE"""),"OEPS040014")</f>
        <v>OEPS040014</v>
      </c>
      <c r="C583" s="4" t="str">
        <f>IFERROR(__xludf.DUMMYFUNCTION("""COMPUTED_VALUE"""),"SMD")</f>
        <v>SMD</v>
      </c>
      <c r="D583" s="4" t="str">
        <f>IFERROR(__xludf.DUMMYFUNCTION("""COMPUTED_VALUE"""),"BLM18PG471SN1D")</f>
        <v>BLM18PG471SN1D</v>
      </c>
      <c r="E583" s="4">
        <f>IFERROR(__xludf.DUMMYFUNCTION("""COMPUTED_VALUE"""),20.0)</f>
        <v>20</v>
      </c>
      <c r="F583" s="4" t="str">
        <f>IFERROR(__xludf.DUMMYFUNCTION("""COMPUTED_VALUE"""),"DigiKey")</f>
        <v>DigiKey</v>
      </c>
      <c r="G583" s="4" t="str">
        <f>IFERROR(__xludf.DUMMYFUNCTION("""COMPUTED_VALUE"""),"490-5223-6-ND")</f>
        <v>490-5223-6-ND</v>
      </c>
      <c r="H583" s="4"/>
      <c r="I583" s="4"/>
      <c r="J583" s="4"/>
      <c r="K583" s="4"/>
      <c r="L583" s="4"/>
      <c r="M583" s="4"/>
      <c r="N583" s="9" t="str">
        <f>IFERROR(__xludf.DUMMYFUNCTION("""COMPUTED_VALUE"""),"OEPS020069")</f>
        <v>OEPS020069</v>
      </c>
      <c r="O583" s="4" t="str">
        <f>IFERROR(__xludf.DUMMYFUNCTION("""COMPUTED_VALUE"""),"RMCF0201FT22R0CT-ND")</f>
        <v>RMCF0201FT22R0CT-ND</v>
      </c>
      <c r="P583" s="4" t="str">
        <f>IFERROR(__xludf.DUMMYFUNCTION("""COMPUTED_VALUE"""),"13(Tp) ")</f>
        <v>13(Tp) </v>
      </c>
      <c r="Q583" s="4">
        <f>IFERROR(__xludf.DUMMYFUNCTION("""COMPUTED_VALUE"""),13.0)</f>
        <v>13</v>
      </c>
      <c r="R583" s="4">
        <f>IFERROR(__xludf.DUMMYFUNCTION("""COMPUTED_VALUE"""),13.0)</f>
        <v>13</v>
      </c>
      <c r="S583" s="4" t="str">
        <f>IFERROR(__xludf.DUMMYFUNCTION("""COMPUTED_VALUE"""),"Tape")</f>
        <v>Tape</v>
      </c>
      <c r="T583" s="4" t="str">
        <f>IFERROR(__xludf.DUMMYFUNCTION("""COMPUTED_VALUE"""),"0923")</f>
        <v>0923</v>
      </c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</row>
    <row r="584">
      <c r="A584" s="4" t="str">
        <f>IFERROR(__xludf.DUMMYFUNCTION("""COMPUTED_VALUE"""),"INDUCTOR:   FERRITE BEAD SMD 600Ω 1A 25% 200mΩ   [MH1608-601Y] [0603]")</f>
        <v>INDUCTOR:   FERRITE BEAD SMD 600Ω 1A 25% 200mΩ   [MH1608-601Y] [0603]</v>
      </c>
      <c r="B584" s="4" t="str">
        <f>IFERROR(__xludf.DUMMYFUNCTION("""COMPUTED_VALUE"""),"OEPS040001")</f>
        <v>OEPS040001</v>
      </c>
      <c r="C584" s="4" t="str">
        <f>IFERROR(__xludf.DUMMYFUNCTION("""COMPUTED_VALUE"""),"SMD")</f>
        <v>SMD</v>
      </c>
      <c r="D584" s="4" t="str">
        <f>IFERROR(__xludf.DUMMYFUNCTION("""COMPUTED_VALUE"""),"MH1608-601Y")</f>
        <v>MH1608-601Y</v>
      </c>
      <c r="E584" s="4">
        <f>IFERROR(__xludf.DUMMYFUNCTION("""COMPUTED_VALUE"""),20.0)</f>
        <v>20</v>
      </c>
      <c r="F584" s="4" t="str">
        <f>IFERROR(__xludf.DUMMYFUNCTION("""COMPUTED_VALUE"""),"DigiKey")</f>
        <v>DigiKey</v>
      </c>
      <c r="G584" s="4" t="str">
        <f>IFERROR(__xludf.DUMMYFUNCTION("""COMPUTED_VALUE"""),"MH1608-601YDKR-ND")</f>
        <v>MH1608-601YDKR-ND</v>
      </c>
      <c r="H584" s="4"/>
      <c r="I584" s="4"/>
      <c r="J584" s="4"/>
      <c r="K584" s="4"/>
      <c r="L584" s="4"/>
      <c r="M584" s="4"/>
      <c r="N584" s="9" t="str">
        <f>IFERROR(__xludf.DUMMYFUNCTION("""COMPUTED_VALUE"""),"OEPS020070")</f>
        <v>OEPS020070</v>
      </c>
      <c r="O584" s="4" t="str">
        <f>IFERROR(__xludf.DUMMYFUNCTION("""COMPUTED_VALUE"""),"ERJ-1GNF1001C")</f>
        <v>ERJ-1GNF1001C</v>
      </c>
      <c r="P584" s="4" t="str">
        <f>IFERROR(__xludf.DUMMYFUNCTION("""COMPUTED_VALUE"""),"8(Tp) ")</f>
        <v>8(Tp) </v>
      </c>
      <c r="Q584" s="4">
        <f>IFERROR(__xludf.DUMMYFUNCTION("""COMPUTED_VALUE"""),8.0)</f>
        <v>8</v>
      </c>
      <c r="R584" s="4">
        <f>IFERROR(__xludf.DUMMYFUNCTION("""COMPUTED_VALUE"""),8.0)</f>
        <v>8</v>
      </c>
      <c r="S584" s="4" t="str">
        <f>IFERROR(__xludf.DUMMYFUNCTION("""COMPUTED_VALUE"""),"Tape")</f>
        <v>Tape</v>
      </c>
      <c r="T584" s="4" t="str">
        <f>IFERROR(__xludf.DUMMYFUNCTION("""COMPUTED_VALUE"""),"0224")</f>
        <v>0224</v>
      </c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</row>
    <row r="585">
      <c r="A585" s="4" t="str">
        <f>IFERROR(__xludf.DUMMYFUNCTION("""COMPUTED_VALUE"""),"INDUCTOR:   FIXED INDUCTOR 0805 2.2uH 600mA 425mΩ   (OEPS J30 031)   [LQM21PN2R2MC0D] [0805]")</f>
        <v>INDUCTOR:   FIXED INDUCTOR 0805 2.2uH 600mA 425mΩ   (OEPS J30 031)   [LQM21PN2R2MC0D] [0805]</v>
      </c>
      <c r="B585" s="4" t="str">
        <f>IFERROR(__xludf.DUMMYFUNCTION("""COMPUTED_VALUE"""),"OEPS040026")</f>
        <v>OEPS040026</v>
      </c>
      <c r="C585" s="4" t="str">
        <f>IFERROR(__xludf.DUMMYFUNCTION("""COMPUTED_VALUE"""),"SMD")</f>
        <v>SMD</v>
      </c>
      <c r="D585" s="4" t="str">
        <f>IFERROR(__xludf.DUMMYFUNCTION("""COMPUTED_VALUE"""),"LQM21PN2R2MC0D")</f>
        <v>LQM21PN2R2MC0D</v>
      </c>
      <c r="E585" s="4">
        <f>IFERROR(__xludf.DUMMYFUNCTION("""COMPUTED_VALUE"""),3.0)</f>
        <v>3</v>
      </c>
      <c r="F585" s="4" t="str">
        <f>IFERROR(__xludf.DUMMYFUNCTION("""COMPUTED_VALUE"""),"Digikey")</f>
        <v>Digikey</v>
      </c>
      <c r="G585" s="4" t="str">
        <f>IFERROR(__xludf.DUMMYFUNCTION("""COMPUTED_VALUE"""),"490-4994-6-ND")</f>
        <v>490-4994-6-ND</v>
      </c>
      <c r="H585" s="4"/>
      <c r="I585" s="4"/>
      <c r="J585" s="4"/>
      <c r="K585" s="4"/>
      <c r="L585" s="4"/>
      <c r="M585" s="4"/>
      <c r="N585" s="9" t="str">
        <f>IFERROR(__xludf.DUMMYFUNCTION("""COMPUTED_VALUE"""),"OEPS020071")</f>
        <v>OEPS020071</v>
      </c>
      <c r="O585" s="4" t="str">
        <f>IFERROR(__xludf.DUMMYFUNCTION("""COMPUTED_VALUE"""),"ERJ-1GNF1002C")</f>
        <v>ERJ-1GNF1002C</v>
      </c>
      <c r="P585" s="4" t="str">
        <f>IFERROR(__xludf.DUMMYFUNCTION("""COMPUTED_VALUE"""),"8(Tp) ")</f>
        <v>8(Tp) </v>
      </c>
      <c r="Q585" s="4">
        <f>IFERROR(__xludf.DUMMYFUNCTION("""COMPUTED_VALUE"""),8.0)</f>
        <v>8</v>
      </c>
      <c r="R585" s="4">
        <f>IFERROR(__xludf.DUMMYFUNCTION("""COMPUTED_VALUE"""),8.0)</f>
        <v>8</v>
      </c>
      <c r="S585" s="4" t="str">
        <f>IFERROR(__xludf.DUMMYFUNCTION("""COMPUTED_VALUE"""),"Tape")</f>
        <v>Tape</v>
      </c>
      <c r="T585" s="4" t="str">
        <f>IFERROR(__xludf.DUMMYFUNCTION("""COMPUTED_VALUE"""),"0224")</f>
        <v>0224</v>
      </c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</row>
    <row r="586">
      <c r="A586" s="4" t="str">
        <f>IFERROR(__xludf.DUMMYFUNCTION("""COMPUTED_VALUE"""),"INDUCTOR:   FIXED INDUCTOR SMD 0805 4.7uH 800mA 250mΩ   [ASMPH-0805-4R7M-T] [0805]")</f>
        <v>INDUCTOR:   FIXED INDUCTOR SMD 0805 4.7uH 800mA 250mΩ   [ASMPH-0805-4R7M-T] [0805]</v>
      </c>
      <c r="B586" s="4" t="str">
        <f>IFERROR(__xludf.DUMMYFUNCTION("""COMPUTED_VALUE"""),"OEPS040007")</f>
        <v>OEPS040007</v>
      </c>
      <c r="C586" s="4" t="str">
        <f>IFERROR(__xludf.DUMMYFUNCTION("""COMPUTED_VALUE"""),"SMD")</f>
        <v>SMD</v>
      </c>
      <c r="D586" s="4" t="str">
        <f>IFERROR(__xludf.DUMMYFUNCTION("""COMPUTED_VALUE"""),"ASMPH-0805-4R7M-T")</f>
        <v>ASMPH-0805-4R7M-T</v>
      </c>
      <c r="E586" s="4">
        <f>IFERROR(__xludf.DUMMYFUNCTION("""COMPUTED_VALUE"""),20.0)</f>
        <v>20</v>
      </c>
      <c r="F586" s="4" t="str">
        <f>IFERROR(__xludf.DUMMYFUNCTION("""COMPUTED_VALUE"""),"DigiKey")</f>
        <v>DigiKey</v>
      </c>
      <c r="G586" s="4" t="str">
        <f>IFERROR(__xludf.DUMMYFUNCTION("""COMPUTED_VALUE"""),"535-12274-6-ND")</f>
        <v>535-12274-6-ND</v>
      </c>
      <c r="H586" s="4"/>
      <c r="I586" s="4"/>
      <c r="J586" s="4"/>
      <c r="K586" s="4"/>
      <c r="L586" s="4"/>
      <c r="M586" s="4"/>
      <c r="N586" s="9" t="str">
        <f>IFERROR(__xludf.DUMMYFUNCTION("""COMPUTED_VALUE"""),"OEPS020072")</f>
        <v>OEPS020072</v>
      </c>
      <c r="O586" s="4" t="str">
        <f>IFERROR(__xludf.DUMMYFUNCTION("""COMPUTED_VALUE"""),"ERJ-1GNF1003C")</f>
        <v>ERJ-1GNF1003C</v>
      </c>
      <c r="P586" s="4" t="str">
        <f>IFERROR(__xludf.DUMMYFUNCTION("""COMPUTED_VALUE"""),"8(Tp) ")</f>
        <v>8(Tp) </v>
      </c>
      <c r="Q586" s="4">
        <f>IFERROR(__xludf.DUMMYFUNCTION("""COMPUTED_VALUE"""),8.0)</f>
        <v>8</v>
      </c>
      <c r="R586" s="4">
        <f>IFERROR(__xludf.DUMMYFUNCTION("""COMPUTED_VALUE"""),8.0)</f>
        <v>8</v>
      </c>
      <c r="S586" s="4" t="str">
        <f>IFERROR(__xludf.DUMMYFUNCTION("""COMPUTED_VALUE"""),"Tape")</f>
        <v>Tape</v>
      </c>
      <c r="T586" s="4" t="str">
        <f>IFERROR(__xludf.DUMMYFUNCTION("""COMPUTED_VALUE"""),"0224")</f>
        <v>0224</v>
      </c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</row>
    <row r="587">
      <c r="A587" s="4" t="str">
        <f>IFERROR(__xludf.DUMMYFUNCTION("""COMPUTED_VALUE"""),"INDUCTOR:   FIXED INDUCTOR SMD 100uH 920mA 456mΩ   [SRN6045TA-101M] [SMD]")</f>
        <v>INDUCTOR:   FIXED INDUCTOR SMD 100uH 920mA 456mΩ   [SRN6045TA-101M] [SMD]</v>
      </c>
      <c r="B587" s="4" t="str">
        <f>IFERROR(__xludf.DUMMYFUNCTION("""COMPUTED_VALUE"""),"OEPS040033")</f>
        <v>OEPS040033</v>
      </c>
      <c r="C587" s="4" t="str">
        <f>IFERROR(__xludf.DUMMYFUNCTION("""COMPUTED_VALUE"""),"SMD")</f>
        <v>SMD</v>
      </c>
      <c r="D587" s="4" t="str">
        <f>IFERROR(__xludf.DUMMYFUNCTION("""COMPUTED_VALUE"""),"SRN6045TA-101M")</f>
        <v>SRN6045TA-101M</v>
      </c>
      <c r="E587" s="4">
        <f>IFERROR(__xludf.DUMMYFUNCTION("""COMPUTED_VALUE"""),5.0)</f>
        <v>5</v>
      </c>
      <c r="F587" s="4" t="str">
        <f>IFERROR(__xludf.DUMMYFUNCTION("""COMPUTED_VALUE"""),"Digikey")</f>
        <v>Digikey</v>
      </c>
      <c r="G587" s="4" t="str">
        <f>IFERROR(__xludf.DUMMYFUNCTION("""COMPUTED_VALUE"""),"SRN6045TA-101MDKR-ND")</f>
        <v>SRN6045TA-101MDKR-ND</v>
      </c>
      <c r="H587" s="4"/>
      <c r="I587" s="4"/>
      <c r="J587" s="4"/>
      <c r="K587" s="4"/>
      <c r="L587" s="4"/>
      <c r="M587" s="4"/>
      <c r="N587" s="9" t="str">
        <f>IFERROR(__xludf.DUMMYFUNCTION("""COMPUTED_VALUE"""),"OEPS020073")</f>
        <v>OEPS020073</v>
      </c>
      <c r="O587" s="4" t="str">
        <f>IFERROR(__xludf.DUMMYFUNCTION("""COMPUTED_VALUE"""),"ERJ-1GNF1022C")</f>
        <v>ERJ-1GNF1022C</v>
      </c>
      <c r="P587" s="4" t="str">
        <f>IFERROR(__xludf.DUMMYFUNCTION("""COMPUTED_VALUE"""),"4(Tp) ")</f>
        <v>4(Tp) </v>
      </c>
      <c r="Q587" s="4">
        <f>IFERROR(__xludf.DUMMYFUNCTION("""COMPUTED_VALUE"""),4.0)</f>
        <v>4</v>
      </c>
      <c r="R587" s="4">
        <f>IFERROR(__xludf.DUMMYFUNCTION("""COMPUTED_VALUE"""),4.0)</f>
        <v>4</v>
      </c>
      <c r="S587" s="4" t="str">
        <f>IFERROR(__xludf.DUMMYFUNCTION("""COMPUTED_VALUE"""),"Tape")</f>
        <v>Tape</v>
      </c>
      <c r="T587" s="4" t="str">
        <f>IFERROR(__xludf.DUMMYFUNCTION("""COMPUTED_VALUE"""),"0224")</f>
        <v>0224</v>
      </c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</row>
    <row r="588">
      <c r="A588" s="4" t="str">
        <f>IFERROR(__xludf.DUMMYFUNCTION("""COMPUTED_VALUE"""),"INDUCTOR:   FIXED INDUCTOR SMD 10uH 1.7A 70mΩ   [NRS5030T100MMGJ] [-]")</f>
        <v>INDUCTOR:   FIXED INDUCTOR SMD 10uH 1.7A 70mΩ   [NRS5030T100MMGJ] [-]</v>
      </c>
      <c r="B588" s="4" t="str">
        <f>IFERROR(__xludf.DUMMYFUNCTION("""COMPUTED_VALUE"""),"OEPS040024")</f>
        <v>OEPS040024</v>
      </c>
      <c r="C588" s="4" t="str">
        <f>IFERROR(__xludf.DUMMYFUNCTION("""COMPUTED_VALUE"""),"SMD")</f>
        <v>SMD</v>
      </c>
      <c r="D588" s="4" t="str">
        <f>IFERROR(__xludf.DUMMYFUNCTION("""COMPUTED_VALUE"""),"NRS5030T100MMGJ")</f>
        <v>NRS5030T100MMGJ</v>
      </c>
      <c r="E588" s="4">
        <f>IFERROR(__xludf.DUMMYFUNCTION("""COMPUTED_VALUE"""),3.0)</f>
        <v>3</v>
      </c>
      <c r="F588" s="4" t="str">
        <f>IFERROR(__xludf.DUMMYFUNCTION("""COMPUTED_VALUE"""),"Digikey")</f>
        <v>Digikey</v>
      </c>
      <c r="G588" s="4" t="str">
        <f>IFERROR(__xludf.DUMMYFUNCTION("""COMPUTED_VALUE"""),"587-3453-6-ND")</f>
        <v>587-3453-6-ND</v>
      </c>
      <c r="H588" s="4"/>
      <c r="I588" s="4"/>
      <c r="J588" s="4"/>
      <c r="K588" s="4"/>
      <c r="L588" s="4"/>
      <c r="M588" s="4"/>
      <c r="N588" s="9" t="str">
        <f>IFERROR(__xludf.DUMMYFUNCTION("""COMPUTED_VALUE"""),"OEPS020074")</f>
        <v>OEPS020074</v>
      </c>
      <c r="O588" s="4" t="str">
        <f>IFERROR(__xludf.DUMMYFUNCTION("""COMPUTED_VALUE"""),"ERJ-1GNF1801C")</f>
        <v>ERJ-1GNF1801C</v>
      </c>
      <c r="P588" s="4" t="str">
        <f>IFERROR(__xludf.DUMMYFUNCTION("""COMPUTED_VALUE"""),"16(Tp) ")</f>
        <v>16(Tp) </v>
      </c>
      <c r="Q588" s="4">
        <f>IFERROR(__xludf.DUMMYFUNCTION("""COMPUTED_VALUE"""),16.0)</f>
        <v>16</v>
      </c>
      <c r="R588" s="4">
        <f>IFERROR(__xludf.DUMMYFUNCTION("""COMPUTED_VALUE"""),16.0)</f>
        <v>16</v>
      </c>
      <c r="S588" s="4" t="str">
        <f>IFERROR(__xludf.DUMMYFUNCTION("""COMPUTED_VALUE"""),"Tape")</f>
        <v>Tape</v>
      </c>
      <c r="T588" s="4" t="str">
        <f>IFERROR(__xludf.DUMMYFUNCTION("""COMPUTED_VALUE"""),"0224")</f>
        <v>0224</v>
      </c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</row>
    <row r="589">
      <c r="A589" s="4" t="str">
        <f>IFERROR(__xludf.DUMMYFUNCTION("""COMPUTED_VALUE"""),"INDUCTOR:   FIXED INDUCTOR SMD 10uH 300MA 600mΩ   [MLZ1608N100LT000] [0603]")</f>
        <v>INDUCTOR:   FIXED INDUCTOR SMD 10uH 300MA 600mΩ   [MLZ1608N100LT000] [0603]</v>
      </c>
      <c r="B589" s="4" t="str">
        <f>IFERROR(__xludf.DUMMYFUNCTION("""COMPUTED_VALUE"""),"OEPS040021")</f>
        <v>OEPS040021</v>
      </c>
      <c r="C589" s="4" t="str">
        <f>IFERROR(__xludf.DUMMYFUNCTION("""COMPUTED_VALUE"""),"SMD")</f>
        <v>SMD</v>
      </c>
      <c r="D589" s="4" t="str">
        <f>IFERROR(__xludf.DUMMYFUNCTION("""COMPUTED_VALUE"""),"MLZ1608N100LT000")</f>
        <v>MLZ1608N100LT000</v>
      </c>
      <c r="E589" s="4">
        <f>IFERROR(__xludf.DUMMYFUNCTION("""COMPUTED_VALUE"""),30.0)</f>
        <v>30</v>
      </c>
      <c r="F589" s="4" t="str">
        <f>IFERROR(__xludf.DUMMYFUNCTION("""COMPUTED_VALUE"""),"DigiKey")</f>
        <v>DigiKey</v>
      </c>
      <c r="G589" s="4" t="str">
        <f>IFERROR(__xludf.DUMMYFUNCTION("""COMPUTED_VALUE"""),"445-6755-6-ND")</f>
        <v>445-6755-6-ND</v>
      </c>
      <c r="H589" s="4"/>
      <c r="I589" s="4"/>
      <c r="J589" s="4"/>
      <c r="K589" s="4"/>
      <c r="L589" s="4"/>
      <c r="M589" s="4"/>
      <c r="N589" s="9" t="str">
        <f>IFERROR(__xludf.DUMMYFUNCTION("""COMPUTED_VALUE"""),"OEPS020075")</f>
        <v>OEPS020075</v>
      </c>
      <c r="O589" s="4" t="str">
        <f>IFERROR(__xludf.DUMMYFUNCTION("""COMPUTED_VALUE"""),"ERJ-1GNF4752C")</f>
        <v>ERJ-1GNF4752C</v>
      </c>
      <c r="P589" s="4" t="str">
        <f>IFERROR(__xludf.DUMMYFUNCTION("""COMPUTED_VALUE"""),"8(Tp) ")</f>
        <v>8(Tp) </v>
      </c>
      <c r="Q589" s="4">
        <f>IFERROR(__xludf.DUMMYFUNCTION("""COMPUTED_VALUE"""),8.0)</f>
        <v>8</v>
      </c>
      <c r="R589" s="4">
        <f>IFERROR(__xludf.DUMMYFUNCTION("""COMPUTED_VALUE"""),8.0)</f>
        <v>8</v>
      </c>
      <c r="S589" s="4" t="str">
        <f>IFERROR(__xludf.DUMMYFUNCTION("""COMPUTED_VALUE"""),"Tape")</f>
        <v>Tape</v>
      </c>
      <c r="T589" s="4" t="str">
        <f>IFERROR(__xludf.DUMMYFUNCTION("""COMPUTED_VALUE"""),"0224")</f>
        <v>0224</v>
      </c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</row>
    <row r="590">
      <c r="A590" s="4" t="str">
        <f>IFERROR(__xludf.DUMMYFUNCTION("""COMPUTED_VALUE"""),"INDUCTOR:   FIXED INDUCTOR SMD 10uH 3A 105mΩ   [IHLP2525CZER100M01] [-]")</f>
        <v>INDUCTOR:   FIXED INDUCTOR SMD 10uH 3A 105mΩ   [IHLP2525CZER100M01] [-]</v>
      </c>
      <c r="B590" s="4" t="str">
        <f>IFERROR(__xludf.DUMMYFUNCTION("""COMPUTED_VALUE"""),"OEPS040005")</f>
        <v>OEPS040005</v>
      </c>
      <c r="C590" s="4" t="str">
        <f>IFERROR(__xludf.DUMMYFUNCTION("""COMPUTED_VALUE"""),"SMD")</f>
        <v>SMD</v>
      </c>
      <c r="D590" s="4" t="str">
        <f>IFERROR(__xludf.DUMMYFUNCTION("""COMPUTED_VALUE"""),"IHLP2525CZER100M01")</f>
        <v>IHLP2525CZER100M01</v>
      </c>
      <c r="E590" s="4">
        <f>IFERROR(__xludf.DUMMYFUNCTION("""COMPUTED_VALUE"""),3.0)</f>
        <v>3</v>
      </c>
      <c r="F590" s="4" t="str">
        <f>IFERROR(__xludf.DUMMYFUNCTION("""COMPUTED_VALUE"""),"DigiKey")</f>
        <v>DigiKey</v>
      </c>
      <c r="G590" s="4" t="str">
        <f>IFERROR(__xludf.DUMMYFUNCTION("""COMPUTED_VALUE"""),"541-1013-6-ND")</f>
        <v>541-1013-6-ND</v>
      </c>
      <c r="H590" s="4"/>
      <c r="I590" s="4"/>
      <c r="J590" s="4"/>
      <c r="K590" s="4"/>
      <c r="L590" s="4"/>
      <c r="M590" s="4"/>
      <c r="N590" s="9" t="str">
        <f>IFERROR(__xludf.DUMMYFUNCTION("""COMPUTED_VALUE"""),"OEPS020076")</f>
        <v>OEPS020076</v>
      </c>
      <c r="O590" s="4" t="str">
        <f>IFERROR(__xludf.DUMMYFUNCTION("""COMPUTED_VALUE"""),"ERJ-1GNF49R9C")</f>
        <v>ERJ-1GNF49R9C</v>
      </c>
      <c r="P590" s="4" t="str">
        <f>IFERROR(__xludf.DUMMYFUNCTION("""COMPUTED_VALUE"""),"8(Tp) ")</f>
        <v>8(Tp) </v>
      </c>
      <c r="Q590" s="4">
        <f>IFERROR(__xludf.DUMMYFUNCTION("""COMPUTED_VALUE"""),8.0)</f>
        <v>8</v>
      </c>
      <c r="R590" s="4">
        <f>IFERROR(__xludf.DUMMYFUNCTION("""COMPUTED_VALUE"""),8.0)</f>
        <v>8</v>
      </c>
      <c r="S590" s="4" t="str">
        <f>IFERROR(__xludf.DUMMYFUNCTION("""COMPUTED_VALUE"""),"Tape")</f>
        <v>Tape</v>
      </c>
      <c r="T590" s="4" t="str">
        <f>IFERROR(__xludf.DUMMYFUNCTION("""COMPUTED_VALUE"""),"0224")</f>
        <v>0224</v>
      </c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</row>
    <row r="591">
      <c r="A591" s="4" t="str">
        <f>IFERROR(__xludf.DUMMYFUNCTION("""COMPUTED_VALUE"""),"INDUCTOR:   FIXED INDUCTOR SMD 1210 100uH 340mA 1.82Ω (OEPS J30 034)   [CBC3225T101MR] [1210]")</f>
        <v>INDUCTOR:   FIXED INDUCTOR SMD 1210 100uH 340mA 1.82Ω (OEPS J30 034)   [CBC3225T101MR] [1210]</v>
      </c>
      <c r="B591" s="4" t="str">
        <f>IFERROR(__xludf.DUMMYFUNCTION("""COMPUTED_VALUE"""),"OEPS040010")</f>
        <v>OEPS040010</v>
      </c>
      <c r="C591" s="4" t="str">
        <f>IFERROR(__xludf.DUMMYFUNCTION("""COMPUTED_VALUE"""),"SMD")</f>
        <v>SMD</v>
      </c>
      <c r="D591" s="4" t="str">
        <f>IFERROR(__xludf.DUMMYFUNCTION("""COMPUTED_VALUE"""),"CBC3225T101MR")</f>
        <v>CBC3225T101MR</v>
      </c>
      <c r="E591" s="4">
        <f>IFERROR(__xludf.DUMMYFUNCTION("""COMPUTED_VALUE"""),10.0)</f>
        <v>10</v>
      </c>
      <c r="F591" s="4" t="str">
        <f>IFERROR(__xludf.DUMMYFUNCTION("""COMPUTED_VALUE"""),"DigiKey")</f>
        <v>DigiKey</v>
      </c>
      <c r="G591" s="4" t="str">
        <f>IFERROR(__xludf.DUMMYFUNCTION("""COMPUTED_VALUE"""),"587-1628-6-ND")</f>
        <v>587-1628-6-ND</v>
      </c>
      <c r="H591" s="4"/>
      <c r="I591" s="4"/>
      <c r="J591" s="4"/>
      <c r="K591" s="4"/>
      <c r="L591" s="4"/>
      <c r="M591" s="4"/>
      <c r="N591" s="9" t="str">
        <f>IFERROR(__xludf.DUMMYFUNCTION("""COMPUTED_VALUE"""),"OEPS020077")</f>
        <v>OEPS020077</v>
      </c>
      <c r="O591" s="4" t="str">
        <f>IFERROR(__xludf.DUMMYFUNCTION("""COMPUTED_VALUE"""),"RC0402FR-07100RL")</f>
        <v>RC0402FR-07100RL</v>
      </c>
      <c r="P591" s="4" t="str">
        <f>IFERROR(__xludf.DUMMYFUNCTION("""COMPUTED_VALUE"""),"6(Tp) ")</f>
        <v>6(Tp) </v>
      </c>
      <c r="Q591" s="4">
        <f>IFERROR(__xludf.DUMMYFUNCTION("""COMPUTED_VALUE"""),6.0)</f>
        <v>6</v>
      </c>
      <c r="R591" s="4">
        <f>IFERROR(__xludf.DUMMYFUNCTION("""COMPUTED_VALUE"""),6.0)</f>
        <v>6</v>
      </c>
      <c r="S591" s="4" t="str">
        <f>IFERROR(__xludf.DUMMYFUNCTION("""COMPUTED_VALUE"""),"Tape")</f>
        <v>Tape</v>
      </c>
      <c r="T591" s="4" t="str">
        <f>IFERROR(__xludf.DUMMYFUNCTION("""COMPUTED_VALUE"""),"0425")</f>
        <v>0425</v>
      </c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</row>
    <row r="592">
      <c r="A592" s="4" t="str">
        <f>IFERROR(__xludf.DUMMYFUNCTION("""COMPUTED_VALUE"""),"INDUCTOR:   FIXED INDUCTOR SMD 15uH 1.65A 106mΩ   [MSS6132-153MLC] [-]")</f>
        <v>INDUCTOR:   FIXED INDUCTOR SMD 15uH 1.65A 106mΩ   [MSS6132-153MLC] [-]</v>
      </c>
      <c r="B592" s="4" t="str">
        <f>IFERROR(__xludf.DUMMYFUNCTION("""COMPUTED_VALUE"""),"OEPS040009")</f>
        <v>OEPS040009</v>
      </c>
      <c r="C592" s="4" t="str">
        <f>IFERROR(__xludf.DUMMYFUNCTION("""COMPUTED_VALUE"""),"SMD")</f>
        <v>SMD</v>
      </c>
      <c r="D592" s="4" t="str">
        <f>IFERROR(__xludf.DUMMYFUNCTION("""COMPUTED_VALUE"""),"MSS6132-153MLC")</f>
        <v>MSS6132-153MLC</v>
      </c>
      <c r="E592" s="4">
        <f>IFERROR(__xludf.DUMMYFUNCTION("""COMPUTED_VALUE"""),3.0)</f>
        <v>3</v>
      </c>
      <c r="F592" s="4" t="str">
        <f>IFERROR(__xludf.DUMMYFUNCTION("""COMPUTED_VALUE"""),"DigiKey")</f>
        <v>DigiKey</v>
      </c>
      <c r="G592" s="4" t="str">
        <f>IFERROR(__xludf.DUMMYFUNCTION("""COMPUTED_VALUE"""),"4652-MSS6132-153MLC-ND")</f>
        <v>4652-MSS6132-153MLC-ND</v>
      </c>
      <c r="H592" s="4"/>
      <c r="I592" s="4"/>
      <c r="J592" s="4"/>
      <c r="K592" s="4"/>
      <c r="L592" s="4"/>
      <c r="M592" s="4"/>
      <c r="N592" s="9" t="str">
        <f>IFERROR(__xludf.DUMMYFUNCTION("""COMPUTED_VALUE"""),"OEPS020078")</f>
        <v>OEPS020078</v>
      </c>
      <c r="O592" s="4" t="str">
        <f>IFERROR(__xludf.DUMMYFUNCTION("""COMPUTED_VALUE"""),"ERJ-2RKF8200X")</f>
        <v>ERJ-2RKF8200X</v>
      </c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</row>
    <row r="593">
      <c r="A593" s="4" t="str">
        <f>IFERROR(__xludf.DUMMYFUNCTION("""COMPUTED_VALUE"""),"INDUCTOR:   FIXED INDUCTOR SMD 2.2uH 2.2A 50.4mΩ   [NRS4018T2R2MDGJ] [-]")</f>
        <v>INDUCTOR:   FIXED INDUCTOR SMD 2.2uH 2.2A 50.4mΩ   [NRS4018T2R2MDGJ] [-]</v>
      </c>
      <c r="B593" s="4" t="str">
        <f>IFERROR(__xludf.DUMMYFUNCTION("""COMPUTED_VALUE"""),"OEPS040025")</f>
        <v>OEPS040025</v>
      </c>
      <c r="C593" s="4" t="str">
        <f>IFERROR(__xludf.DUMMYFUNCTION("""COMPUTED_VALUE"""),"SMD")</f>
        <v>SMD</v>
      </c>
      <c r="D593" s="4" t="str">
        <f>IFERROR(__xludf.DUMMYFUNCTION("""COMPUTED_VALUE"""),"NRS4018T2R2MDGJ")</f>
        <v>NRS4018T2R2MDGJ</v>
      </c>
      <c r="E593" s="4">
        <f>IFERROR(__xludf.DUMMYFUNCTION("""COMPUTED_VALUE"""),3.0)</f>
        <v>3</v>
      </c>
      <c r="F593" s="4" t="str">
        <f>IFERROR(__xludf.DUMMYFUNCTION("""COMPUTED_VALUE"""),"Digikey")</f>
        <v>Digikey</v>
      </c>
      <c r="G593" s="4" t="str">
        <f>IFERROR(__xludf.DUMMYFUNCTION("""COMPUTED_VALUE"""),"587-2890-6-ND")</f>
        <v>587-2890-6-ND</v>
      </c>
      <c r="H593" s="4"/>
      <c r="I593" s="4"/>
      <c r="J593" s="4"/>
      <c r="K593" s="4"/>
      <c r="L593" s="4"/>
      <c r="M593" s="4"/>
      <c r="N593" s="9" t="str">
        <f>IFERROR(__xludf.DUMMYFUNCTION("""COMPUTED_VALUE"""),"OEPS020079")</f>
        <v>OEPS020079</v>
      </c>
      <c r="O593" s="4" t="str">
        <f>IFERROR(__xludf.DUMMYFUNCTION("""COMPUTED_VALUE"""),"RC0603FR-070RL")</f>
        <v>RC0603FR-070RL</v>
      </c>
      <c r="P593" s="4" t="str">
        <f>IFERROR(__xludf.DUMMYFUNCTION("""COMPUTED_VALUE"""),"8(Tp) 30(Tp) ")</f>
        <v>8(Tp) 30(Tp) </v>
      </c>
      <c r="Q593" s="4">
        <f>IFERROR(__xludf.DUMMYFUNCTION("""COMPUTED_VALUE"""),38.0)</f>
        <v>38</v>
      </c>
      <c r="R593" s="4">
        <f>IFERROR(__xludf.DUMMYFUNCTION("""COMPUTED_VALUE"""),8.0)</f>
        <v>8</v>
      </c>
      <c r="S593" s="4" t="str">
        <f>IFERROR(__xludf.DUMMYFUNCTION("""COMPUTED_VALUE"""),"Tape")</f>
        <v>Tape</v>
      </c>
      <c r="T593" s="4" t="str">
        <f>IFERROR(__xludf.DUMMYFUNCTION("""COMPUTED_VALUE"""),"0224")</f>
        <v>0224</v>
      </c>
      <c r="U593" s="4">
        <f>IFERROR(__xludf.DUMMYFUNCTION("""COMPUTED_VALUE"""),30.0)</f>
        <v>30</v>
      </c>
      <c r="V593" s="4" t="str">
        <f>IFERROR(__xludf.DUMMYFUNCTION("""COMPUTED_VALUE"""),"Tape")</f>
        <v>Tape</v>
      </c>
      <c r="W593" s="4" t="str">
        <f>IFERROR(__xludf.DUMMYFUNCTION("""COMPUTED_VALUE"""),"0526")</f>
        <v>0526</v>
      </c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</row>
    <row r="594">
      <c r="A594" s="4" t="str">
        <f>IFERROR(__xludf.DUMMYFUNCTION("""COMPUTED_VALUE"""),"INDUCTOR:   FIXED INDUCTOR SMD 3.3uH 2.1A 140mΩ   [AOTA-B201610S3R3-101-T] [0806]")</f>
        <v>INDUCTOR:   FIXED INDUCTOR SMD 3.3uH 2.1A 140mΩ   [AOTA-B201610S3R3-101-T] [0806]</v>
      </c>
      <c r="B594" s="4" t="str">
        <f>IFERROR(__xludf.DUMMYFUNCTION("""COMPUTED_VALUE"""),"OEPS040036")</f>
        <v>OEPS040036</v>
      </c>
      <c r="C594" s="4" t="str">
        <f>IFERROR(__xludf.DUMMYFUNCTION("""COMPUTED_VALUE"""),"SMD")</f>
        <v>SMD</v>
      </c>
      <c r="D594" s="4" t="str">
        <f>IFERROR(__xludf.DUMMYFUNCTION("""COMPUTED_VALUE"""),"AOTA-B201610S3R3-101-T")</f>
        <v>AOTA-B201610S3R3-101-T</v>
      </c>
      <c r="E594" s="4">
        <f>IFERROR(__xludf.DUMMYFUNCTION("""COMPUTED_VALUE"""),10.0)</f>
        <v>10</v>
      </c>
      <c r="F594" s="4" t="str">
        <f>IFERROR(__xludf.DUMMYFUNCTION("""COMPUTED_VALUE"""),"Digikey")</f>
        <v>Digikey</v>
      </c>
      <c r="G594" s="4" t="str">
        <f>IFERROR(__xludf.DUMMYFUNCTION("""COMPUTED_VALUE"""),"535-AOTA-B201610S3R3-101-TDKR-ND")</f>
        <v>535-AOTA-B201610S3R3-101-TDKR-ND</v>
      </c>
      <c r="H594" s="4"/>
      <c r="I594" s="4"/>
      <c r="J594" s="4"/>
      <c r="K594" s="4"/>
      <c r="L594" s="4"/>
      <c r="M594" s="4"/>
      <c r="N594" s="9" t="str">
        <f>IFERROR(__xludf.DUMMYFUNCTION("""COMPUTED_VALUE"""),"OEPS020080")</f>
        <v>OEPS020080</v>
      </c>
      <c r="O594" s="4" t="str">
        <f>IFERROR(__xludf.DUMMYFUNCTION("""COMPUTED_VALUE"""),"ERA-2AEB123X")</f>
        <v>ERA-2AEB123X</v>
      </c>
      <c r="P594" s="4" t="str">
        <f>IFERROR(__xludf.DUMMYFUNCTION("""COMPUTED_VALUE"""),"20(Tp) 21(Tp) 4(Tp) ")</f>
        <v>20(Tp) 21(Tp) 4(Tp) </v>
      </c>
      <c r="Q594" s="4">
        <f>IFERROR(__xludf.DUMMYFUNCTION("""COMPUTED_VALUE"""),45.0)</f>
        <v>45</v>
      </c>
      <c r="R594" s="4"/>
      <c r="S594" s="4"/>
      <c r="T594" s="4"/>
      <c r="U594" s="4">
        <f>IFERROR(__xludf.DUMMYFUNCTION("""COMPUTED_VALUE"""),20.0)</f>
        <v>20</v>
      </c>
      <c r="V594" s="4" t="str">
        <f>IFERROR(__xludf.DUMMYFUNCTION("""COMPUTED_VALUE"""),"Tape")</f>
        <v>Tape</v>
      </c>
      <c r="W594" s="4" t="str">
        <f>IFERROR(__xludf.DUMMYFUNCTION("""COMPUTED_VALUE"""),"1023")</f>
        <v>1023</v>
      </c>
      <c r="X594" s="4">
        <f>IFERROR(__xludf.DUMMYFUNCTION("""COMPUTED_VALUE"""),21.0)</f>
        <v>21</v>
      </c>
      <c r="Y594" s="4" t="str">
        <f>IFERROR(__xludf.DUMMYFUNCTION("""COMPUTED_VALUE"""),"Tape")</f>
        <v>Tape</v>
      </c>
      <c r="Z594" s="4" t="str">
        <f>IFERROR(__xludf.DUMMYFUNCTION("""COMPUTED_VALUE"""),"0224")</f>
        <v>0224</v>
      </c>
      <c r="AA594" s="4">
        <f>IFERROR(__xludf.DUMMYFUNCTION("""COMPUTED_VALUE"""),4.0)</f>
        <v>4</v>
      </c>
      <c r="AB594" s="4" t="str">
        <f>IFERROR(__xludf.DUMMYFUNCTION("""COMPUTED_VALUE"""),"Tape")</f>
        <v>Tape</v>
      </c>
      <c r="AC594" s="4" t="str">
        <f>IFERROR(__xludf.DUMMYFUNCTION("""COMPUTED_VALUE"""),"0325")</f>
        <v>0325</v>
      </c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</row>
    <row r="595">
      <c r="A595" s="4" t="str">
        <f>IFERROR(__xludf.DUMMYFUNCTION("""COMPUTED_VALUE"""),"INDUCTOR:   FIXED INDUCTOR SMD 3.3uH 600mA 512mΩ (OEPS J05 018)   [MBKK1608T3R3M] [0603]")</f>
        <v>INDUCTOR:   FIXED INDUCTOR SMD 3.3uH 600mA 512mΩ (OEPS J05 018)   [MBKK1608T3R3M] [0603]</v>
      </c>
      <c r="B595" s="4" t="str">
        <f>IFERROR(__xludf.DUMMYFUNCTION("""COMPUTED_VALUE"""),"OEPS040015")</f>
        <v>OEPS040015</v>
      </c>
      <c r="C595" s="4" t="str">
        <f>IFERROR(__xludf.DUMMYFUNCTION("""COMPUTED_VALUE"""),"SMD")</f>
        <v>SMD</v>
      </c>
      <c r="D595" s="4" t="str">
        <f>IFERROR(__xludf.DUMMYFUNCTION("""COMPUTED_VALUE"""),"MBKK1608T3R3M")</f>
        <v>MBKK1608T3R3M</v>
      </c>
      <c r="E595" s="4">
        <f>IFERROR(__xludf.DUMMYFUNCTION("""COMPUTED_VALUE"""),20.0)</f>
        <v>20</v>
      </c>
      <c r="F595" s="4" t="str">
        <f>IFERROR(__xludf.DUMMYFUNCTION("""COMPUTED_VALUE"""),"DigiKey")</f>
        <v>DigiKey</v>
      </c>
      <c r="G595" s="4" t="str">
        <f>IFERROR(__xludf.DUMMYFUNCTION("""COMPUTED_VALUE"""),"587-4151-6-ND")</f>
        <v>587-4151-6-ND</v>
      </c>
      <c r="H595" s="4"/>
      <c r="I595" s="4"/>
      <c r="J595" s="4"/>
      <c r="K595" s="4"/>
      <c r="L595" s="4"/>
      <c r="M595" s="4"/>
      <c r="N595" s="9" t="str">
        <f>IFERROR(__xludf.DUMMYFUNCTION("""COMPUTED_VALUE"""),"OEPS020081")</f>
        <v>OEPS020081</v>
      </c>
      <c r="O595" s="4" t="str">
        <f>IFERROR(__xludf.DUMMYFUNCTION("""COMPUTED_VALUE"""),"ERJ-2RKF9761X")</f>
        <v>ERJ-2RKF9761X</v>
      </c>
      <c r="P595" s="4" t="str">
        <f>IFERROR(__xludf.DUMMYFUNCTION("""COMPUTED_VALUE"""),"9(Tp) ")</f>
        <v>9(Tp) </v>
      </c>
      <c r="Q595" s="4">
        <f>IFERROR(__xludf.DUMMYFUNCTION("""COMPUTED_VALUE"""),9.0)</f>
        <v>9</v>
      </c>
      <c r="R595" s="4">
        <f>IFERROR(__xludf.DUMMYFUNCTION("""COMPUTED_VALUE"""),9.0)</f>
        <v>9</v>
      </c>
      <c r="S595" s="4" t="str">
        <f>IFERROR(__xludf.DUMMYFUNCTION("""COMPUTED_VALUE"""),"Tape")</f>
        <v>Tape</v>
      </c>
      <c r="T595" s="4" t="str">
        <f>IFERROR(__xludf.DUMMYFUNCTION("""COMPUTED_VALUE"""),"0326")</f>
        <v>0326</v>
      </c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</row>
    <row r="596">
      <c r="A596" s="4" t="str">
        <f>IFERROR(__xludf.DUMMYFUNCTION("""COMPUTED_VALUE"""),"INDUCTOR:   FIXED INDUCTOR SMD 33uH 1.4A 188mΩ   [SRN6045-330M] [-]")</f>
        <v>INDUCTOR:   FIXED INDUCTOR SMD 33uH 1.4A 188mΩ   [SRN6045-330M] [-]</v>
      </c>
      <c r="B596" s="4" t="str">
        <f>IFERROR(__xludf.DUMMYFUNCTION("""COMPUTED_VALUE"""),"OEPS040031")</f>
        <v>OEPS040031</v>
      </c>
      <c r="C596" s="4" t="str">
        <f>IFERROR(__xludf.DUMMYFUNCTION("""COMPUTED_VALUE"""),"SMD")</f>
        <v>SMD</v>
      </c>
      <c r="D596" s="4" t="str">
        <f>IFERROR(__xludf.DUMMYFUNCTION("""COMPUTED_VALUE"""),"SRN6045-330M")</f>
        <v>SRN6045-330M</v>
      </c>
      <c r="E596" s="4">
        <f>IFERROR(__xludf.DUMMYFUNCTION("""COMPUTED_VALUE"""),3.0)</f>
        <v>3</v>
      </c>
      <c r="F596" s="4" t="str">
        <f>IFERROR(__xludf.DUMMYFUNCTION("""COMPUTED_VALUE"""),"DigiKey")</f>
        <v>DigiKey</v>
      </c>
      <c r="G596" s="4" t="str">
        <f>IFERROR(__xludf.DUMMYFUNCTION("""COMPUTED_VALUE"""),"SRN6045-330MDKR-ND")</f>
        <v>SRN6045-330MDKR-ND</v>
      </c>
      <c r="H596" s="4"/>
      <c r="I596" s="4"/>
      <c r="J596" s="4"/>
      <c r="K596" s="4"/>
      <c r="L596" s="4"/>
      <c r="M596" s="4"/>
      <c r="N596" s="9" t="str">
        <f>IFERROR(__xludf.DUMMYFUNCTION("""COMPUTED_VALUE"""),"OEPS020082")</f>
        <v>OEPS020082</v>
      </c>
      <c r="O596" s="4" t="str">
        <f>IFERROR(__xludf.DUMMYFUNCTION("""COMPUTED_VALUE"""),"ERJ-2RKF3161X")</f>
        <v>ERJ-2RKF3161X</v>
      </c>
      <c r="P596" s="4" t="str">
        <f>IFERROR(__xludf.DUMMYFUNCTION("""COMPUTED_VALUE"""),"1(Tp) ")</f>
        <v>1(Tp) </v>
      </c>
      <c r="Q596" s="4">
        <f>IFERROR(__xludf.DUMMYFUNCTION("""COMPUTED_VALUE"""),1.0)</f>
        <v>1</v>
      </c>
      <c r="R596" s="4">
        <f>IFERROR(__xludf.DUMMYFUNCTION("""COMPUTED_VALUE"""),1.0)</f>
        <v>1</v>
      </c>
      <c r="S596" s="4" t="str">
        <f>IFERROR(__xludf.DUMMYFUNCTION("""COMPUTED_VALUE"""),"Tape")</f>
        <v>Tape</v>
      </c>
      <c r="T596" s="4" t="str">
        <f>IFERROR(__xludf.DUMMYFUNCTION("""COMPUTED_VALUE"""),"0224")</f>
        <v>0224</v>
      </c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</row>
    <row r="597">
      <c r="A597" s="4" t="str">
        <f>IFERROR(__xludf.DUMMYFUNCTION("""COMPUTED_VALUE"""),"INDUCTOR:   FIXED INDUCTOR SMD 4.7uH 2A 55mΩ   [NRS5024T4R7MMGJ] [-]")</f>
        <v>INDUCTOR:   FIXED INDUCTOR SMD 4.7uH 2A 55mΩ   [NRS5024T4R7MMGJ] [-]</v>
      </c>
      <c r="B597" s="4" t="str">
        <f>IFERROR(__xludf.DUMMYFUNCTION("""COMPUTED_VALUE"""),"OEPS040023")</f>
        <v>OEPS040023</v>
      </c>
      <c r="C597" s="4" t="str">
        <f>IFERROR(__xludf.DUMMYFUNCTION("""COMPUTED_VALUE"""),"SMD")</f>
        <v>SMD</v>
      </c>
      <c r="D597" s="4" t="str">
        <f>IFERROR(__xludf.DUMMYFUNCTION("""COMPUTED_VALUE"""),"NRS5024T4R7MMGJ")</f>
        <v>NRS5024T4R7MMGJ</v>
      </c>
      <c r="E597" s="4">
        <f>IFERROR(__xludf.DUMMYFUNCTION("""COMPUTED_VALUE"""),3.0)</f>
        <v>3</v>
      </c>
      <c r="F597" s="4" t="str">
        <f>IFERROR(__xludf.DUMMYFUNCTION("""COMPUTED_VALUE"""),"DigiKey")</f>
        <v>DigiKey</v>
      </c>
      <c r="G597" s="4" t="str">
        <f>IFERROR(__xludf.DUMMYFUNCTION("""COMPUTED_VALUE"""),"587-5937-6-ND")</f>
        <v>587-5937-6-ND</v>
      </c>
      <c r="H597" s="4"/>
      <c r="I597" s="4"/>
      <c r="J597" s="4"/>
      <c r="K597" s="4"/>
      <c r="L597" s="4"/>
      <c r="M597" s="4"/>
      <c r="N597" s="9" t="str">
        <f>IFERROR(__xludf.DUMMYFUNCTION("""COMPUTED_VALUE"""),"OEPS020083")</f>
        <v>OEPS020083</v>
      </c>
      <c r="O597" s="4" t="str">
        <f>IFERROR(__xludf.DUMMYFUNCTION("""COMPUTED_VALUE"""),"ERJ-2RKF3301X")</f>
        <v>ERJ-2RKF3301X</v>
      </c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</row>
    <row r="598">
      <c r="A598" s="4" t="str">
        <f>IFERROR(__xludf.DUMMYFUNCTION("""COMPUTED_VALUE"""),"INDUCTOR:   FIXED INDUCTOR SMD 4.7uH 470mA 312mΩ   [CBMF1608T4R7M] [0603]")</f>
        <v>INDUCTOR:   FIXED INDUCTOR SMD 4.7uH 470mA 312mΩ   [CBMF1608T4R7M] [0603]</v>
      </c>
      <c r="B598" s="4" t="str">
        <f>IFERROR(__xludf.DUMMYFUNCTION("""COMPUTED_VALUE"""),"OEPS040037")</f>
        <v>OEPS040037</v>
      </c>
      <c r="C598" s="4" t="str">
        <f>IFERROR(__xludf.DUMMYFUNCTION("""COMPUTED_VALUE"""),"SMD")</f>
        <v>SMD</v>
      </c>
      <c r="D598" s="4" t="str">
        <f>IFERROR(__xludf.DUMMYFUNCTION("""COMPUTED_VALUE"""),"CBMF1608T4R7M")</f>
        <v>CBMF1608T4R7M</v>
      </c>
      <c r="E598" s="4">
        <f>IFERROR(__xludf.DUMMYFUNCTION("""COMPUTED_VALUE"""),20.0)</f>
        <v>20</v>
      </c>
      <c r="F598" s="4" t="str">
        <f>IFERROR(__xludf.DUMMYFUNCTION("""COMPUTED_VALUE"""),"Digikey")</f>
        <v>Digikey</v>
      </c>
      <c r="G598" s="4" t="str">
        <f>IFERROR(__xludf.DUMMYFUNCTION("""COMPUTED_VALUE"""),"587-1719-6-ND")</f>
        <v>587-1719-6-ND</v>
      </c>
      <c r="H598" s="4"/>
      <c r="I598" s="4"/>
      <c r="J598" s="4"/>
      <c r="K598" s="4"/>
      <c r="L598" s="4"/>
      <c r="M598" s="4"/>
      <c r="N598" s="9" t="str">
        <f>IFERROR(__xludf.DUMMYFUNCTION("""COMPUTED_VALUE"""),"OEPS020085")</f>
        <v>OEPS020085</v>
      </c>
      <c r="O598" s="4" t="str">
        <f>IFERROR(__xludf.DUMMYFUNCTION("""COMPUTED_VALUE"""),"ERJ-1GN0R00C")</f>
        <v>ERJ-1GN0R00C</v>
      </c>
      <c r="P598" s="4" t="str">
        <f>IFERROR(__xludf.DUMMYFUNCTION("""COMPUTED_VALUE"""),"83(R) ")</f>
        <v>83(R) </v>
      </c>
      <c r="Q598" s="4">
        <f>IFERROR(__xludf.DUMMYFUNCTION("""COMPUTED_VALUE"""),83.0)</f>
        <v>83</v>
      </c>
      <c r="R598" s="4">
        <f>IFERROR(__xludf.DUMMYFUNCTION("""COMPUTED_VALUE"""),83.0)</f>
        <v>83</v>
      </c>
      <c r="S598" s="4" t="str">
        <f>IFERROR(__xludf.DUMMYFUNCTION("""COMPUTED_VALUE"""),"Reel")</f>
        <v>Reel</v>
      </c>
      <c r="T598" s="4" t="str">
        <f>IFERROR(__xludf.DUMMYFUNCTION("""COMPUTED_VALUE"""),"0123")</f>
        <v>0123</v>
      </c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</row>
    <row r="599">
      <c r="A599" s="4" t="str">
        <f>IFERROR(__xludf.DUMMYFUNCTION("""COMPUTED_VALUE"""),"INDUCTOR:   FIXED INDUCTOR SMD 4.7uH 700MA 338mΩ   [MLP2012S4R7MT0S1] [0805]")</f>
        <v>INDUCTOR:   FIXED INDUCTOR SMD 4.7uH 700MA 338mΩ   [MLP2012S4R7MT0S1] [0805]</v>
      </c>
      <c r="B599" s="4" t="str">
        <f>IFERROR(__xludf.DUMMYFUNCTION("""COMPUTED_VALUE"""),"OEPS040022")</f>
        <v>OEPS040022</v>
      </c>
      <c r="C599" s="4" t="str">
        <f>IFERROR(__xludf.DUMMYFUNCTION("""COMPUTED_VALUE"""),"SMD")</f>
        <v>SMD</v>
      </c>
      <c r="D599" s="4" t="str">
        <f>IFERROR(__xludf.DUMMYFUNCTION("""COMPUTED_VALUE"""),"MLP2012S4R7MT0S1")</f>
        <v>MLP2012S4R7MT0S1</v>
      </c>
      <c r="E599" s="4">
        <f>IFERROR(__xludf.DUMMYFUNCTION("""COMPUTED_VALUE"""),20.0)</f>
        <v>20</v>
      </c>
      <c r="F599" s="4" t="str">
        <f>IFERROR(__xludf.DUMMYFUNCTION("""COMPUTED_VALUE"""),"DigiKey")</f>
        <v>DigiKey</v>
      </c>
      <c r="G599" s="4" t="str">
        <f>IFERROR(__xludf.DUMMYFUNCTION("""COMPUTED_VALUE"""),"445-6366-6-ND")</f>
        <v>445-6366-6-ND</v>
      </c>
      <c r="H599" s="4"/>
      <c r="I599" s="4"/>
      <c r="J599" s="4"/>
      <c r="K599" s="4"/>
      <c r="L599" s="4"/>
      <c r="M599" s="4"/>
      <c r="N599" s="9" t="str">
        <f>IFERROR(__xludf.DUMMYFUNCTION("""COMPUTED_VALUE"""),"OEPS020086")</f>
        <v>OEPS020086</v>
      </c>
      <c r="O599" s="4" t="str">
        <f>IFERROR(__xludf.DUMMYFUNCTION("""COMPUTED_VALUE"""),"ERJ-3EKF1603V")</f>
        <v>ERJ-3EKF1603V</v>
      </c>
      <c r="P599" s="4" t="str">
        <f>IFERROR(__xludf.DUMMYFUNCTION("""COMPUTED_VALUE"""),"92(Tp) 208(Tp) ")</f>
        <v>92(Tp) 208(Tp) </v>
      </c>
      <c r="Q599" s="4">
        <f>IFERROR(__xludf.DUMMYFUNCTION("""COMPUTED_VALUE"""),300.0)</f>
        <v>300</v>
      </c>
      <c r="R599" s="4">
        <f>IFERROR(__xludf.DUMMYFUNCTION("""COMPUTED_VALUE"""),92.0)</f>
        <v>92</v>
      </c>
      <c r="S599" s="4" t="str">
        <f>IFERROR(__xludf.DUMMYFUNCTION("""COMPUTED_VALUE"""),"Tape")</f>
        <v>Tape</v>
      </c>
      <c r="T599" s="4" t="str">
        <f>IFERROR(__xludf.DUMMYFUNCTION("""COMPUTED_VALUE"""),"0625")</f>
        <v>0625</v>
      </c>
      <c r="U599" s="4">
        <f>IFERROR(__xludf.DUMMYFUNCTION("""COMPUTED_VALUE"""),208.0)</f>
        <v>208</v>
      </c>
      <c r="V599" s="4" t="str">
        <f>IFERROR(__xludf.DUMMYFUNCTION("""COMPUTED_VALUE"""),"Tape")</f>
        <v>Tape</v>
      </c>
      <c r="W599" s="4" t="str">
        <f>IFERROR(__xludf.DUMMYFUNCTION("""COMPUTED_VALUE"""),"XXXX")</f>
        <v>XXXX</v>
      </c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</row>
    <row r="600">
      <c r="A600" s="4" t="str">
        <f>IFERROR(__xludf.DUMMYFUNCTION("""COMPUTED_VALUE"""),"INDUCTOR:   FIXED INDUCTOR SMD 4.7uH 750mA 260mΩ   [CIG21L4R7MNE] [0805]")</f>
        <v>INDUCTOR:   FIXED INDUCTOR SMD 4.7uH 750mA 260mΩ   [CIG21L4R7MNE] [0805]</v>
      </c>
      <c r="B600" s="4" t="str">
        <f>IFERROR(__xludf.DUMMYFUNCTION("""COMPUTED_VALUE"""),"OEPS040017")</f>
        <v>OEPS040017</v>
      </c>
      <c r="C600" s="4" t="str">
        <f>IFERROR(__xludf.DUMMYFUNCTION("""COMPUTED_VALUE"""),"SMD")</f>
        <v>SMD</v>
      </c>
      <c r="D600" s="4" t="str">
        <f>IFERROR(__xludf.DUMMYFUNCTION("""COMPUTED_VALUE"""),"CIG21L4R7MNE")</f>
        <v>CIG21L4R7MNE</v>
      </c>
      <c r="E600" s="4">
        <f>IFERROR(__xludf.DUMMYFUNCTION("""COMPUTED_VALUE"""),20.0)</f>
        <v>20</v>
      </c>
      <c r="F600" s="4" t="str">
        <f>IFERROR(__xludf.DUMMYFUNCTION("""COMPUTED_VALUE"""),"DigiKey")</f>
        <v>DigiKey</v>
      </c>
      <c r="G600" s="4" t="str">
        <f>IFERROR(__xludf.DUMMYFUNCTION("""COMPUTED_VALUE"""),"1276-6204-6-ND")</f>
        <v>1276-6204-6-ND</v>
      </c>
      <c r="H600" s="4"/>
      <c r="I600" s="4"/>
      <c r="J600" s="4"/>
      <c r="K600" s="4"/>
      <c r="L600" s="4"/>
      <c r="M600" s="4"/>
      <c r="N600" s="9" t="str">
        <f>IFERROR(__xludf.DUMMYFUNCTION("""COMPUTED_VALUE"""),"OEPS020087")</f>
        <v>OEPS020087</v>
      </c>
      <c r="O600" s="4" t="str">
        <f>IFERROR(__xludf.DUMMYFUNCTION("""COMPUTED_VALUE"""),"CR0603-FX-5102ELF")</f>
        <v>CR0603-FX-5102ELF</v>
      </c>
      <c r="P600" s="4" t="str">
        <f>IFERROR(__xludf.DUMMYFUNCTION("""COMPUTED_VALUE"""),"199(Tp) 94(Tp) ")</f>
        <v>199(Tp) 94(Tp) </v>
      </c>
      <c r="Q600" s="4">
        <f>IFERROR(__xludf.DUMMYFUNCTION("""COMPUTED_VALUE"""),293.0)</f>
        <v>293</v>
      </c>
      <c r="R600" s="4">
        <f>IFERROR(__xludf.DUMMYFUNCTION("""COMPUTED_VALUE"""),199.0)</f>
        <v>199</v>
      </c>
      <c r="S600" s="4" t="str">
        <f>IFERROR(__xludf.DUMMYFUNCTION("""COMPUTED_VALUE"""),"Tape")</f>
        <v>Tape</v>
      </c>
      <c r="T600" s="4" t="str">
        <f>IFERROR(__xludf.DUMMYFUNCTION("""COMPUTED_VALUE"""),"0124")</f>
        <v>0124</v>
      </c>
      <c r="U600" s="4">
        <f>IFERROR(__xludf.DUMMYFUNCTION("""COMPUTED_VALUE"""),94.0)</f>
        <v>94</v>
      </c>
      <c r="V600" s="4" t="str">
        <f>IFERROR(__xludf.DUMMYFUNCTION("""COMPUTED_VALUE"""),"Tape")</f>
        <v>Tape</v>
      </c>
      <c r="W600" s="4" t="str">
        <f>IFERROR(__xludf.DUMMYFUNCTION("""COMPUTED_VALUE"""),"0625")</f>
        <v>0625</v>
      </c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</row>
    <row r="601">
      <c r="A601" s="4" t="str">
        <f>IFERROR(__xludf.DUMMYFUNCTION("""COMPUTED_VALUE"""),"INDUCTOR:   FIXED INDUCTOR SMD 4.7uH 950mA 350mΩ   [1008PS-472KLB] [-]")</f>
        <v>INDUCTOR:   FIXED INDUCTOR SMD 4.7uH 950mA 350mΩ   [1008PS-472KLB] [-]</v>
      </c>
      <c r="B601" s="4" t="str">
        <f>IFERROR(__xludf.DUMMYFUNCTION("""COMPUTED_VALUE"""),"OEPS040032")</f>
        <v>OEPS040032</v>
      </c>
      <c r="C601" s="4" t="str">
        <f>IFERROR(__xludf.DUMMYFUNCTION("""COMPUTED_VALUE"""),"SMD")</f>
        <v>SMD</v>
      </c>
      <c r="D601" s="4" t="str">
        <f>IFERROR(__xludf.DUMMYFUNCTION("""COMPUTED_VALUE"""),"1008PS-472KLB")</f>
        <v>1008PS-472KLB</v>
      </c>
      <c r="E601" s="4">
        <f>IFERROR(__xludf.DUMMYFUNCTION("""COMPUTED_VALUE"""),5.0)</f>
        <v>5</v>
      </c>
      <c r="F601" s="4" t="str">
        <f>IFERROR(__xludf.DUMMYFUNCTION("""COMPUTED_VALUE"""),"Digikey")</f>
        <v>Digikey</v>
      </c>
      <c r="G601" s="4" t="str">
        <f>IFERROR(__xludf.DUMMYFUNCTION("""COMPUTED_VALUE"""),"994-1008PS-472KLB")</f>
        <v>994-1008PS-472KLB</v>
      </c>
      <c r="H601" s="4"/>
      <c r="I601" s="4"/>
      <c r="J601" s="4"/>
      <c r="K601" s="4"/>
      <c r="L601" s="4"/>
      <c r="M601" s="4"/>
      <c r="N601" s="9" t="str">
        <f>IFERROR(__xludf.DUMMYFUNCTION("""COMPUTED_VALUE"""),"OEPS020088")</f>
        <v>OEPS020088</v>
      </c>
      <c r="O601" s="4" t="str">
        <f>IFERROR(__xludf.DUMMYFUNCTION("""COMPUTED_VALUE"""),"ERJ-3EKF2491V")</f>
        <v>ERJ-3EKF2491V</v>
      </c>
      <c r="P601" s="4" t="str">
        <f>IFERROR(__xludf.DUMMYFUNCTION("""COMPUTED_VALUE"""),"93(Tp) 4(Tp) ")</f>
        <v>93(Tp) 4(Tp) </v>
      </c>
      <c r="Q601" s="4">
        <f>IFERROR(__xludf.DUMMYFUNCTION("""COMPUTED_VALUE"""),97.0)</f>
        <v>97</v>
      </c>
      <c r="R601" s="4">
        <f>IFERROR(__xludf.DUMMYFUNCTION("""COMPUTED_VALUE"""),93.0)</f>
        <v>93</v>
      </c>
      <c r="S601" s="4" t="str">
        <f>IFERROR(__xludf.DUMMYFUNCTION("""COMPUTED_VALUE"""),"Tape")</f>
        <v>Tape</v>
      </c>
      <c r="T601" s="4" t="str">
        <f>IFERROR(__xludf.DUMMYFUNCTION("""COMPUTED_VALUE"""),"0625")</f>
        <v>0625</v>
      </c>
      <c r="U601" s="4">
        <f>IFERROR(__xludf.DUMMYFUNCTION("""COMPUTED_VALUE"""),4.0)</f>
        <v>4</v>
      </c>
      <c r="V601" s="4" t="str">
        <f>IFERROR(__xludf.DUMMYFUNCTION("""COMPUTED_VALUE"""),"Tape")</f>
        <v>Tape</v>
      </c>
      <c r="W601" s="4" t="str">
        <f>IFERROR(__xludf.DUMMYFUNCTION("""COMPUTED_VALUE"""),"XXXX")</f>
        <v>XXXX</v>
      </c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</row>
    <row r="602">
      <c r="A602" s="4" t="str">
        <f>IFERROR(__xludf.DUMMYFUNCTION("""COMPUTED_VALUE"""),"INDUCTOR:   FIXED INDUCTOR SMD 47uH 500mA 900mΩ (OEPS J05 015)   [ADL3225V-470MT-TL000] [1210]")</f>
        <v>INDUCTOR:   FIXED INDUCTOR SMD 47uH 500mA 900mΩ (OEPS J05 015)   [ADL3225V-470MT-TL000] [1210]</v>
      </c>
      <c r="B602" s="4" t="str">
        <f>IFERROR(__xludf.DUMMYFUNCTION("""COMPUTED_VALUE"""),"OEPS040012")</f>
        <v>OEPS040012</v>
      </c>
      <c r="C602" s="4" t="str">
        <f>IFERROR(__xludf.DUMMYFUNCTION("""COMPUTED_VALUE"""),"SMD")</f>
        <v>SMD</v>
      </c>
      <c r="D602" s="4" t="str">
        <f>IFERROR(__xludf.DUMMYFUNCTION("""COMPUTED_VALUE"""),"ADL3225V-470MT-TL000")</f>
        <v>ADL3225V-470MT-TL000</v>
      </c>
      <c r="E602" s="4">
        <f>IFERROR(__xludf.DUMMYFUNCTION("""COMPUTED_VALUE"""),5.0)</f>
        <v>5</v>
      </c>
      <c r="F602" s="4" t="str">
        <f>IFERROR(__xludf.DUMMYFUNCTION("""COMPUTED_VALUE"""),"DigiKey")</f>
        <v>DigiKey</v>
      </c>
      <c r="G602" s="4" t="str">
        <f>IFERROR(__xludf.DUMMYFUNCTION("""COMPUTED_VALUE"""),"445-174611-6-ND")</f>
        <v>445-174611-6-ND</v>
      </c>
      <c r="H602" s="4"/>
      <c r="I602" s="4"/>
      <c r="J602" s="4"/>
      <c r="K602" s="4"/>
      <c r="L602" s="4"/>
      <c r="M602" s="4"/>
      <c r="N602" s="9" t="str">
        <f>IFERROR(__xludf.DUMMYFUNCTION("""COMPUTED_VALUE"""),"OEPS020089")</f>
        <v>OEPS020089</v>
      </c>
      <c r="O602" s="4" t="str">
        <f>IFERROR(__xludf.DUMMYFUNCTION("""COMPUTED_VALUE"""),"ERJ-2RKF2401X")</f>
        <v>ERJ-2RKF2401X</v>
      </c>
      <c r="P602" s="4" t="str">
        <f>IFERROR(__xludf.DUMMYFUNCTION("""COMPUTED_VALUE"""),"1719(Tp) ")</f>
        <v>1719(Tp) </v>
      </c>
      <c r="Q602" s="4">
        <f>IFERROR(__xludf.DUMMYFUNCTION("""COMPUTED_VALUE"""),1719.0)</f>
        <v>1719</v>
      </c>
      <c r="R602" s="4">
        <f>IFERROR(__xludf.DUMMYFUNCTION("""COMPUTED_VALUE"""),1719.0)</f>
        <v>1719</v>
      </c>
      <c r="S602" s="4" t="str">
        <f>IFERROR(__xludf.DUMMYFUNCTION("""COMPUTED_VALUE"""),"Tape")</f>
        <v>Tape</v>
      </c>
      <c r="T602" s="4" t="str">
        <f>IFERROR(__xludf.DUMMYFUNCTION("""COMPUTED_VALUE"""),"XXXX")</f>
        <v>XXXX</v>
      </c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</row>
    <row r="603">
      <c r="A603" s="4" t="str">
        <f>IFERROR(__xludf.DUMMYFUNCTION("""COMPUTED_VALUE"""),"INDUCTOR:   FIXED INDUCTOR SMD 56uH 1.75A 160mΩ   [SRN8040TA-560M] [-]")</f>
        <v>INDUCTOR:   FIXED INDUCTOR SMD 56uH 1.75A 160mΩ   [SRN8040TA-560M] [-]</v>
      </c>
      <c r="B603" s="4" t="str">
        <f>IFERROR(__xludf.DUMMYFUNCTION("""COMPUTED_VALUE"""),"OEPS040011")</f>
        <v>OEPS040011</v>
      </c>
      <c r="C603" s="4" t="str">
        <f>IFERROR(__xludf.DUMMYFUNCTION("""COMPUTED_VALUE"""),"SMD")</f>
        <v>SMD</v>
      </c>
      <c r="D603" s="4" t="str">
        <f>IFERROR(__xludf.DUMMYFUNCTION("""COMPUTED_VALUE"""),"SRN8040TA-560M")</f>
        <v>SRN8040TA-560M</v>
      </c>
      <c r="E603" s="4">
        <f>IFERROR(__xludf.DUMMYFUNCTION("""COMPUTED_VALUE"""),3.0)</f>
        <v>3</v>
      </c>
      <c r="F603" s="4" t="str">
        <f>IFERROR(__xludf.DUMMYFUNCTION("""COMPUTED_VALUE"""),"DigiKey")</f>
        <v>DigiKey</v>
      </c>
      <c r="G603" s="4" t="str">
        <f>IFERROR(__xludf.DUMMYFUNCTION("""COMPUTED_VALUE"""),"SRN8040TA-560MDKR-ND")</f>
        <v>SRN8040TA-560MDKR-ND</v>
      </c>
      <c r="H603" s="4"/>
      <c r="I603" s="4"/>
      <c r="J603" s="4"/>
      <c r="K603" s="4"/>
      <c r="L603" s="4"/>
      <c r="M603" s="4"/>
      <c r="N603" s="9" t="str">
        <f>IFERROR(__xludf.DUMMYFUNCTION("""COMPUTED_VALUE"""),"OEPS020097")</f>
        <v>OEPS020097</v>
      </c>
      <c r="O603" s="4" t="str">
        <f>IFERROR(__xludf.DUMMYFUNCTION("""COMPUTED_VALUE"""),"RC0603FR-073K83L")</f>
        <v>RC0603FR-073K83L</v>
      </c>
      <c r="P603" s="4" t="str">
        <f>IFERROR(__xludf.DUMMYFUNCTION("""COMPUTED_VALUE"""),"1(Tp) 1778(R) ")</f>
        <v>1(Tp) 1778(R) </v>
      </c>
      <c r="Q603" s="4">
        <f>IFERROR(__xludf.DUMMYFUNCTION("""COMPUTED_VALUE"""),1779.0)</f>
        <v>1779</v>
      </c>
      <c r="R603" s="4">
        <f>IFERROR(__xludf.DUMMYFUNCTION("""COMPUTED_VALUE"""),1.0)</f>
        <v>1</v>
      </c>
      <c r="S603" s="4" t="str">
        <f>IFERROR(__xludf.DUMMYFUNCTION("""COMPUTED_VALUE"""),"Tape")</f>
        <v>Tape</v>
      </c>
      <c r="T603" s="4" t="str">
        <f>IFERROR(__xludf.DUMMYFUNCTION("""COMPUTED_VALUE"""),"0325")</f>
        <v>0325</v>
      </c>
      <c r="U603" s="4">
        <f>IFERROR(__xludf.DUMMYFUNCTION("""COMPUTED_VALUE"""),1778.0)</f>
        <v>1778</v>
      </c>
      <c r="V603" s="4" t="str">
        <f>IFERROR(__xludf.DUMMYFUNCTION("""COMPUTED_VALUE"""),"Reel")</f>
        <v>Reel</v>
      </c>
      <c r="W603" s="4" t="str">
        <f>IFERROR(__xludf.DUMMYFUNCTION("""COMPUTED_VALUE"""),"0425")</f>
        <v>0425</v>
      </c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</row>
    <row r="604">
      <c r="A604" s="4" t="str">
        <f>IFERROR(__xludf.DUMMYFUNCTION("""COMPUTED_VALUE"""),"INDUCTOR:   FIXED INDUCTOR SMD 6.8uH 1.2A 276mΩ   [1277AS-H-6R8M=P2] [SMD]")</f>
        <v>INDUCTOR:   FIXED INDUCTOR SMD 6.8uH 1.2A 276mΩ   [1277AS-H-6R8M=P2] [SMD]</v>
      </c>
      <c r="B604" s="4" t="str">
        <f>IFERROR(__xludf.DUMMYFUNCTION("""COMPUTED_VALUE"""),"OEPS040035")</f>
        <v>OEPS040035</v>
      </c>
      <c r="C604" s="4" t="str">
        <f>IFERROR(__xludf.DUMMYFUNCTION("""COMPUTED_VALUE"""),"SMD")</f>
        <v>SMD</v>
      </c>
      <c r="D604" s="4" t="str">
        <f>IFERROR(__xludf.DUMMYFUNCTION("""COMPUTED_VALUE"""),"1277AS-H-6R8M=P2")</f>
        <v>1277AS-H-6R8M=P2</v>
      </c>
      <c r="E604" s="4">
        <f>IFERROR(__xludf.DUMMYFUNCTION("""COMPUTED_VALUE"""),5.0)</f>
        <v>5</v>
      </c>
      <c r="F604" s="4" t="str">
        <f>IFERROR(__xludf.DUMMYFUNCTION("""COMPUTED_VALUE"""),"Digikey")</f>
        <v>Digikey</v>
      </c>
      <c r="G604" s="4" t="str">
        <f>IFERROR(__xludf.DUMMYFUNCTION("""COMPUTED_VALUE"""),"490-10595-6-ND")</f>
        <v>490-10595-6-ND</v>
      </c>
      <c r="H604" s="4"/>
      <c r="I604" s="4"/>
      <c r="J604" s="4"/>
      <c r="K604" s="4"/>
      <c r="L604" s="4"/>
      <c r="M604" s="4"/>
      <c r="N604" s="9" t="str">
        <f>IFERROR(__xludf.DUMMYFUNCTION("""COMPUTED_VALUE"""),"OEPS020101")</f>
        <v>OEPS020101</v>
      </c>
      <c r="O604" s="4" t="str">
        <f>IFERROR(__xludf.DUMMYFUNCTION("""COMPUTED_VALUE"""),"RC0603FR-0760K4L")</f>
        <v>RC0603FR-0760K4L</v>
      </c>
      <c r="P604" s="4" t="str">
        <f>IFERROR(__xludf.DUMMYFUNCTION("""COMPUTED_VALUE"""),"9(Tp) ")</f>
        <v>9(Tp) </v>
      </c>
      <c r="Q604" s="4">
        <f>IFERROR(__xludf.DUMMYFUNCTION("""COMPUTED_VALUE"""),9.0)</f>
        <v>9</v>
      </c>
      <c r="R604" s="4">
        <f>IFERROR(__xludf.DUMMYFUNCTION("""COMPUTED_VALUE"""),9.0)</f>
        <v>9</v>
      </c>
      <c r="S604" s="4" t="str">
        <f>IFERROR(__xludf.DUMMYFUNCTION("""COMPUTED_VALUE"""),"Tape")</f>
        <v>Tape</v>
      </c>
      <c r="T604" s="4" t="str">
        <f>IFERROR(__xludf.DUMMYFUNCTION("""COMPUTED_VALUE"""),"0325")</f>
        <v>0325</v>
      </c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</row>
    <row r="605">
      <c r="A605" s="4" t="str">
        <f>IFERROR(__xludf.DUMMYFUNCTION("""COMPUTED_VALUE"""),"MECHA:   SCREW M2x5mm pan head phillips drive   [MPMS 002 0005 PH] [Mechanics]")</f>
        <v>MECHA:   SCREW M2x5mm pan head phillips drive   [MPMS 002 0005 PH] [Mechanics]</v>
      </c>
      <c r="B605" s="4" t="str">
        <f>IFERROR(__xludf.DUMMYFUNCTION("""COMPUTED_VALUE"""),"OEPS110001")</f>
        <v>OEPS110001</v>
      </c>
      <c r="C605" s="4" t="str">
        <f>IFERROR(__xludf.DUMMYFUNCTION("""COMPUTED_VALUE"""),"Mechanics")</f>
        <v>Mechanics</v>
      </c>
      <c r="D605" s="4" t="str">
        <f>IFERROR(__xludf.DUMMYFUNCTION("""COMPUTED_VALUE"""),"MPMS 002 0005 PH")</f>
        <v>MPMS 002 0005 PH</v>
      </c>
      <c r="E605" s="4">
        <f>IFERROR(__xludf.DUMMYFUNCTION("""COMPUTED_VALUE"""),1.0)</f>
        <v>1</v>
      </c>
      <c r="F605" s="4" t="str">
        <f>IFERROR(__xludf.DUMMYFUNCTION("""COMPUTED_VALUE"""),"DigiKey")</f>
        <v>DigiKey</v>
      </c>
      <c r="G605" s="4" t="str">
        <f>IFERROR(__xludf.DUMMYFUNCTION("""COMPUTED_VALUE"""),"H738-ND")</f>
        <v>H738-ND</v>
      </c>
      <c r="H605" s="4"/>
      <c r="I605" s="4"/>
      <c r="J605" s="4"/>
      <c r="K605" s="4"/>
      <c r="L605" s="4"/>
      <c r="M605" s="4"/>
      <c r="N605" s="9" t="str">
        <f>IFERROR(__xludf.DUMMYFUNCTION("""COMPUTED_VALUE"""),"OEPS020104")</f>
        <v>OEPS020104</v>
      </c>
      <c r="O605" s="4" t="str">
        <f>IFERROR(__xludf.DUMMYFUNCTION("""COMPUTED_VALUE"""),"RC0603FR-071KL")</f>
        <v>RC0603FR-071KL</v>
      </c>
      <c r="P605" s="4" t="str">
        <f>IFERROR(__xludf.DUMMYFUNCTION("""COMPUTED_VALUE"""),"20(Tp) ")</f>
        <v>20(Tp) </v>
      </c>
      <c r="Q605" s="4">
        <f>IFERROR(__xludf.DUMMYFUNCTION("""COMPUTED_VALUE"""),20.0)</f>
        <v>20</v>
      </c>
      <c r="R605" s="4">
        <f>IFERROR(__xludf.DUMMYFUNCTION("""COMPUTED_VALUE"""),20.0)</f>
        <v>20</v>
      </c>
      <c r="S605" s="4" t="str">
        <f>IFERROR(__xludf.DUMMYFUNCTION("""COMPUTED_VALUE"""),"Tape")</f>
        <v>Tape</v>
      </c>
      <c r="T605" s="4" t="str">
        <f>IFERROR(__xludf.DUMMYFUNCTION("""COMPUTED_VALUE"""),"0425")</f>
        <v>0425</v>
      </c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</row>
    <row r="606">
      <c r="A606" s="4" t="str">
        <f>IFERROR(__xludf.DUMMYFUNCTION("""COMPUTED_VALUE"""),"MECHA:   SCREW M3x16mm phillips self-tapping stainless steel    [CSPCSHP-SUS-TPT3-16] [Mechanics]")</f>
        <v>MECHA:   SCREW M3x16mm phillips self-tapping stainless steel    [CSPCSHP-SUS-TPT3-16] [Mechanics]</v>
      </c>
      <c r="B606" s="4" t="str">
        <f>IFERROR(__xludf.DUMMYFUNCTION("""COMPUTED_VALUE"""),"OEPS110002")</f>
        <v>OEPS110002</v>
      </c>
      <c r="C606" s="4" t="str">
        <f>IFERROR(__xludf.DUMMYFUNCTION("""COMPUTED_VALUE"""),"Mechanics")</f>
        <v>Mechanics</v>
      </c>
      <c r="D606" s="4" t="str">
        <f>IFERROR(__xludf.DUMMYFUNCTION("""COMPUTED_VALUE"""),"CSPCSHP-SUS-TPT3-16")</f>
        <v>CSPCSHP-SUS-TPT3-16</v>
      </c>
      <c r="E606" s="4">
        <f>IFERROR(__xludf.DUMMYFUNCTION("""COMPUTED_VALUE"""),1.0)</f>
        <v>1</v>
      </c>
      <c r="F606" s="4" t="str">
        <f>IFERROR(__xludf.DUMMYFUNCTION("""COMPUTED_VALUE"""),"Misumi")</f>
        <v>Misumi</v>
      </c>
      <c r="G606" s="4" t="str">
        <f>IFERROR(__xludf.DUMMYFUNCTION("""COMPUTED_VALUE"""),"CSPCSHP-SUS-TPT3-16")</f>
        <v>CSPCSHP-SUS-TPT3-16</v>
      </c>
      <c r="H606" s="4"/>
      <c r="I606" s="4"/>
      <c r="J606" s="4"/>
      <c r="K606" s="4"/>
      <c r="L606" s="4"/>
      <c r="M606" s="4"/>
      <c r="N606" s="9" t="str">
        <f>IFERROR(__xludf.DUMMYFUNCTION("""COMPUTED_VALUE"""),"OEPS020120")</f>
        <v>OEPS020120</v>
      </c>
      <c r="O606" s="4" t="str">
        <f>IFERROR(__xludf.DUMMYFUNCTION("""COMPUTED_VALUE"""),"CRCW0201100RFKED")</f>
        <v>CRCW0201100RFKED</v>
      </c>
      <c r="P606" s="4" t="str">
        <f>IFERROR(__xludf.DUMMYFUNCTION("""COMPUTED_VALUE"""),"61(Tp) ")</f>
        <v>61(Tp) </v>
      </c>
      <c r="Q606" s="4">
        <f>IFERROR(__xludf.DUMMYFUNCTION("""COMPUTED_VALUE"""),61.0)</f>
        <v>61</v>
      </c>
      <c r="R606" s="4">
        <f>IFERROR(__xludf.DUMMYFUNCTION("""COMPUTED_VALUE"""),61.0)</f>
        <v>61</v>
      </c>
      <c r="S606" s="4" t="str">
        <f>IFERROR(__xludf.DUMMYFUNCTION("""COMPUTED_VALUE"""),"Tape")</f>
        <v>Tape</v>
      </c>
      <c r="T606" s="4" t="str">
        <f>IFERROR(__xludf.DUMMYFUNCTION("""COMPUTED_VALUE"""),"0526")</f>
        <v>0526</v>
      </c>
      <c r="U606" s="4"/>
      <c r="V606" s="4"/>
      <c r="W606" s="4" t="str">
        <f>IFERROR(__xludf.DUMMYFUNCTION("""COMPUTED_VALUE"""),"0425")</f>
        <v>0425</v>
      </c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</row>
    <row r="607">
      <c r="A607" s="4" t="str">
        <f>IFERROR(__xludf.DUMMYFUNCTION("""COMPUTED_VALUE"""),"OTHER:   ADAFRUIT BREAKOUT BOARD 9-DOF IMU BNO055   [2472] [Populated PCB]")</f>
        <v>OTHER:   ADAFRUIT BREAKOUT BOARD 9-DOF IMU BNO055   [2472] [Populated PCB]</v>
      </c>
      <c r="B607" s="4" t="str">
        <f>IFERROR(__xludf.DUMMYFUNCTION("""COMPUTED_VALUE"""),"OEPS100041")</f>
        <v>OEPS100041</v>
      </c>
      <c r="C607" s="4" t="str">
        <f>IFERROR(__xludf.DUMMYFUNCTION("""COMPUTED_VALUE"""),"Populated PCB")</f>
        <v>Populated PCB</v>
      </c>
      <c r="D607" s="4" t="str">
        <f>IFERROR(__xludf.DUMMYFUNCTION("""COMPUTED_VALUE"""),"2472")</f>
        <v>2472</v>
      </c>
      <c r="E607" s="4">
        <f>IFERROR(__xludf.DUMMYFUNCTION("""COMPUTED_VALUE"""),0.0)</f>
        <v>0</v>
      </c>
      <c r="F607" s="4" t="str">
        <f>IFERROR(__xludf.DUMMYFUNCTION("""COMPUTED_VALUE"""),"DigiKey")</f>
        <v>DigiKey</v>
      </c>
      <c r="G607" s="4" t="str">
        <f>IFERROR(__xludf.DUMMYFUNCTION("""COMPUTED_VALUE"""),"1528-1426-ND")</f>
        <v>1528-1426-ND</v>
      </c>
      <c r="H607" s="4"/>
      <c r="I607" s="4"/>
      <c r="J607" s="4"/>
      <c r="K607" s="4"/>
      <c r="L607" s="4"/>
      <c r="M607" s="4"/>
      <c r="N607" s="9" t="str">
        <f>IFERROR(__xludf.DUMMYFUNCTION("""COMPUTED_VALUE"""),"OEPS020121")</f>
        <v>OEPS020121</v>
      </c>
      <c r="O607" s="4" t="str">
        <f>IFERROR(__xludf.DUMMYFUNCTION("""COMPUTED_VALUE"""),"ERJ-1GN0R00C")</f>
        <v>ERJ-1GN0R00C</v>
      </c>
      <c r="P607" s="4" t="str">
        <f>IFERROR(__xludf.DUMMYFUNCTION("""COMPUTED_VALUE"""),"100(Tp) 28(R) ")</f>
        <v>100(Tp) 28(R) </v>
      </c>
      <c r="Q607" s="4">
        <f>IFERROR(__xludf.DUMMYFUNCTION("""COMPUTED_VALUE"""),128.0)</f>
        <v>128</v>
      </c>
      <c r="R607" s="4">
        <f>IFERROR(__xludf.DUMMYFUNCTION("""COMPUTED_VALUE"""),100.0)</f>
        <v>100</v>
      </c>
      <c r="S607" s="4" t="str">
        <f>IFERROR(__xludf.DUMMYFUNCTION("""COMPUTED_VALUE"""),"Tape")</f>
        <v>Tape</v>
      </c>
      <c r="T607" s="4" t="str">
        <f>IFERROR(__xludf.DUMMYFUNCTION("""COMPUTED_VALUE"""),"0825")</f>
        <v>0825</v>
      </c>
      <c r="U607" s="4">
        <f>IFERROR(__xludf.DUMMYFUNCTION("""COMPUTED_VALUE"""),28.0)</f>
        <v>28</v>
      </c>
      <c r="V607" s="4" t="str">
        <f>IFERROR(__xludf.DUMMYFUNCTION("""COMPUTED_VALUE"""),"Reel")</f>
        <v>Reel</v>
      </c>
      <c r="W607" s="4" t="str">
        <f>IFERROR(__xludf.DUMMYFUNCTION("""COMPUTED_VALUE"""),"0322")</f>
        <v>0322</v>
      </c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</row>
    <row r="608">
      <c r="A608" s="4" t="str">
        <f>IFERROR(__xludf.DUMMYFUNCTION("""COMPUTED_VALUE"""),"OTHER:   ADAFRUIT EVAL BRD FEATHER M0 ADALOGGER   [2796] [Populated PCB]")</f>
        <v>OTHER:   ADAFRUIT EVAL BRD FEATHER M0 ADALOGGER   [2796] [Populated PCB]</v>
      </c>
      <c r="B608" s="4" t="str">
        <f>IFERROR(__xludf.DUMMYFUNCTION("""COMPUTED_VALUE"""),"OEPS100040")</f>
        <v>OEPS100040</v>
      </c>
      <c r="C608" s="4" t="str">
        <f>IFERROR(__xludf.DUMMYFUNCTION("""COMPUTED_VALUE"""),"Populated PCB")</f>
        <v>Populated PCB</v>
      </c>
      <c r="D608" s="4" t="str">
        <f>IFERROR(__xludf.DUMMYFUNCTION("""COMPUTED_VALUE"""),"2796")</f>
        <v>2796</v>
      </c>
      <c r="E608" s="4">
        <f>IFERROR(__xludf.DUMMYFUNCTION("""COMPUTED_VALUE"""),0.0)</f>
        <v>0</v>
      </c>
      <c r="F608" s="4" t="str">
        <f>IFERROR(__xludf.DUMMYFUNCTION("""COMPUTED_VALUE"""),"DigiKey")</f>
        <v>DigiKey</v>
      </c>
      <c r="G608" s="4" t="str">
        <f>IFERROR(__xludf.DUMMYFUNCTION("""COMPUTED_VALUE"""),"1528-1539-ND")</f>
        <v>1528-1539-ND</v>
      </c>
      <c r="H608" s="4"/>
      <c r="I608" s="4"/>
      <c r="J608" s="4"/>
      <c r="K608" s="4"/>
      <c r="L608" s="4"/>
      <c r="M608" s="4"/>
      <c r="N608" s="9" t="str">
        <f>IFERROR(__xludf.DUMMYFUNCTION("""COMPUTED_VALUE"""),"OEPS020122")</f>
        <v>OEPS020122</v>
      </c>
      <c r="O608" s="4" t="str">
        <f>IFERROR(__xludf.DUMMYFUNCTION("""COMPUTED_VALUE"""),"RMCF0603FT20K0")</f>
        <v>RMCF0603FT20K0</v>
      </c>
      <c r="P608" s="4" t="str">
        <f>IFERROR(__xludf.DUMMYFUNCTION("""COMPUTED_VALUE"""),"14(Tp) 3(Tp) ")</f>
        <v>14(Tp) 3(Tp) </v>
      </c>
      <c r="Q608" s="4">
        <f>IFERROR(__xludf.DUMMYFUNCTION("""COMPUTED_VALUE"""),17.0)</f>
        <v>17</v>
      </c>
      <c r="R608" s="4">
        <f>IFERROR(__xludf.DUMMYFUNCTION("""COMPUTED_VALUE"""),14.0)</f>
        <v>14</v>
      </c>
      <c r="S608" s="4" t="str">
        <f>IFERROR(__xludf.DUMMYFUNCTION("""COMPUTED_VALUE"""),"Tape")</f>
        <v>Tape</v>
      </c>
      <c r="T608" s="4" t="str">
        <f>IFERROR(__xludf.DUMMYFUNCTION("""COMPUTED_VALUE"""),"0425")</f>
        <v>0425</v>
      </c>
      <c r="U608" s="4">
        <f>IFERROR(__xludf.DUMMYFUNCTION("""COMPUTED_VALUE"""),3.0)</f>
        <v>3</v>
      </c>
      <c r="V608" s="4" t="str">
        <f>IFERROR(__xludf.DUMMYFUNCTION("""COMPUTED_VALUE"""),"Tape")</f>
        <v>Tape</v>
      </c>
      <c r="W608" s="4" t="str">
        <f>IFERROR(__xludf.DUMMYFUNCTION("""COMPUTED_VALUE"""),"1124")</f>
        <v>1124</v>
      </c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</row>
    <row r="609">
      <c r="A609" s="4" t="str">
        <f>IFERROR(__xludf.DUMMYFUNCTION("""COMPUTED_VALUE"""),"OTHER:   BATTERY HOLDER AA 2 CELL   [3858] [Other]")</f>
        <v>OTHER:   BATTERY HOLDER AA 2 CELL   [3858] [Other]</v>
      </c>
      <c r="B609" s="4" t="str">
        <f>IFERROR(__xludf.DUMMYFUNCTION("""COMPUTED_VALUE"""),"OEPS100031")</f>
        <v>OEPS100031</v>
      </c>
      <c r="C609" s="4" t="str">
        <f>IFERROR(__xludf.DUMMYFUNCTION("""COMPUTED_VALUE"""),"Other")</f>
        <v>Other</v>
      </c>
      <c r="D609" s="4" t="str">
        <f>IFERROR(__xludf.DUMMYFUNCTION("""COMPUTED_VALUE"""),"3858")</f>
        <v>3858</v>
      </c>
      <c r="E609" s="4">
        <f>IFERROR(__xludf.DUMMYFUNCTION("""COMPUTED_VALUE"""),0.0)</f>
        <v>0</v>
      </c>
      <c r="F609" s="4" t="str">
        <f>IFERROR(__xludf.DUMMYFUNCTION("""COMPUTED_VALUE"""),"DigiKey")</f>
        <v>DigiKey</v>
      </c>
      <c r="G609" s="4" t="str">
        <f>IFERROR(__xludf.DUMMYFUNCTION("""COMPUTED_VALUE"""),"1528-2706-ND")</f>
        <v>1528-2706-ND</v>
      </c>
      <c r="H609" s="4"/>
      <c r="I609" s="4"/>
      <c r="J609" s="4"/>
      <c r="K609" s="4"/>
      <c r="L609" s="4"/>
      <c r="M609" s="4"/>
      <c r="N609" s="9" t="str">
        <f>IFERROR(__xludf.DUMMYFUNCTION("""COMPUTED_VALUE"""),"OEPS020124")</f>
        <v>OEPS020124</v>
      </c>
      <c r="O609" s="4" t="str">
        <f>IFERROR(__xludf.DUMMYFUNCTION("""COMPUTED_VALUE"""),"RC0603FR-0795K3L")</f>
        <v>RC0603FR-0795K3L</v>
      </c>
      <c r="P609" s="4" t="str">
        <f>IFERROR(__xludf.DUMMYFUNCTION("""COMPUTED_VALUE"""),"7(Tp) ")</f>
        <v>7(Tp) </v>
      </c>
      <c r="Q609" s="4">
        <f>IFERROR(__xludf.DUMMYFUNCTION("""COMPUTED_VALUE"""),7.0)</f>
        <v>7</v>
      </c>
      <c r="R609" s="4">
        <f>IFERROR(__xludf.DUMMYFUNCTION("""COMPUTED_VALUE"""),7.0)</f>
        <v>7</v>
      </c>
      <c r="S609" s="4" t="str">
        <f>IFERROR(__xludf.DUMMYFUNCTION("""COMPUTED_VALUE"""),"Tape")</f>
        <v>Tape</v>
      </c>
      <c r="T609" s="4" t="str">
        <f>IFERROR(__xludf.DUMMYFUNCTION("""COMPUTED_VALUE"""),"1124")</f>
        <v>1124</v>
      </c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</row>
    <row r="610">
      <c r="A610" s="4" t="str">
        <f>IFERROR(__xludf.DUMMYFUNCTION("""COMPUTED_VALUE"""),"OTHER:   BATTERY LI-POLYMER 1.1Ah JST 6.7x33.0x57.5mm   [AKY0646] [Other]")</f>
        <v>OTHER:   BATTERY LI-POLYMER 1.1Ah JST 6.7x33.0x57.5mm   [AKY0646] [Other]</v>
      </c>
      <c r="B610" s="4" t="str">
        <f>IFERROR(__xludf.DUMMYFUNCTION("""COMPUTED_VALUE"""),"OEPS100066")</f>
        <v>OEPS100066</v>
      </c>
      <c r="C610" s="4" t="str">
        <f>IFERROR(__xludf.DUMMYFUNCTION("""COMPUTED_VALUE"""),"Other")</f>
        <v>Other</v>
      </c>
      <c r="D610" s="4" t="str">
        <f>IFERROR(__xludf.DUMMYFUNCTION("""COMPUTED_VALUE"""),"AKY0646")</f>
        <v>AKY0646</v>
      </c>
      <c r="E610" s="4">
        <f>IFERROR(__xludf.DUMMYFUNCTION("""COMPUTED_VALUE"""),0.0)</f>
        <v>0</v>
      </c>
      <c r="F610" s="4" t="str">
        <f>IFERROR(__xludf.DUMMYFUNCTION("""COMPUTED_VALUE"""),"TME")</f>
        <v>TME</v>
      </c>
      <c r="G610" s="4" t="str">
        <f>IFERROR(__xludf.DUMMYFUNCTION("""COMPUTED_VALUE"""),"AKY-LP623255")</f>
        <v>AKY-LP623255</v>
      </c>
      <c r="H610" s="4"/>
      <c r="I610" s="4"/>
      <c r="J610" s="4"/>
      <c r="K610" s="4"/>
      <c r="L610" s="4"/>
      <c r="M610" s="4"/>
      <c r="N610" s="9" t="str">
        <f>IFERROR(__xludf.DUMMYFUNCTION("""COMPUTED_VALUE"""),"OEPS020125")</f>
        <v>OEPS020125</v>
      </c>
      <c r="O610" s="4" t="str">
        <f>IFERROR(__xludf.DUMMYFUNCTION("""COMPUTED_VALUE"""),"RC0683FR-0744K2L")</f>
        <v>RC0683FR-0744K2L</v>
      </c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</row>
    <row r="611">
      <c r="A611" s="4" t="str">
        <f>IFERROR(__xludf.DUMMYFUNCTION("""COMPUTED_VALUE"""),"OTHER:   BATTERY LI-POLYMER 1200 mAh   [LP503562] [Other]")</f>
        <v>OTHER:   BATTERY LI-POLYMER 1200 mAh   [LP503562] [Other]</v>
      </c>
      <c r="B611" s="4" t="str">
        <f>IFERROR(__xludf.DUMMYFUNCTION("""COMPUTED_VALUE"""),"OEPS100070")</f>
        <v>OEPS100070</v>
      </c>
      <c r="C611" s="4" t="str">
        <f>IFERROR(__xludf.DUMMYFUNCTION("""COMPUTED_VALUE"""),"Other")</f>
        <v>Other</v>
      </c>
      <c r="D611" s="4" t="str">
        <f>IFERROR(__xludf.DUMMYFUNCTION("""COMPUTED_VALUE"""),"LP503562")</f>
        <v>LP503562</v>
      </c>
      <c r="E611" s="4">
        <f>IFERROR(__xludf.DUMMYFUNCTION("""COMPUTED_VALUE"""),0.0)</f>
        <v>0</v>
      </c>
      <c r="F611" s="4" t="str">
        <f>IFERROR(__xludf.DUMMYFUNCTION("""COMPUTED_VALUE"""),"PKNERGY")</f>
        <v>PKNERGY</v>
      </c>
      <c r="G611" s="4" t="str">
        <f>IFERROR(__xludf.DUMMYFUNCTION("""COMPUTED_VALUE"""),"LP503562")</f>
        <v>LP503562</v>
      </c>
      <c r="H611" s="4"/>
      <c r="I611" s="4"/>
      <c r="J611" s="4"/>
      <c r="K611" s="4"/>
      <c r="L611" s="4"/>
      <c r="M611" s="4"/>
      <c r="N611" s="9" t="str">
        <f>IFERROR(__xludf.DUMMYFUNCTION("""COMPUTED_VALUE"""),"OEPS020126")</f>
        <v>OEPS020126</v>
      </c>
      <c r="O611" s="4" t="str">
        <f>IFERROR(__xludf.DUMMYFUNCTION("""COMPUTED_VALUE"""),"RC0603FR-0715KL")</f>
        <v>RC0603FR-0715KL</v>
      </c>
      <c r="P611" s="4" t="str">
        <f>IFERROR(__xludf.DUMMYFUNCTION("""COMPUTED_VALUE"""),"7(Tp) 6(Tp) ")</f>
        <v>7(Tp) 6(Tp) </v>
      </c>
      <c r="Q611" s="4">
        <f>IFERROR(__xludf.DUMMYFUNCTION("""COMPUTED_VALUE"""),13.0)</f>
        <v>13</v>
      </c>
      <c r="R611" s="4">
        <f>IFERROR(__xludf.DUMMYFUNCTION("""COMPUTED_VALUE"""),7.0)</f>
        <v>7</v>
      </c>
      <c r="S611" s="4" t="str">
        <f>IFERROR(__xludf.DUMMYFUNCTION("""COMPUTED_VALUE"""),"Tape")</f>
        <v>Tape</v>
      </c>
      <c r="T611" s="4" t="str">
        <f>IFERROR(__xludf.DUMMYFUNCTION("""COMPUTED_VALUE"""),"1124")</f>
        <v>1124</v>
      </c>
      <c r="U611" s="4">
        <f>IFERROR(__xludf.DUMMYFUNCTION("""COMPUTED_VALUE"""),6.0)</f>
        <v>6</v>
      </c>
      <c r="V611" s="4" t="str">
        <f>IFERROR(__xludf.DUMMYFUNCTION("""COMPUTED_VALUE"""),"Tape")</f>
        <v>Tape</v>
      </c>
      <c r="W611" s="4" t="str">
        <f>IFERROR(__xludf.DUMMYFUNCTION("""COMPUTED_VALUE"""),"0325")</f>
        <v>0325</v>
      </c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</row>
    <row r="612">
      <c r="A612" s="4" t="str">
        <f>IFERROR(__xludf.DUMMYFUNCTION("""COMPUTED_VALUE"""),"OTHER:   BATTERY LI-POLYMER 2Ah JST 6x44x63mm   [MIKROE-1120] [Other]")</f>
        <v>OTHER:   BATTERY LI-POLYMER 2Ah JST 6x44x63mm   [MIKROE-1120] [Other]</v>
      </c>
      <c r="B612" s="4" t="str">
        <f>IFERROR(__xludf.DUMMYFUNCTION("""COMPUTED_VALUE"""),"OEPS100017")</f>
        <v>OEPS100017</v>
      </c>
      <c r="C612" s="4" t="str">
        <f>IFERROR(__xludf.DUMMYFUNCTION("""COMPUTED_VALUE"""),"Other")</f>
        <v>Other</v>
      </c>
      <c r="D612" s="4" t="str">
        <f>IFERROR(__xludf.DUMMYFUNCTION("""COMPUTED_VALUE"""),"MIKROE-1120")</f>
        <v>MIKROE-1120</v>
      </c>
      <c r="E612" s="4">
        <f>IFERROR(__xludf.DUMMYFUNCTION("""COMPUTED_VALUE"""),0.0)</f>
        <v>0</v>
      </c>
      <c r="F612" s="4" t="str">
        <f>IFERROR(__xludf.DUMMYFUNCTION("""COMPUTED_VALUE"""),"TME")</f>
        <v>TME</v>
      </c>
      <c r="G612" s="4" t="str">
        <f>IFERROR(__xludf.DUMMYFUNCTION("""COMPUTED_VALUE"""),"MIKROE-1120")</f>
        <v>MIKROE-1120</v>
      </c>
      <c r="H612" s="4"/>
      <c r="I612" s="4"/>
      <c r="J612" s="4"/>
      <c r="K612" s="4"/>
      <c r="L612" s="4"/>
      <c r="M612" s="4"/>
      <c r="N612" s="9" t="str">
        <f>IFERROR(__xludf.DUMMYFUNCTION("""COMPUTED_VALUE"""),"OEPS020127")</f>
        <v>OEPS020127</v>
      </c>
      <c r="O612" s="4" t="str">
        <f>IFERROR(__xludf.DUMMYFUNCTION("""COMPUTED_VALUE"""),"RC0603FR-0768KL")</f>
        <v>RC0603FR-0768KL</v>
      </c>
      <c r="P612" s="4" t="str">
        <f>IFERROR(__xludf.DUMMYFUNCTION("""COMPUTED_VALUE"""),"7(Tp) ")</f>
        <v>7(Tp) </v>
      </c>
      <c r="Q612" s="4">
        <f>IFERROR(__xludf.DUMMYFUNCTION("""COMPUTED_VALUE"""),7.0)</f>
        <v>7</v>
      </c>
      <c r="R612" s="4">
        <f>IFERROR(__xludf.DUMMYFUNCTION("""COMPUTED_VALUE"""),7.0)</f>
        <v>7</v>
      </c>
      <c r="S612" s="4" t="str">
        <f>IFERROR(__xludf.DUMMYFUNCTION("""COMPUTED_VALUE"""),"Tape")</f>
        <v>Tape</v>
      </c>
      <c r="T612" s="4" t="str">
        <f>IFERROR(__xludf.DUMMYFUNCTION("""COMPUTED_VALUE"""),"1124")</f>
        <v>1124</v>
      </c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</row>
    <row r="613">
      <c r="A613" s="4" t="str">
        <f>IFERROR(__xludf.DUMMYFUNCTION("""COMPUTED_VALUE"""),"OTHER:   BOARD ADAPTER AS5048 Magnetic Rotary Encoder   [AS5048A-TS_EK_AB] [Populated PCB]")</f>
        <v>OTHER:   BOARD ADAPTER AS5048 Magnetic Rotary Encoder   [AS5048A-TS_EK_AB] [Populated PCB]</v>
      </c>
      <c r="B613" s="4" t="str">
        <f>IFERROR(__xludf.DUMMYFUNCTION("""COMPUTED_VALUE"""),"OEPS100028")</f>
        <v>OEPS100028</v>
      </c>
      <c r="C613" s="4" t="str">
        <f>IFERROR(__xludf.DUMMYFUNCTION("""COMPUTED_VALUE"""),"Populated PCB")</f>
        <v>Populated PCB</v>
      </c>
      <c r="D613" s="4" t="str">
        <f>IFERROR(__xludf.DUMMYFUNCTION("""COMPUTED_VALUE"""),"AS5048A-TS_EK_AB")</f>
        <v>AS5048A-TS_EK_AB</v>
      </c>
      <c r="E613" s="4">
        <f>IFERROR(__xludf.DUMMYFUNCTION("""COMPUTED_VALUE"""),0.0)</f>
        <v>0</v>
      </c>
      <c r="F613" s="4" t="str">
        <f>IFERROR(__xludf.DUMMYFUNCTION("""COMPUTED_VALUE"""),"Mouser")</f>
        <v>Mouser</v>
      </c>
      <c r="G613" s="4" t="str">
        <f>IFERROR(__xludf.DUMMYFUNCTION("""COMPUTED_VALUE"""),"985-AS5048A-TS_EK_AB")</f>
        <v>985-AS5048A-TS_EK_AB</v>
      </c>
      <c r="H613" s="4"/>
      <c r="I613" s="4"/>
      <c r="J613" s="4"/>
      <c r="K613" s="4"/>
      <c r="L613" s="4"/>
      <c r="M613" s="4"/>
      <c r="N613" s="9" t="str">
        <f>IFERROR(__xludf.DUMMYFUNCTION("""COMPUTED_VALUE"""),"OEPS020128")</f>
        <v>OEPS020128</v>
      </c>
      <c r="O613" s="4" t="str">
        <f>IFERROR(__xludf.DUMMYFUNCTION("""COMPUTED_VALUE"""),"RC0603FR-0717KL8L")</f>
        <v>RC0603FR-0717KL8L</v>
      </c>
      <c r="P613" s="4" t="str">
        <f>IFERROR(__xludf.DUMMYFUNCTION("""COMPUTED_VALUE"""),"4(Tp) ")</f>
        <v>4(Tp) </v>
      </c>
      <c r="Q613" s="4">
        <f>IFERROR(__xludf.DUMMYFUNCTION("""COMPUTED_VALUE"""),4.0)</f>
        <v>4</v>
      </c>
      <c r="R613" s="4">
        <f>IFERROR(__xludf.DUMMYFUNCTION("""COMPUTED_VALUE"""),4.0)</f>
        <v>4</v>
      </c>
      <c r="S613" s="4" t="str">
        <f>IFERROR(__xludf.DUMMYFUNCTION("""COMPUTED_VALUE"""),"Tape")</f>
        <v>Tape</v>
      </c>
      <c r="T613" s="4" t="str">
        <f>IFERROR(__xludf.DUMMYFUNCTION("""COMPUTED_VALUE"""),"1124")</f>
        <v>1124</v>
      </c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</row>
    <row r="614">
      <c r="A614" s="4" t="str">
        <f>IFERROR(__xludf.DUMMYFUNCTION("""COMPUTED_VALUE"""),"OTHER:   BOARD SUPRT SNAP LOCK NYLON 11MM   [709670110] [Other]")</f>
        <v>OTHER:   BOARD SUPRT SNAP LOCK NYLON 11MM   [709670110] [Other]</v>
      </c>
      <c r="B614" s="4" t="str">
        <f>IFERROR(__xludf.DUMMYFUNCTION("""COMPUTED_VALUE"""),"OEPS100037")</f>
        <v>OEPS100037</v>
      </c>
      <c r="C614" s="4" t="str">
        <f>IFERROR(__xludf.DUMMYFUNCTION("""COMPUTED_VALUE"""),"Other")</f>
        <v>Other</v>
      </c>
      <c r="D614" s="4" t="str">
        <f>IFERROR(__xludf.DUMMYFUNCTION("""COMPUTED_VALUE"""),"709670110")</f>
        <v>709670110</v>
      </c>
      <c r="E614" s="4">
        <f>IFERROR(__xludf.DUMMYFUNCTION("""COMPUTED_VALUE"""),1.0)</f>
        <v>1</v>
      </c>
      <c r="F614" s="4" t="str">
        <f>IFERROR(__xludf.DUMMYFUNCTION("""COMPUTED_VALUE"""),"DigiKey")</f>
        <v>DigiKey</v>
      </c>
      <c r="G614" s="4" t="str">
        <f>IFERROR(__xludf.DUMMYFUNCTION("""COMPUTED_VALUE"""),"732-10378-ND")</f>
        <v>732-10378-ND</v>
      </c>
      <c r="H614" s="4"/>
      <c r="I614" s="4"/>
      <c r="J614" s="4"/>
      <c r="K614" s="4"/>
      <c r="L614" s="4"/>
      <c r="M614" s="4"/>
      <c r="N614" s="9" t="str">
        <f>IFERROR(__xludf.DUMMYFUNCTION("""COMPUTED_VALUE"""),"OEPS020129")</f>
        <v>OEPS020129</v>
      </c>
      <c r="O614" s="4" t="str">
        <f>IFERROR(__xludf.DUMMYFUNCTION("""COMPUTED_VALUE"""),"RC0603FR-0748R7L")</f>
        <v>RC0603FR-0748R7L</v>
      </c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</row>
    <row r="615">
      <c r="A615" s="4" t="str">
        <f>IFERROR(__xludf.DUMMYFUNCTION("""COMPUTED_VALUE"""),"OTHER:   BOUTON KNOB Black 1/4"" Shaft   [ACCKMR1316NLT14] [Other]")</f>
        <v>OTHER:   BOUTON KNOB Black 1/4" Shaft   [ACCKMR1316NLT14] [Other]</v>
      </c>
      <c r="B615" s="4" t="str">
        <f>IFERROR(__xludf.DUMMYFUNCTION("""COMPUTED_VALUE"""),"OEPS100067")</f>
        <v>OEPS100067</v>
      </c>
      <c r="C615" s="4" t="str">
        <f>IFERROR(__xludf.DUMMYFUNCTION("""COMPUTED_VALUE"""),"Other")</f>
        <v>Other</v>
      </c>
      <c r="D615" s="4" t="str">
        <f>IFERROR(__xludf.DUMMYFUNCTION("""COMPUTED_VALUE"""),"ACCKMR1316NLT14")</f>
        <v>ACCKMR1316NLT14</v>
      </c>
      <c r="E615" s="4">
        <f>IFERROR(__xludf.DUMMYFUNCTION("""COMPUTED_VALUE"""),0.0)</f>
        <v>0</v>
      </c>
      <c r="F615" s="4" t="str">
        <f>IFERROR(__xludf.DUMMYFUNCTION("""COMPUTED_VALUE"""),"Digikey")</f>
        <v>Digikey</v>
      </c>
      <c r="G615" s="4" t="str">
        <f>IFERROR(__xludf.DUMMYFUNCTION("""COMPUTED_VALUE"""),"716-ACCKMR1316NLT14-ND")</f>
        <v>716-ACCKMR1316NLT14-ND</v>
      </c>
      <c r="H615" s="4"/>
      <c r="I615" s="4"/>
      <c r="J615" s="4"/>
      <c r="K615" s="4"/>
      <c r="L615" s="4"/>
      <c r="M615" s="4"/>
      <c r="N615" s="9" t="str">
        <f>IFERROR(__xludf.DUMMYFUNCTION("""COMPUTED_VALUE"""),"OEPS020130")</f>
        <v>OEPS020130</v>
      </c>
      <c r="O615" s="4" t="str">
        <f>IFERROR(__xludf.DUMMYFUNCTION("""COMPUTED_VALUE"""),"ERJ-3EKF3092V")</f>
        <v>ERJ-3EKF3092V</v>
      </c>
      <c r="P615" s="4" t="str">
        <f>IFERROR(__xludf.DUMMYFUNCTION("""COMPUTED_VALUE"""),"98(Tp) ")</f>
        <v>98(Tp) </v>
      </c>
      <c r="Q615" s="4">
        <f>IFERROR(__xludf.DUMMYFUNCTION("""COMPUTED_VALUE"""),98.0)</f>
        <v>98</v>
      </c>
      <c r="R615" s="4">
        <f>IFERROR(__xludf.DUMMYFUNCTION("""COMPUTED_VALUE"""),98.0)</f>
        <v>98</v>
      </c>
      <c r="S615" s="4" t="str">
        <f>IFERROR(__xludf.DUMMYFUNCTION("""COMPUTED_VALUE"""),"Tape")</f>
        <v>Tape</v>
      </c>
      <c r="T615" s="4" t="str">
        <f>IFERROR(__xludf.DUMMYFUNCTION("""COMPUTED_VALUE"""),"1124")</f>
        <v>1124</v>
      </c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</row>
    <row r="616">
      <c r="A616" s="4" t="str">
        <f>IFERROR(__xludf.DUMMYFUNCTION("""COMPUTED_VALUE"""),"OTHER:   Breadboard - Full-Size (Bare)   [PRT-12615] [Other]")</f>
        <v>OTHER:   Breadboard - Full-Size (Bare)   [PRT-12615] [Other]</v>
      </c>
      <c r="B616" s="4" t="str">
        <f>IFERROR(__xludf.DUMMYFUNCTION("""COMPUTED_VALUE"""),"OEPS100030")</f>
        <v>OEPS100030</v>
      </c>
      <c r="C616" s="4" t="str">
        <f>IFERROR(__xludf.DUMMYFUNCTION("""COMPUTED_VALUE"""),"Other")</f>
        <v>Other</v>
      </c>
      <c r="D616" s="4" t="str">
        <f>IFERROR(__xludf.DUMMYFUNCTION("""COMPUTED_VALUE"""),"PRT-12615")</f>
        <v>PRT-12615</v>
      </c>
      <c r="E616" s="4">
        <f>IFERROR(__xludf.DUMMYFUNCTION("""COMPUTED_VALUE"""),0.0)</f>
        <v>0</v>
      </c>
      <c r="F616" s="4" t="str">
        <f>IFERROR(__xludf.DUMMYFUNCTION("""COMPUTED_VALUE"""),"Sparkfun")</f>
        <v>Sparkfun</v>
      </c>
      <c r="G616" s="4" t="str">
        <f>IFERROR(__xludf.DUMMYFUNCTION("""COMPUTED_VALUE"""),"PRT-12615")</f>
        <v>PRT-12615</v>
      </c>
      <c r="H616" s="4"/>
      <c r="I616" s="4"/>
      <c r="J616" s="4"/>
      <c r="K616" s="4"/>
      <c r="L616" s="4"/>
      <c r="M616" s="4"/>
      <c r="N616" s="9" t="str">
        <f>IFERROR(__xludf.DUMMYFUNCTION("""COMPUTED_VALUE"""),"OEPS020131")</f>
        <v>OEPS020131</v>
      </c>
      <c r="O616" s="4" t="str">
        <f>IFERROR(__xludf.DUMMYFUNCTION("""COMPUTED_VALUE"""),"RC0603FR-0713KL")</f>
        <v>RC0603FR-0713KL</v>
      </c>
      <c r="P616" s="4" t="str">
        <f>IFERROR(__xludf.DUMMYFUNCTION("""COMPUTED_VALUE"""),"4(Tp) ")</f>
        <v>4(Tp) </v>
      </c>
      <c r="Q616" s="4">
        <f>IFERROR(__xludf.DUMMYFUNCTION("""COMPUTED_VALUE"""),4.0)</f>
        <v>4</v>
      </c>
      <c r="R616" s="4">
        <f>IFERROR(__xludf.DUMMYFUNCTION("""COMPUTED_VALUE"""),4.0)</f>
        <v>4</v>
      </c>
      <c r="S616" s="4" t="str">
        <f>IFERROR(__xludf.DUMMYFUNCTION("""COMPUTED_VALUE"""),"Tape")</f>
        <v>Tape</v>
      </c>
      <c r="T616" s="4" t="str">
        <f>IFERROR(__xludf.DUMMYFUNCTION("""COMPUTED_VALUE"""),"1124")</f>
        <v>1124</v>
      </c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</row>
    <row r="617">
      <c r="A617" s="4" t="str">
        <f>IFERROR(__xludf.DUMMYFUNCTION("""COMPUTED_VALUE"""),"OTHER:   BUZZER MAGNETIC 3V 5X5MM SMD   [CSS-0575A-SMT-TR] [SMD]")</f>
        <v>OTHER:   BUZZER MAGNETIC 3V 5X5MM SMD   [CSS-0575A-SMT-TR] [SMD]</v>
      </c>
      <c r="B617" s="4" t="str">
        <f>IFERROR(__xludf.DUMMYFUNCTION("""COMPUTED_VALUE"""),"OEPS100079")</f>
        <v>OEPS100079</v>
      </c>
      <c r="C617" s="4" t="str">
        <f>IFERROR(__xludf.DUMMYFUNCTION("""COMPUTED_VALUE"""),"SMD")</f>
        <v>SMD</v>
      </c>
      <c r="D617" s="4" t="str">
        <f>IFERROR(__xludf.DUMMYFUNCTION("""COMPUTED_VALUE"""),"CSS-0575A-SMT-TR")</f>
        <v>CSS-0575A-SMT-TR</v>
      </c>
      <c r="E617" s="4">
        <f>IFERROR(__xludf.DUMMYFUNCTION("""COMPUTED_VALUE"""),1.0)</f>
        <v>1</v>
      </c>
      <c r="F617" s="4" t="str">
        <f>IFERROR(__xludf.DUMMYFUNCTION("""COMPUTED_VALUE"""),"Digikey")</f>
        <v>Digikey</v>
      </c>
      <c r="G617" s="4" t="str">
        <f>IFERROR(__xludf.DUMMYFUNCTION("""COMPUTED_VALUE"""),"102-2201-6-ND")</f>
        <v>102-2201-6-ND</v>
      </c>
      <c r="H617" s="4"/>
      <c r="I617" s="4"/>
      <c r="J617" s="4"/>
      <c r="K617" s="4"/>
      <c r="L617" s="4"/>
      <c r="M617" s="4"/>
      <c r="N617" s="9" t="str">
        <f>IFERROR(__xludf.DUMMYFUNCTION("""COMPUTED_VALUE"""),"OEPS020132")</f>
        <v>OEPS020132</v>
      </c>
      <c r="O617" s="4" t="str">
        <f>IFERROR(__xludf.DUMMYFUNCTION("""COMPUTED_VALUE"""),"RC0603FR-0730K1L")</f>
        <v>RC0603FR-0730K1L</v>
      </c>
      <c r="P617" s="4" t="str">
        <f>IFERROR(__xludf.DUMMYFUNCTION("""COMPUTED_VALUE"""),"6(Tp) 8(Tp) ")</f>
        <v>6(Tp) 8(Tp) </v>
      </c>
      <c r="Q617" s="4">
        <f>IFERROR(__xludf.DUMMYFUNCTION("""COMPUTED_VALUE"""),14.0)</f>
        <v>14</v>
      </c>
      <c r="R617" s="4">
        <f>IFERROR(__xludf.DUMMYFUNCTION("""COMPUTED_VALUE"""),6.0)</f>
        <v>6</v>
      </c>
      <c r="S617" s="4" t="str">
        <f>IFERROR(__xludf.DUMMYFUNCTION("""COMPUTED_VALUE"""),"Tape")</f>
        <v>Tape</v>
      </c>
      <c r="T617" s="4" t="str">
        <f>IFERROR(__xludf.DUMMYFUNCTION("""COMPUTED_VALUE"""),"0325")</f>
        <v>0325</v>
      </c>
      <c r="U617" s="4">
        <f>IFERROR(__xludf.DUMMYFUNCTION("""COMPUTED_VALUE"""),8.0)</f>
        <v>8</v>
      </c>
      <c r="V617" s="4" t="str">
        <f>IFERROR(__xludf.DUMMYFUNCTION("""COMPUTED_VALUE"""),"Tape")</f>
        <v>Tape</v>
      </c>
      <c r="W617" s="4" t="str">
        <f>IFERROR(__xludf.DUMMYFUNCTION("""COMPUTED_VALUE"""),"1124")</f>
        <v>1124</v>
      </c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</row>
    <row r="618">
      <c r="A618" s="4" t="str">
        <f>IFERROR(__xludf.DUMMYFUNCTION("""COMPUTED_VALUE"""),"OTHER:   BUZZER MAGNETIC 3V 5X5MM SMD   [SMT-0540-S-R] [SMD]")</f>
        <v>OTHER:   BUZZER MAGNETIC 3V 5X5MM SMD   [SMT-0540-S-R] [SMD]</v>
      </c>
      <c r="B618" s="4" t="str">
        <f>IFERROR(__xludf.DUMMYFUNCTION("""COMPUTED_VALUE"""),"OEPS100012")</f>
        <v>OEPS100012</v>
      </c>
      <c r="C618" s="4" t="str">
        <f>IFERROR(__xludf.DUMMYFUNCTION("""COMPUTED_VALUE"""),"SMD")</f>
        <v>SMD</v>
      </c>
      <c r="D618" s="4" t="str">
        <f>IFERROR(__xludf.DUMMYFUNCTION("""COMPUTED_VALUE"""),"SMT-0540-S-R")</f>
        <v>SMT-0540-S-R</v>
      </c>
      <c r="E618" s="4">
        <f>IFERROR(__xludf.DUMMYFUNCTION("""COMPUTED_VALUE"""),2.0)</f>
        <v>2</v>
      </c>
      <c r="F618" s="4" t="str">
        <f>IFERROR(__xludf.DUMMYFUNCTION("""COMPUTED_VALUE"""),"DigiKey")</f>
        <v>DigiKey</v>
      </c>
      <c r="G618" s="4" t="str">
        <f>IFERROR(__xludf.DUMMYFUNCTION("""COMPUTED_VALUE"""),"668-1060-6-ND")</f>
        <v>668-1060-6-ND</v>
      </c>
      <c r="H618" s="4"/>
      <c r="I618" s="4"/>
      <c r="J618" s="4"/>
      <c r="K618" s="4"/>
      <c r="L618" s="4"/>
      <c r="M618" s="4"/>
      <c r="N618" s="9" t="str">
        <f>IFERROR(__xludf.DUMMYFUNCTION("""COMPUTED_VALUE"""),"OEPS020133")</f>
        <v>OEPS020133</v>
      </c>
      <c r="O618" s="4" t="str">
        <f>IFERROR(__xludf.DUMMYFUNCTION("""COMPUTED_VALUE"""),"RC0603FR-0710KL")</f>
        <v>RC0603FR-0710KL</v>
      </c>
      <c r="P618" s="4" t="str">
        <f>IFERROR(__xludf.DUMMYFUNCTION("""COMPUTED_VALUE"""),"6(Tp) 6(Tp) ")</f>
        <v>6(Tp) 6(Tp) </v>
      </c>
      <c r="Q618" s="4">
        <f>IFERROR(__xludf.DUMMYFUNCTION("""COMPUTED_VALUE"""),12.0)</f>
        <v>12</v>
      </c>
      <c r="R618" s="4">
        <f>IFERROR(__xludf.DUMMYFUNCTION("""COMPUTED_VALUE"""),6.0)</f>
        <v>6</v>
      </c>
      <c r="S618" s="4" t="str">
        <f>IFERROR(__xludf.DUMMYFUNCTION("""COMPUTED_VALUE"""),"Tape")</f>
        <v>Tape</v>
      </c>
      <c r="T618" s="4" t="str">
        <f>IFERROR(__xludf.DUMMYFUNCTION("""COMPUTED_VALUE"""),"1224")</f>
        <v>1224</v>
      </c>
      <c r="U618" s="4">
        <f>IFERROR(__xludf.DUMMYFUNCTION("""COMPUTED_VALUE"""),6.0)</f>
        <v>6</v>
      </c>
      <c r="V618" s="4" t="str">
        <f>IFERROR(__xludf.DUMMYFUNCTION("""COMPUTED_VALUE"""),"Tape")</f>
        <v>Tape</v>
      </c>
      <c r="W618" s="4" t="str">
        <f>IFERROR(__xludf.DUMMYFUNCTION("""COMPUTED_VALUE"""),"1124")</f>
        <v>1124</v>
      </c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</row>
    <row r="619">
      <c r="A619" s="4" t="str">
        <f>IFERROR(__xludf.DUMMYFUNCTION("""COMPUTED_VALUE"""),"OTHER:   BUZZER PIEZO 3V 12.2MM (OEPS K01 014)   [PS1240P02BT] [TH]")</f>
        <v>OTHER:   BUZZER PIEZO 3V 12.2MM (OEPS K01 014)   [PS1240P02BT] [TH]</v>
      </c>
      <c r="B619" s="4" t="str">
        <f>IFERROR(__xludf.DUMMYFUNCTION("""COMPUTED_VALUE"""),"OEPS100062")</f>
        <v>OEPS100062</v>
      </c>
      <c r="C619" s="4" t="str">
        <f>IFERROR(__xludf.DUMMYFUNCTION("""COMPUTED_VALUE"""),"TH")</f>
        <v>TH</v>
      </c>
      <c r="D619" s="4" t="str">
        <f>IFERROR(__xludf.DUMMYFUNCTION("""COMPUTED_VALUE"""),"PS1240P02BT")</f>
        <v>PS1240P02BT</v>
      </c>
      <c r="E619" s="4">
        <f>IFERROR(__xludf.DUMMYFUNCTION("""COMPUTED_VALUE"""),1.0)</f>
        <v>1</v>
      </c>
      <c r="F619" s="4" t="str">
        <f>IFERROR(__xludf.DUMMYFUNCTION("""COMPUTED_VALUE"""),"Digikey")</f>
        <v>Digikey</v>
      </c>
      <c r="G619" s="4" t="str">
        <f>IFERROR(__xludf.DUMMYFUNCTION("""COMPUTED_VALUE"""),"445-2525-3-ND")</f>
        <v>445-2525-3-ND</v>
      </c>
      <c r="H619" s="4"/>
      <c r="I619" s="4"/>
      <c r="J619" s="4"/>
      <c r="K619" s="4"/>
      <c r="L619" s="4"/>
      <c r="M619" s="4"/>
      <c r="N619" s="9" t="str">
        <f>IFERROR(__xludf.DUMMYFUNCTION("""COMPUTED_VALUE"""),"OEPS020134")</f>
        <v>OEPS020134</v>
      </c>
      <c r="O619" s="4" t="str">
        <f>IFERROR(__xludf.DUMMYFUNCTION("""COMPUTED_VALUE"""),"RC0603FR-0756KL")</f>
        <v>RC0603FR-0756KL</v>
      </c>
      <c r="P619" s="4" t="str">
        <f>IFERROR(__xludf.DUMMYFUNCTION("""COMPUTED_VALUE"""),"10(Tp) 8(Tp) ")</f>
        <v>10(Tp) 8(Tp) </v>
      </c>
      <c r="Q619" s="4">
        <f>IFERROR(__xludf.DUMMYFUNCTION("""COMPUTED_VALUE"""),18.0)</f>
        <v>18</v>
      </c>
      <c r="R619" s="4">
        <f>IFERROR(__xludf.DUMMYFUNCTION("""COMPUTED_VALUE"""),10.0)</f>
        <v>10</v>
      </c>
      <c r="S619" s="4" t="str">
        <f>IFERROR(__xludf.DUMMYFUNCTION("""COMPUTED_VALUE"""),"Tape")</f>
        <v>Tape</v>
      </c>
      <c r="T619" s="4" t="str">
        <f>IFERROR(__xludf.DUMMYFUNCTION("""COMPUTED_VALUE"""),"0325")</f>
        <v>0325</v>
      </c>
      <c r="U619" s="4">
        <f>IFERROR(__xludf.DUMMYFUNCTION("""COMPUTED_VALUE"""),8.0)</f>
        <v>8</v>
      </c>
      <c r="V619" s="4" t="str">
        <f>IFERROR(__xludf.DUMMYFUNCTION("""COMPUTED_VALUE"""),"Tape")</f>
        <v>Tape</v>
      </c>
      <c r="W619" s="4" t="str">
        <f>IFERROR(__xludf.DUMMYFUNCTION("""COMPUTED_VALUE"""),"1124")</f>
        <v>1124</v>
      </c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</row>
    <row r="620">
      <c r="A620" s="4" t="str">
        <f>IFERROR(__xludf.DUMMYFUNCTION("""COMPUTED_VALUE"""),"OTHER:   CABLEWRAP 19mm 30.48meter   [F6N0.75BK100] [Other]")</f>
        <v>OTHER:   CABLEWRAP 19mm 30.48meter   [F6N0.75BK100] [Other]</v>
      </c>
      <c r="B620" s="4" t="str">
        <f>IFERROR(__xludf.DUMMYFUNCTION("""COMPUTED_VALUE"""),"OEPS100009")</f>
        <v>OEPS100009</v>
      </c>
      <c r="C620" s="4" t="str">
        <f>IFERROR(__xludf.DUMMYFUNCTION("""COMPUTED_VALUE"""),"Other")</f>
        <v>Other</v>
      </c>
      <c r="D620" s="4" t="str">
        <f>IFERROR(__xludf.DUMMYFUNCTION("""COMPUTED_VALUE"""),"F6N0.75BK100")</f>
        <v>F6N0.75BK100</v>
      </c>
      <c r="E620" s="4">
        <f>IFERROR(__xludf.DUMMYFUNCTION("""COMPUTED_VALUE"""),1.0)</f>
        <v>1</v>
      </c>
      <c r="F620" s="4" t="str">
        <f>IFERROR(__xludf.DUMMYFUNCTION("""COMPUTED_VALUE"""),"DigiKey")</f>
        <v>DigiKey</v>
      </c>
      <c r="G620" s="4" t="str">
        <f>IFERROR(__xludf.DUMMYFUNCTION("""COMPUTED_VALUE"""),"1030-F6N0.75BK100-ND")</f>
        <v>1030-F6N0.75BK100-ND</v>
      </c>
      <c r="H620" s="4"/>
      <c r="I620" s="4"/>
      <c r="J620" s="4"/>
      <c r="K620" s="4"/>
      <c r="L620" s="4"/>
      <c r="M620" s="4"/>
      <c r="N620" s="9" t="str">
        <f>IFERROR(__xludf.DUMMYFUNCTION("""COMPUTED_VALUE"""),"OEPS020135")</f>
        <v>OEPS020135</v>
      </c>
      <c r="O620" s="4" t="str">
        <f>IFERROR(__xludf.DUMMYFUNCTION("""COMPUTED_VALUE"""),"ERJ-3GEYJ510V")</f>
        <v>ERJ-3GEYJ510V</v>
      </c>
      <c r="P620" s="4" t="str">
        <f>IFERROR(__xludf.DUMMYFUNCTION("""COMPUTED_VALUE"""),"9(Tp) 8(Tp) 3175(R) ")</f>
        <v>9(Tp) 8(Tp) 3175(R) </v>
      </c>
      <c r="Q620" s="4">
        <f>IFERROR(__xludf.DUMMYFUNCTION("""COMPUTED_VALUE"""),3192.0)</f>
        <v>3192</v>
      </c>
      <c r="R620" s="4">
        <f>IFERROR(__xludf.DUMMYFUNCTION("""COMPUTED_VALUE"""),9.0)</f>
        <v>9</v>
      </c>
      <c r="S620" s="4" t="str">
        <f>IFERROR(__xludf.DUMMYFUNCTION("""COMPUTED_VALUE"""),"Tape")</f>
        <v>Tape</v>
      </c>
      <c r="T620" s="4" t="str">
        <f>IFERROR(__xludf.DUMMYFUNCTION("""COMPUTED_VALUE"""),"1124")</f>
        <v>1124</v>
      </c>
      <c r="U620" s="4">
        <f>IFERROR(__xludf.DUMMYFUNCTION("""COMPUTED_VALUE"""),8.0)</f>
        <v>8</v>
      </c>
      <c r="V620" s="4" t="str">
        <f>IFERROR(__xludf.DUMMYFUNCTION("""COMPUTED_VALUE"""),"Tape")</f>
        <v>Tape</v>
      </c>
      <c r="W620" s="4" t="str">
        <f>IFERROR(__xludf.DUMMYFUNCTION("""COMPUTED_VALUE"""),"0325")</f>
        <v>0325</v>
      </c>
      <c r="X620" s="4">
        <f>IFERROR(__xludf.DUMMYFUNCTION("""COMPUTED_VALUE"""),3175.0)</f>
        <v>3175</v>
      </c>
      <c r="Y620" s="4" t="str">
        <f>IFERROR(__xludf.DUMMYFUNCTION("""COMPUTED_VALUE"""),"Reel")</f>
        <v>Reel</v>
      </c>
      <c r="Z620" s="4" t="str">
        <f>IFERROR(__xludf.DUMMYFUNCTION("""COMPUTED_VALUE"""),"0425")</f>
        <v>0425</v>
      </c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</row>
    <row r="621">
      <c r="A621" s="4" t="str">
        <f>IFERROR(__xludf.DUMMYFUNCTION("""COMPUTED_VALUE"""),"OTHER:   CAP PUSHBUTTON ROUND RED   [140000481452] [Other]")</f>
        <v>OTHER:   CAP PUSHBUTTON ROUND RED   [140000481452] [Other]</v>
      </c>
      <c r="B621" s="4" t="str">
        <f>IFERROR(__xludf.DUMMYFUNCTION("""COMPUTED_VALUE"""),"OEPS100023")</f>
        <v>OEPS100023</v>
      </c>
      <c r="C621" s="4" t="str">
        <f>IFERROR(__xludf.DUMMYFUNCTION("""COMPUTED_VALUE"""),"Other")</f>
        <v>Other</v>
      </c>
      <c r="D621" s="4" t="str">
        <f>IFERROR(__xludf.DUMMYFUNCTION("""COMPUTED_VALUE"""),"140000481452")</f>
        <v>140000481452</v>
      </c>
      <c r="E621" s="4">
        <f>IFERROR(__xludf.DUMMYFUNCTION("""COMPUTED_VALUE"""),1.0)</f>
        <v>1</v>
      </c>
      <c r="F621" s="4" t="str">
        <f>IFERROR(__xludf.DUMMYFUNCTION("""COMPUTED_VALUE"""),"DigiKey")</f>
        <v>DigiKey</v>
      </c>
      <c r="G621" s="4" t="str">
        <f>IFERROR(__xludf.DUMMYFUNCTION("""COMPUTED_VALUE"""),"563-1180-ND")</f>
        <v>563-1180-ND</v>
      </c>
      <c r="H621" s="4"/>
      <c r="I621" s="4"/>
      <c r="J621" s="4"/>
      <c r="K621" s="4"/>
      <c r="L621" s="4"/>
      <c r="M621" s="4"/>
      <c r="N621" s="9" t="str">
        <f>IFERROR(__xludf.DUMMYFUNCTION("""COMPUTED_VALUE"""),"OEPS020136")</f>
        <v>OEPS020136</v>
      </c>
      <c r="O621" s="4" t="str">
        <f>IFERROR(__xludf.DUMMYFUNCTION("""COMPUTED_VALUE"""),"ERJ-3EKF5601V")</f>
        <v>ERJ-3EKF5601V</v>
      </c>
      <c r="P621" s="4" t="str">
        <f>IFERROR(__xludf.DUMMYFUNCTION("""COMPUTED_VALUE"""),"6(Tp) ")</f>
        <v>6(Tp) </v>
      </c>
      <c r="Q621" s="4">
        <f>IFERROR(__xludf.DUMMYFUNCTION("""COMPUTED_VALUE"""),6.0)</f>
        <v>6</v>
      </c>
      <c r="R621" s="4">
        <f>IFERROR(__xludf.DUMMYFUNCTION("""COMPUTED_VALUE"""),6.0)</f>
        <v>6</v>
      </c>
      <c r="S621" s="4" t="str">
        <f>IFERROR(__xludf.DUMMYFUNCTION("""COMPUTED_VALUE"""),"Tape")</f>
        <v>Tape</v>
      </c>
      <c r="T621" s="4" t="str">
        <f>IFERROR(__xludf.DUMMYFUNCTION("""COMPUTED_VALUE"""),"1124")</f>
        <v>1124</v>
      </c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</row>
    <row r="622">
      <c r="A622" s="4" t="str">
        <f>IFERROR(__xludf.DUMMYFUNCTION("""COMPUTED_VALUE"""),"OTHER:   Crystal 12 MHz ±20ppm 12pF 100Ohms   [ABM8AIG-12.000MHZ-12-2Z-T3] [SMD]")</f>
        <v>OTHER:   Crystal 12 MHz ±20ppm 12pF 100Ohms   [ABM8AIG-12.000MHZ-12-2Z-T3] [SMD]</v>
      </c>
      <c r="B622" s="4" t="str">
        <f>IFERROR(__xludf.DUMMYFUNCTION("""COMPUTED_VALUE"""),"OEPS100059")</f>
        <v>OEPS100059</v>
      </c>
      <c r="C622" s="4" t="str">
        <f>IFERROR(__xludf.DUMMYFUNCTION("""COMPUTED_VALUE"""),"SMD")</f>
        <v>SMD</v>
      </c>
      <c r="D622" s="4" t="str">
        <f>IFERROR(__xludf.DUMMYFUNCTION("""COMPUTED_VALUE"""),"ABM8AIG-12.000MHZ-12-2Z-T3")</f>
        <v>ABM8AIG-12.000MHZ-12-2Z-T3</v>
      </c>
      <c r="E622" s="4">
        <f>IFERROR(__xludf.DUMMYFUNCTION("""COMPUTED_VALUE"""),5.0)</f>
        <v>5</v>
      </c>
      <c r="F622" s="4" t="str">
        <f>IFERROR(__xludf.DUMMYFUNCTION("""COMPUTED_VALUE"""),"Digikey")</f>
        <v>Digikey</v>
      </c>
      <c r="G622" s="4" t="str">
        <f>IFERROR(__xludf.DUMMYFUNCTION("""COMPUTED_VALUE"""),"535-13381-6-ND")</f>
        <v>535-13381-6-ND</v>
      </c>
      <c r="H622" s="4"/>
      <c r="I622" s="4"/>
      <c r="J622" s="4"/>
      <c r="K622" s="4"/>
      <c r="L622" s="4"/>
      <c r="M622" s="4"/>
      <c r="N622" s="9" t="str">
        <f>IFERROR(__xludf.DUMMYFUNCTION("""COMPUTED_VALUE"""),"OEPS020137")</f>
        <v>OEPS020137</v>
      </c>
      <c r="O622" s="4" t="str">
        <f>IFERROR(__xludf.DUMMYFUNCTION("""COMPUTED_VALUE"""),"ERJ-3GEYJ105V")</f>
        <v>ERJ-3GEYJ105V</v>
      </c>
      <c r="P622" s="4" t="str">
        <f>IFERROR(__xludf.DUMMYFUNCTION("""COMPUTED_VALUE"""),"4(Tp) ")</f>
        <v>4(Tp) </v>
      </c>
      <c r="Q622" s="4">
        <f>IFERROR(__xludf.DUMMYFUNCTION("""COMPUTED_VALUE"""),4.0)</f>
        <v>4</v>
      </c>
      <c r="R622" s="4">
        <f>IFERROR(__xludf.DUMMYFUNCTION("""COMPUTED_VALUE"""),4.0)</f>
        <v>4</v>
      </c>
      <c r="S622" s="4" t="str">
        <f>IFERROR(__xludf.DUMMYFUNCTION("""COMPUTED_VALUE"""),"Tape")</f>
        <v>Tape</v>
      </c>
      <c r="T622" s="4" t="str">
        <f>IFERROR(__xludf.DUMMYFUNCTION("""COMPUTED_VALUE"""),"1124")</f>
        <v>1124</v>
      </c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</row>
    <row r="623">
      <c r="A623" s="4" t="str">
        <f>IFERROR(__xludf.DUMMYFUNCTION("""COMPUTED_VALUE"""),"OTHER:   Crystal 24 MHz ±30ppm 20pF 30Ohms   [ECS-240-20-30B-TR] [SMD]")</f>
        <v>OTHER:   Crystal 24 MHz ±30ppm 20pF 30Ohms   [ECS-240-20-30B-TR] [SMD]</v>
      </c>
      <c r="B623" s="4" t="str">
        <f>IFERROR(__xludf.DUMMYFUNCTION("""COMPUTED_VALUE"""),"OEPS100048")</f>
        <v>OEPS100048</v>
      </c>
      <c r="C623" s="4" t="str">
        <f>IFERROR(__xludf.DUMMYFUNCTION("""COMPUTED_VALUE"""),"SMD")</f>
        <v>SMD</v>
      </c>
      <c r="D623" s="4" t="str">
        <f>IFERROR(__xludf.DUMMYFUNCTION("""COMPUTED_VALUE"""),"ECS-240-20-30B-TR")</f>
        <v>ECS-240-20-30B-TR</v>
      </c>
      <c r="E623" s="4">
        <f>IFERROR(__xludf.DUMMYFUNCTION("""COMPUTED_VALUE"""),10.0)</f>
        <v>10</v>
      </c>
      <c r="F623" s="4" t="str">
        <f>IFERROR(__xludf.DUMMYFUNCTION("""COMPUTED_VALUE"""),"DigiKey")</f>
        <v>DigiKey</v>
      </c>
      <c r="G623" s="4" t="str">
        <f>IFERROR(__xludf.DUMMYFUNCTION("""COMPUTED_VALUE"""),"XC1122DKR-ND")</f>
        <v>XC1122DKR-ND</v>
      </c>
      <c r="H623" s="4"/>
      <c r="I623" s="4"/>
      <c r="J623" s="4"/>
      <c r="K623" s="4"/>
      <c r="L623" s="4"/>
      <c r="M623" s="4"/>
      <c r="N623" s="9" t="str">
        <f>IFERROR(__xludf.DUMMYFUNCTION("""COMPUTED_VALUE"""),"OEPS020139")</f>
        <v>OEPS020139</v>
      </c>
      <c r="O623" s="4" t="str">
        <f>IFERROR(__xludf.DUMMYFUNCTION("""COMPUTED_VALUE"""),"CRCW0603330RFKEAC")</f>
        <v>CRCW0603330RFKEAC</v>
      </c>
      <c r="P623" s="4" t="str">
        <f>IFERROR(__xludf.DUMMYFUNCTION("""COMPUTED_VALUE"""),"9(Tp) ")</f>
        <v>9(Tp) </v>
      </c>
      <c r="Q623" s="4">
        <f>IFERROR(__xludf.DUMMYFUNCTION("""COMPUTED_VALUE"""),9.0)</f>
        <v>9</v>
      </c>
      <c r="R623" s="4">
        <f>IFERROR(__xludf.DUMMYFUNCTION("""COMPUTED_VALUE"""),9.0)</f>
        <v>9</v>
      </c>
      <c r="S623" s="4" t="str">
        <f>IFERROR(__xludf.DUMMYFUNCTION("""COMPUTED_VALUE"""),"Tape")</f>
        <v>Tape</v>
      </c>
      <c r="T623" s="4" t="str">
        <f>IFERROR(__xludf.DUMMYFUNCTION("""COMPUTED_VALUE"""),"0425")</f>
        <v>0425</v>
      </c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</row>
    <row r="624">
      <c r="A624" s="4" t="str">
        <f>IFERROR(__xludf.DUMMYFUNCTION("""COMPUTED_VALUE"""),"OTHER:   Crystal 32.768 kHz ±10ppm 12.5pF 50 kOhms (OEPS K01 010)   [ECS-.327-12.5-17X-C-TR] [SMD]")</f>
        <v>OTHER:   Crystal 32.768 kHz ±10ppm 12.5pF 50 kOhms (OEPS K01 010)   [ECS-.327-12.5-17X-C-TR] [SMD]</v>
      </c>
      <c r="B624" s="4" t="str">
        <f>IFERROR(__xludf.DUMMYFUNCTION("""COMPUTED_VALUE"""),"OEPS100060")</f>
        <v>OEPS100060</v>
      </c>
      <c r="C624" s="4" t="str">
        <f>IFERROR(__xludf.DUMMYFUNCTION("""COMPUTED_VALUE"""),"SMD")</f>
        <v>SMD</v>
      </c>
      <c r="D624" s="4" t="str">
        <f>IFERROR(__xludf.DUMMYFUNCTION("""COMPUTED_VALUE"""),"ECS-.327-12.5-17X-C-TR")</f>
        <v>ECS-.327-12.5-17X-C-TR</v>
      </c>
      <c r="E624" s="4">
        <f>IFERROR(__xludf.DUMMYFUNCTION("""COMPUTED_VALUE"""),5.0)</f>
        <v>5</v>
      </c>
      <c r="F624" s="4" t="str">
        <f>IFERROR(__xludf.DUMMYFUNCTION("""COMPUTED_VALUE"""),"Digikey")</f>
        <v>Digikey</v>
      </c>
      <c r="G624" s="4" t="str">
        <f>IFERROR(__xludf.DUMMYFUNCTION("""COMPUTED_VALUE"""),"XC1912DKR-ND")</f>
        <v>XC1912DKR-ND</v>
      </c>
      <c r="H624" s="4"/>
      <c r="I624" s="4"/>
      <c r="J624" s="4"/>
      <c r="K624" s="4"/>
      <c r="L624" s="4"/>
      <c r="M624" s="4"/>
      <c r="N624" s="9" t="str">
        <f>IFERROR(__xludf.DUMMYFUNCTION("""COMPUTED_VALUE"""),"OEPS020144")</f>
        <v>OEPS020144</v>
      </c>
      <c r="O624" s="4" t="str">
        <f>IFERROR(__xludf.DUMMYFUNCTION("""COMPUTED_VALUE"""),"RC0603FR-071ML")</f>
        <v>RC0603FR-071ML</v>
      </c>
      <c r="P624" s="4" t="str">
        <f>IFERROR(__xludf.DUMMYFUNCTION("""COMPUTED_VALUE"""),"6(Tp) 950(R) ")</f>
        <v>6(Tp) 950(R) </v>
      </c>
      <c r="Q624" s="4">
        <f>IFERROR(__xludf.DUMMYFUNCTION("""COMPUTED_VALUE"""),956.0)</f>
        <v>956</v>
      </c>
      <c r="R624" s="4">
        <f>IFERROR(__xludf.DUMMYFUNCTION("""COMPUTED_VALUE"""),6.0)</f>
        <v>6</v>
      </c>
      <c r="S624" s="4" t="str">
        <f>IFERROR(__xludf.DUMMYFUNCTION("""COMPUTED_VALUE"""),"Tape")</f>
        <v>Tape</v>
      </c>
      <c r="T624" s="4" t="str">
        <f>IFERROR(__xludf.DUMMYFUNCTION("""COMPUTED_VALUE"""),"0325")</f>
        <v>0325</v>
      </c>
      <c r="U624" s="4">
        <f>IFERROR(__xludf.DUMMYFUNCTION("""COMPUTED_VALUE"""),950.0)</f>
        <v>950</v>
      </c>
      <c r="V624" s="4" t="str">
        <f>IFERROR(__xludf.DUMMYFUNCTION("""COMPUTED_VALUE"""),"Reel")</f>
        <v>Reel</v>
      </c>
      <c r="W624" s="4" t="str">
        <f>IFERROR(__xludf.DUMMYFUNCTION("""COMPUTED_VALUE"""),"0425")</f>
        <v>0425</v>
      </c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</row>
    <row r="625">
      <c r="A625" s="4" t="str">
        <f>IFERROR(__xludf.DUMMYFUNCTION("""COMPUTED_VALUE"""),"OTHER:   Crystal 32768 KHz ±50ppm 12.5pF 90kOhms   [9HT11-32.768KBZF-T] [SMD]")</f>
        <v>OTHER:   Crystal 32768 KHz ±50ppm 12.5pF 90kOhms   [9HT11-32.768KBZF-T] [SMD]</v>
      </c>
      <c r="B625" s="4" t="str">
        <f>IFERROR(__xludf.DUMMYFUNCTION("""COMPUTED_VALUE"""),"OEPS100051")</f>
        <v>OEPS100051</v>
      </c>
      <c r="C625" s="4" t="str">
        <f>IFERROR(__xludf.DUMMYFUNCTION("""COMPUTED_VALUE"""),"SMD")</f>
        <v>SMD</v>
      </c>
      <c r="D625" s="4" t="str">
        <f>IFERROR(__xludf.DUMMYFUNCTION("""COMPUTED_VALUE"""),"9HT11-32.768KBZF-T")</f>
        <v>9HT11-32.768KBZF-T</v>
      </c>
      <c r="E625" s="4">
        <f>IFERROR(__xludf.DUMMYFUNCTION("""COMPUTED_VALUE"""),10.0)</f>
        <v>10</v>
      </c>
      <c r="F625" s="4" t="str">
        <f>IFERROR(__xludf.DUMMYFUNCTION("""COMPUTED_VALUE"""),"DigiKey")</f>
        <v>DigiKey</v>
      </c>
      <c r="G625" s="4" t="str">
        <f>IFERROR(__xludf.DUMMYFUNCTION("""COMPUTED_VALUE"""),"887-1574-6-ND")</f>
        <v>887-1574-6-ND</v>
      </c>
      <c r="H625" s="4"/>
      <c r="I625" s="4"/>
      <c r="J625" s="4"/>
      <c r="K625" s="4"/>
      <c r="L625" s="4"/>
      <c r="M625" s="4"/>
      <c r="N625" s="9" t="str">
        <f>IFERROR(__xludf.DUMMYFUNCTION("""COMPUTED_VALUE"""),"OEPS020148")</f>
        <v>OEPS020148</v>
      </c>
      <c r="O625" s="4" t="str">
        <f>IFERROR(__xludf.DUMMYFUNCTION("""COMPUTED_VALUE"""),"RC0603FR-07100KL")</f>
        <v>RC0603FR-07100KL</v>
      </c>
      <c r="P625" s="4" t="str">
        <f>IFERROR(__xludf.DUMMYFUNCTION("""COMPUTED_VALUE"""),"1(Tp) 2282(R) ")</f>
        <v>1(Tp) 2282(R) </v>
      </c>
      <c r="Q625" s="4">
        <f>IFERROR(__xludf.DUMMYFUNCTION("""COMPUTED_VALUE"""),2283.0)</f>
        <v>2283</v>
      </c>
      <c r="R625" s="4">
        <f>IFERROR(__xludf.DUMMYFUNCTION("""COMPUTED_VALUE"""),1.0)</f>
        <v>1</v>
      </c>
      <c r="S625" s="4" t="str">
        <f>IFERROR(__xludf.DUMMYFUNCTION("""COMPUTED_VALUE"""),"Tape")</f>
        <v>Tape</v>
      </c>
      <c r="T625" s="4" t="str">
        <f>IFERROR(__xludf.DUMMYFUNCTION("""COMPUTED_VALUE"""),"0325")</f>
        <v>0325</v>
      </c>
      <c r="U625" s="4">
        <f>IFERROR(__xludf.DUMMYFUNCTION("""COMPUTED_VALUE"""),2282.0)</f>
        <v>2282</v>
      </c>
      <c r="V625" s="4" t="str">
        <f>IFERROR(__xludf.DUMMYFUNCTION("""COMPUTED_VALUE"""),"Reel")</f>
        <v>Reel</v>
      </c>
      <c r="W625" s="4" t="str">
        <f>IFERROR(__xludf.DUMMYFUNCTION("""COMPUTED_VALUE"""),"XXXX")</f>
        <v>XXXX</v>
      </c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</row>
    <row r="626">
      <c r="A626" s="4" t="str">
        <f>IFERROR(__xludf.DUMMYFUNCTION("""COMPUTED_VALUE"""),"OTHER:   DC DC CONVERTER +/-12V TO +/-15V 3W   [CC3-0512DF-E] [Populated PCB]")</f>
        <v>OTHER:   DC DC CONVERTER +/-12V TO +/-15V 3W   [CC3-0512DF-E] [Populated PCB]</v>
      </c>
      <c r="B626" s="4" t="str">
        <f>IFERROR(__xludf.DUMMYFUNCTION("""COMPUTED_VALUE"""),"OEPS100043")</f>
        <v>OEPS100043</v>
      </c>
      <c r="C626" s="4" t="str">
        <f>IFERROR(__xludf.DUMMYFUNCTION("""COMPUTED_VALUE"""),"Populated PCB")</f>
        <v>Populated PCB</v>
      </c>
      <c r="D626" s="4" t="str">
        <f>IFERROR(__xludf.DUMMYFUNCTION("""COMPUTED_VALUE"""),"CC3-0512DF-E")</f>
        <v>CC3-0512DF-E</v>
      </c>
      <c r="E626" s="4">
        <f>IFERROR(__xludf.DUMMYFUNCTION("""COMPUTED_VALUE"""),0.0)</f>
        <v>0</v>
      </c>
      <c r="F626" s="4" t="str">
        <f>IFERROR(__xludf.DUMMYFUNCTION("""COMPUTED_VALUE"""),"DigiKey")</f>
        <v>DigiKey</v>
      </c>
      <c r="G626" s="4" t="str">
        <f>IFERROR(__xludf.DUMMYFUNCTION("""COMPUTED_VALUE"""),"445-2465-ND")</f>
        <v>445-2465-ND</v>
      </c>
      <c r="H626" s="4"/>
      <c r="I626" s="4"/>
      <c r="J626" s="4"/>
      <c r="K626" s="4"/>
      <c r="L626" s="4"/>
      <c r="M626" s="4"/>
      <c r="N626" s="9" t="str">
        <f>IFERROR(__xludf.DUMMYFUNCTION("""COMPUTED_VALUE"""),"OEPS020151")</f>
        <v>OEPS020151</v>
      </c>
      <c r="O626" s="4" t="str">
        <f>IFERROR(__xludf.DUMMYFUNCTION("""COMPUTED_VALUE"""),"RCS06030000Z0EA")</f>
        <v>RCS06030000Z0EA</v>
      </c>
      <c r="P626" s="4" t="str">
        <f>IFERROR(__xludf.DUMMYFUNCTION("""COMPUTED_VALUE"""),"90(Tp) ")</f>
        <v>90(Tp) </v>
      </c>
      <c r="Q626" s="4">
        <f>IFERROR(__xludf.DUMMYFUNCTION("""COMPUTED_VALUE"""),90.0)</f>
        <v>90</v>
      </c>
      <c r="R626" s="4">
        <f>IFERROR(__xludf.DUMMYFUNCTION("""COMPUTED_VALUE"""),90.0)</f>
        <v>90</v>
      </c>
      <c r="S626" s="4" t="str">
        <f>IFERROR(__xludf.DUMMYFUNCTION("""COMPUTED_VALUE"""),"Tape")</f>
        <v>Tape</v>
      </c>
      <c r="T626" s="4" t="str">
        <f>IFERROR(__xludf.DUMMYFUNCTION("""COMPUTED_VALUE"""),"0425")</f>
        <v>0425</v>
      </c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</row>
    <row r="627">
      <c r="A627" s="4" t="str">
        <f>IFERROR(__xludf.DUMMYFUNCTION("""COMPUTED_VALUE"""),"OTHER:   DC DC CONVERTER 5-15V   [PTN04050CAZ] [Populated PCB]")</f>
        <v>OTHER:   DC DC CONVERTER 5-15V   [PTN04050CAZ] [Populated PCB]</v>
      </c>
      <c r="B627" s="4" t="str">
        <f>IFERROR(__xludf.DUMMYFUNCTION("""COMPUTED_VALUE"""),"OEPS100091")</f>
        <v>OEPS100091</v>
      </c>
      <c r="C627" s="4" t="str">
        <f>IFERROR(__xludf.DUMMYFUNCTION("""COMPUTED_VALUE"""),"Populated PCB")</f>
        <v>Populated PCB</v>
      </c>
      <c r="D627" s="4" t="str">
        <f>IFERROR(__xludf.DUMMYFUNCTION("""COMPUTED_VALUE"""),"PTN04050CAZ")</f>
        <v>PTN04050CAZ</v>
      </c>
      <c r="E627" s="4">
        <f>IFERROR(__xludf.DUMMYFUNCTION("""COMPUTED_VALUE"""),0.0)</f>
        <v>0</v>
      </c>
      <c r="F627" s="4" t="str">
        <f>IFERROR(__xludf.DUMMYFUNCTION("""COMPUTED_VALUE"""),"DigiKey")</f>
        <v>DigiKey</v>
      </c>
      <c r="G627" s="4" t="str">
        <f>IFERROR(__xludf.DUMMYFUNCTION("""COMPUTED_VALUE"""),"296-20500-ND")</f>
        <v>296-20500-ND</v>
      </c>
      <c r="H627" s="4"/>
      <c r="I627" s="4"/>
      <c r="J627" s="4"/>
      <c r="K627" s="4"/>
      <c r="L627" s="4"/>
      <c r="M627" s="4"/>
      <c r="N627" s="9" t="str">
        <f>IFERROR(__xludf.DUMMYFUNCTION("""COMPUTED_VALUE"""),"OEPS020152")</f>
        <v>OEPS020152</v>
      </c>
      <c r="O627" s="4" t="str">
        <f>IFERROR(__xludf.DUMMYFUNCTION("""COMPUTED_VALUE"""),"CRG0805F15K")</f>
        <v>CRG0805F15K</v>
      </c>
      <c r="P627" s="4" t="str">
        <f>IFERROR(__xludf.DUMMYFUNCTION("""COMPUTED_VALUE"""),"3(Tp) ")</f>
        <v>3(Tp) </v>
      </c>
      <c r="Q627" s="4">
        <f>IFERROR(__xludf.DUMMYFUNCTION("""COMPUTED_VALUE"""),3.0)</f>
        <v>3</v>
      </c>
      <c r="R627" s="4">
        <f>IFERROR(__xludf.DUMMYFUNCTION("""COMPUTED_VALUE"""),3.0)</f>
        <v>3</v>
      </c>
      <c r="S627" s="4" t="str">
        <f>IFERROR(__xludf.DUMMYFUNCTION("""COMPUTED_VALUE"""),"Tape")</f>
        <v>Tape</v>
      </c>
      <c r="T627" s="4" t="str">
        <f>IFERROR(__xludf.DUMMYFUNCTION("""COMPUTED_VALUE"""),"0125")</f>
        <v>0125</v>
      </c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</row>
    <row r="628">
      <c r="A628" s="4" t="str">
        <f>IFERROR(__xludf.DUMMYFUNCTION("""COMPUTED_VALUE"""),"OTHER:   DIP SOCKET 18POS   [1-2199298-5] [TH]")</f>
        <v>OTHER:   DIP SOCKET 18POS   [1-2199298-5] [TH]</v>
      </c>
      <c r="B628" s="4" t="str">
        <f>IFERROR(__xludf.DUMMYFUNCTION("""COMPUTED_VALUE"""),"OEPS100072")</f>
        <v>OEPS100072</v>
      </c>
      <c r="C628" s="4" t="str">
        <f>IFERROR(__xludf.DUMMYFUNCTION("""COMPUTED_VALUE"""),"TH")</f>
        <v>TH</v>
      </c>
      <c r="D628" s="4" t="str">
        <f>IFERROR(__xludf.DUMMYFUNCTION("""COMPUTED_VALUE"""),"1-2199298-5")</f>
        <v>1-2199298-5</v>
      </c>
      <c r="E628" s="4">
        <f>IFERROR(__xludf.DUMMYFUNCTION("""COMPUTED_VALUE"""),1.0)</f>
        <v>1</v>
      </c>
      <c r="F628" s="4" t="str">
        <f>IFERROR(__xludf.DUMMYFUNCTION("""COMPUTED_VALUE"""),"DigiKey")</f>
        <v>DigiKey</v>
      </c>
      <c r="G628" s="4" t="str">
        <f>IFERROR(__xludf.DUMMYFUNCTION("""COMPUTED_VALUE"""),"A120350-ND")</f>
        <v>A120350-ND</v>
      </c>
      <c r="H628" s="4"/>
      <c r="I628" s="4"/>
      <c r="J628" s="4"/>
      <c r="K628" s="4"/>
      <c r="L628" s="4"/>
      <c r="M628" s="4"/>
      <c r="N628" s="9" t="str">
        <f>IFERROR(__xludf.DUMMYFUNCTION("""COMPUTED_VALUE"""),"OEPS020153")</f>
        <v>OEPS020153</v>
      </c>
      <c r="O628" s="4" t="str">
        <f>IFERROR(__xludf.DUMMYFUNCTION("""COMPUTED_VALUE"""),"CRG0805F10K")</f>
        <v>CRG0805F10K</v>
      </c>
      <c r="P628" s="4" t="str">
        <f>IFERROR(__xludf.DUMMYFUNCTION("""COMPUTED_VALUE"""),"21(Tp) ")</f>
        <v>21(Tp) </v>
      </c>
      <c r="Q628" s="4">
        <f>IFERROR(__xludf.DUMMYFUNCTION("""COMPUTED_VALUE"""),21.0)</f>
        <v>21</v>
      </c>
      <c r="R628" s="4">
        <f>IFERROR(__xludf.DUMMYFUNCTION("""COMPUTED_VALUE"""),21.0)</f>
        <v>21</v>
      </c>
      <c r="S628" s="4" t="str">
        <f>IFERROR(__xludf.DUMMYFUNCTION("""COMPUTED_VALUE"""),"Tape")</f>
        <v>Tape</v>
      </c>
      <c r="T628" s="4" t="str">
        <f>IFERROR(__xludf.DUMMYFUNCTION("""COMPUTED_VALUE"""),"0126")</f>
        <v>0126</v>
      </c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</row>
    <row r="629">
      <c r="A629" s="4" t="str">
        <f>IFERROR(__xludf.DUMMYFUNCTION("""COMPUTED_VALUE"""),"OTHER:   Disposable Surface EMG/ECG/EKG Electrode - 24mm (10 pack)   [SEN-12969] [Other]")</f>
        <v>OTHER:   Disposable Surface EMG/ECG/EKG Electrode - 24mm (10 pack)   [SEN-12969] [Other]</v>
      </c>
      <c r="B629" s="4" t="str">
        <f>IFERROR(__xludf.DUMMYFUNCTION("""COMPUTED_VALUE"""),"OEPS100032")</f>
        <v>OEPS100032</v>
      </c>
      <c r="C629" s="4" t="str">
        <f>IFERROR(__xludf.DUMMYFUNCTION("""COMPUTED_VALUE"""),"Other")</f>
        <v>Other</v>
      </c>
      <c r="D629" s="4" t="str">
        <f>IFERROR(__xludf.DUMMYFUNCTION("""COMPUTED_VALUE"""),"SEN-12969")</f>
        <v>SEN-12969</v>
      </c>
      <c r="E629" s="4">
        <f>IFERROR(__xludf.DUMMYFUNCTION("""COMPUTED_VALUE"""),0.0)</f>
        <v>0</v>
      </c>
      <c r="F629" s="4" t="str">
        <f>IFERROR(__xludf.DUMMYFUNCTION("""COMPUTED_VALUE"""),"Sparkfun")</f>
        <v>Sparkfun</v>
      </c>
      <c r="G629" s="4" t="str">
        <f>IFERROR(__xludf.DUMMYFUNCTION("""COMPUTED_VALUE"""),"SEN-12969")</f>
        <v>SEN-12969</v>
      </c>
      <c r="H629" s="4"/>
      <c r="I629" s="4"/>
      <c r="J629" s="4"/>
      <c r="K629" s="4"/>
      <c r="L629" s="4"/>
      <c r="M629" s="4"/>
      <c r="N629" s="9" t="str">
        <f>IFERROR(__xludf.DUMMYFUNCTION("""COMPUTED_VALUE"""),"OEPS020154")</f>
        <v>OEPS020154</v>
      </c>
      <c r="O629" s="4" t="str">
        <f>IFERROR(__xludf.DUMMYFUNCTION("""COMPUTED_VALUE"""),"CRG0805F2K2")</f>
        <v>CRG0805F2K2</v>
      </c>
      <c r="P629" s="4" t="str">
        <f>IFERROR(__xludf.DUMMYFUNCTION("""COMPUTED_VALUE"""),"4(Tp) ")</f>
        <v>4(Tp) </v>
      </c>
      <c r="Q629" s="4">
        <f>IFERROR(__xludf.DUMMYFUNCTION("""COMPUTED_VALUE"""),4.0)</f>
        <v>4</v>
      </c>
      <c r="R629" s="4">
        <f>IFERROR(__xludf.DUMMYFUNCTION("""COMPUTED_VALUE"""),4.0)</f>
        <v>4</v>
      </c>
      <c r="S629" s="4" t="str">
        <f>IFERROR(__xludf.DUMMYFUNCTION("""COMPUTED_VALUE"""),"Tape")</f>
        <v>Tape</v>
      </c>
      <c r="T629" s="4" t="str">
        <f>IFERROR(__xludf.DUMMYFUNCTION("""COMPUTED_VALUE"""),"XXXX")</f>
        <v>XXXX</v>
      </c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</row>
    <row r="630">
      <c r="A630" s="4" t="str">
        <f>IFERROR(__xludf.DUMMYFUNCTION("""COMPUTED_VALUE"""),"OTHER:   EASY DRIVER   [ROB-12779] [Populated PCB]")</f>
        <v>OTHER:   EASY DRIVER   [ROB-12779] [Populated PCB]</v>
      </c>
      <c r="B630" s="4" t="str">
        <f>IFERROR(__xludf.DUMMYFUNCTION("""COMPUTED_VALUE"""),"OEPS100069")</f>
        <v>OEPS100069</v>
      </c>
      <c r="C630" s="4" t="str">
        <f>IFERROR(__xludf.DUMMYFUNCTION("""COMPUTED_VALUE"""),"Populated PCB")</f>
        <v>Populated PCB</v>
      </c>
      <c r="D630" s="4" t="str">
        <f>IFERROR(__xludf.DUMMYFUNCTION("""COMPUTED_VALUE"""),"ROB-12779")</f>
        <v>ROB-12779</v>
      </c>
      <c r="E630" s="4">
        <f>IFERROR(__xludf.DUMMYFUNCTION("""COMPUTED_VALUE"""),0.0)</f>
        <v>0</v>
      </c>
      <c r="F630" s="4" t="str">
        <f>IFERROR(__xludf.DUMMYFUNCTION("""COMPUTED_VALUE"""),"DigiKey")</f>
        <v>DigiKey</v>
      </c>
      <c r="G630" s="4" t="str">
        <f>IFERROR(__xludf.DUMMYFUNCTION("""COMPUTED_VALUE"""),"1568-12779-ND")</f>
        <v>1568-12779-ND</v>
      </c>
      <c r="H630" s="4"/>
      <c r="I630" s="4"/>
      <c r="J630" s="4"/>
      <c r="K630" s="4"/>
      <c r="L630" s="4"/>
      <c r="M630" s="4"/>
      <c r="N630" s="9" t="str">
        <f>IFERROR(__xludf.DUMMYFUNCTION("""COMPUTED_VALUE"""),"OEPS020155")</f>
        <v>OEPS020155</v>
      </c>
      <c r="O630" s="4" t="str">
        <f>IFERROR(__xludf.DUMMYFUNCTION("""COMPUTED_VALUE"""),"ERA-2AEB7682X")</f>
        <v>ERA-2AEB7682X</v>
      </c>
      <c r="P630" s="4" t="str">
        <f>IFERROR(__xludf.DUMMYFUNCTION("""COMPUTED_VALUE"""),"9(Tp) ")</f>
        <v>9(Tp) </v>
      </c>
      <c r="Q630" s="4">
        <f>IFERROR(__xludf.DUMMYFUNCTION("""COMPUTED_VALUE"""),9.0)</f>
        <v>9</v>
      </c>
      <c r="R630" s="4">
        <f>IFERROR(__xludf.DUMMYFUNCTION("""COMPUTED_VALUE"""),9.0)</f>
        <v>9</v>
      </c>
      <c r="S630" s="4" t="str">
        <f>IFERROR(__xludf.DUMMYFUNCTION("""COMPUTED_VALUE"""),"Tape")</f>
        <v>Tape</v>
      </c>
      <c r="T630" s="4" t="str">
        <f>IFERROR(__xludf.DUMMYFUNCTION("""COMPUTED_VALUE"""),"0325")</f>
        <v>0325</v>
      </c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</row>
    <row r="631">
      <c r="A631" s="4" t="str">
        <f>IFERROR(__xludf.DUMMYFUNCTION("""COMPUTED_VALUE"""),"OTHER:   ENCODER 24 DTENT   [EC12E24204A9] [TH]")</f>
        <v>OTHER:   ENCODER 24 DTENT   [EC12E24204A9] [TH]</v>
      </c>
      <c r="B631" s="4" t="str">
        <f>IFERROR(__xludf.DUMMYFUNCTION("""COMPUTED_VALUE"""),"OEPS100022")</f>
        <v>OEPS100022</v>
      </c>
      <c r="C631" s="4" t="str">
        <f>IFERROR(__xludf.DUMMYFUNCTION("""COMPUTED_VALUE"""),"TH")</f>
        <v>TH</v>
      </c>
      <c r="D631" s="4" t="str">
        <f>IFERROR(__xludf.DUMMYFUNCTION("""COMPUTED_VALUE"""),"EC12E24204A9")</f>
        <v>EC12E24204A9</v>
      </c>
      <c r="E631" s="4">
        <f>IFERROR(__xludf.DUMMYFUNCTION("""COMPUTED_VALUE"""),1.0)</f>
        <v>1</v>
      </c>
      <c r="F631" s="4" t="str">
        <f>IFERROR(__xludf.DUMMYFUNCTION("""COMPUTED_VALUE"""),"Mouser")</f>
        <v>Mouser</v>
      </c>
      <c r="G631" s="4" t="str">
        <f>IFERROR(__xludf.DUMMYFUNCTION("""COMPUTED_VALUE"""),"688-EC12E24204A9")</f>
        <v>688-EC12E24204A9</v>
      </c>
      <c r="H631" s="4"/>
      <c r="I631" s="4"/>
      <c r="J631" s="4"/>
      <c r="K631" s="4"/>
      <c r="L631" s="4"/>
      <c r="M631" s="4"/>
      <c r="N631" s="9" t="str">
        <f>IFERROR(__xludf.DUMMYFUNCTION("""COMPUTED_VALUE"""),"OEPS020156")</f>
        <v>OEPS020156</v>
      </c>
      <c r="O631" s="4" t="str">
        <f>IFERROR(__xludf.DUMMYFUNCTION("""COMPUTED_VALUE"""),"ERA-3AEB513V")</f>
        <v>ERA-3AEB513V</v>
      </c>
      <c r="P631" s="4" t="str">
        <f>IFERROR(__xludf.DUMMYFUNCTION("""COMPUTED_VALUE"""),"5(Tp) 1(Tp) ")</f>
        <v>5(Tp) 1(Tp) </v>
      </c>
      <c r="Q631" s="4">
        <f>IFERROR(__xludf.DUMMYFUNCTION("""COMPUTED_VALUE"""),6.0)</f>
        <v>6</v>
      </c>
      <c r="R631" s="4">
        <f>IFERROR(__xludf.DUMMYFUNCTION("""COMPUTED_VALUE"""),5.0)</f>
        <v>5</v>
      </c>
      <c r="S631" s="4" t="str">
        <f>IFERROR(__xludf.DUMMYFUNCTION("""COMPUTED_VALUE"""),"Tape")</f>
        <v>Tape</v>
      </c>
      <c r="T631" s="4" t="str">
        <f>IFERROR(__xludf.DUMMYFUNCTION("""COMPUTED_VALUE"""),"0325")</f>
        <v>0325</v>
      </c>
      <c r="U631" s="4">
        <f>IFERROR(__xludf.DUMMYFUNCTION("""COMPUTED_VALUE"""),1.0)</f>
        <v>1</v>
      </c>
      <c r="V631" s="4" t="str">
        <f>IFERROR(__xludf.DUMMYFUNCTION("""COMPUTED_VALUE"""),"Tape")</f>
        <v>Tape</v>
      </c>
      <c r="W631" s="4" t="str">
        <f>IFERROR(__xludf.DUMMYFUNCTION("""COMPUTED_VALUE"""),"0325")</f>
        <v>0325</v>
      </c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</row>
    <row r="632">
      <c r="A632" s="4" t="str">
        <f>IFERROR(__xludf.DUMMYFUNCTION("""COMPUTED_VALUE"""),"OTHER:   GRAPHIC DISPLAY LCD BLACK   [3502] [Populated PCB]")</f>
        <v>OTHER:   GRAPHIC DISPLAY LCD BLACK   [3502] [Populated PCB]</v>
      </c>
      <c r="B632" s="4" t="str">
        <f>IFERROR(__xludf.DUMMYFUNCTION("""COMPUTED_VALUE"""),"OEPS100071")</f>
        <v>OEPS100071</v>
      </c>
      <c r="C632" s="4" t="str">
        <f>IFERROR(__xludf.DUMMYFUNCTION("""COMPUTED_VALUE"""),"Populated PCB")</f>
        <v>Populated PCB</v>
      </c>
      <c r="D632" s="4" t="str">
        <f>IFERROR(__xludf.DUMMYFUNCTION("""COMPUTED_VALUE"""),"3502")</f>
        <v>3502</v>
      </c>
      <c r="E632" s="4">
        <f>IFERROR(__xludf.DUMMYFUNCTION("""COMPUTED_VALUE"""),0.0)</f>
        <v>0</v>
      </c>
      <c r="F632" s="4" t="str">
        <f>IFERROR(__xludf.DUMMYFUNCTION("""COMPUTED_VALUE"""),"DigiKey")</f>
        <v>DigiKey</v>
      </c>
      <c r="G632" s="4" t="str">
        <f>IFERROR(__xludf.DUMMYFUNCTION("""COMPUTED_VALUE"""),"1528-2326-ND")</f>
        <v>1528-2326-ND</v>
      </c>
      <c r="H632" s="4"/>
      <c r="I632" s="4"/>
      <c r="J632" s="4"/>
      <c r="K632" s="4"/>
      <c r="L632" s="4"/>
      <c r="M632" s="4"/>
      <c r="N632" s="9" t="str">
        <f>IFERROR(__xludf.DUMMYFUNCTION("""COMPUTED_VALUE"""),"OEPS020157")</f>
        <v>OEPS020157</v>
      </c>
      <c r="O632" s="4" t="str">
        <f>IFERROR(__xludf.DUMMYFUNCTION("""COMPUTED_VALUE"""),"ERA-3AEB1543")</f>
        <v>ERA-3AEB1543</v>
      </c>
      <c r="P632" s="4" t="str">
        <f>IFERROR(__xludf.DUMMYFUNCTION("""COMPUTED_VALUE"""),"9(Tp) ")</f>
        <v>9(Tp) </v>
      </c>
      <c r="Q632" s="4">
        <f>IFERROR(__xludf.DUMMYFUNCTION("""COMPUTED_VALUE"""),9.0)</f>
        <v>9</v>
      </c>
      <c r="R632" s="4">
        <f>IFERROR(__xludf.DUMMYFUNCTION("""COMPUTED_VALUE"""),9.0)</f>
        <v>9</v>
      </c>
      <c r="S632" s="4" t="str">
        <f>IFERROR(__xludf.DUMMYFUNCTION("""COMPUTED_VALUE"""),"Tape")</f>
        <v>Tape</v>
      </c>
      <c r="T632" s="4" t="str">
        <f>IFERROR(__xludf.DUMMYFUNCTION("""COMPUTED_VALUE"""),"XXXX")</f>
        <v>XXXX</v>
      </c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</row>
    <row r="633">
      <c r="A633" s="4" t="str">
        <f>IFERROR(__xludf.DUMMYFUNCTION("""COMPUTED_VALUE"""),"OTHER:   GRAPHIC DISPLAY OLED WHITE 1.3"" 128 x 64   [5228] [SMD]")</f>
        <v>OTHER:   GRAPHIC DISPLAY OLED WHITE 1.3" 128 x 64   [5228] [SMD]</v>
      </c>
      <c r="B633" s="4" t="str">
        <f>IFERROR(__xludf.DUMMYFUNCTION("""COMPUTED_VALUE"""),"OEPS100065")</f>
        <v>OEPS100065</v>
      </c>
      <c r="C633" s="4" t="str">
        <f>IFERROR(__xludf.DUMMYFUNCTION("""COMPUTED_VALUE"""),"SMD")</f>
        <v>SMD</v>
      </c>
      <c r="D633" s="4" t="str">
        <f>IFERROR(__xludf.DUMMYFUNCTION("""COMPUTED_VALUE"""),"5228")</f>
        <v>5228</v>
      </c>
      <c r="E633" s="4">
        <f>IFERROR(__xludf.DUMMYFUNCTION("""COMPUTED_VALUE"""),0.0)</f>
        <v>0</v>
      </c>
      <c r="F633" s="4" t="str">
        <f>IFERROR(__xludf.DUMMYFUNCTION("""COMPUTED_VALUE"""),"Digikey")</f>
        <v>Digikey</v>
      </c>
      <c r="G633" s="4" t="str">
        <f>IFERROR(__xludf.DUMMYFUNCTION("""COMPUTED_VALUE"""),"1528-5228-ND")</f>
        <v>1528-5228-ND</v>
      </c>
      <c r="H633" s="4"/>
      <c r="I633" s="4"/>
      <c r="J633" s="4"/>
      <c r="K633" s="4"/>
      <c r="L633" s="4"/>
      <c r="M633" s="4"/>
      <c r="N633" s="9" t="str">
        <f>IFERROR(__xludf.DUMMYFUNCTION("""COMPUTED_VALUE"""),"OEPS020158")</f>
        <v>OEPS020158</v>
      </c>
      <c r="O633" s="4" t="str">
        <f>IFERROR(__xludf.DUMMYFUNCTION("""COMPUTED_VALUE"""),"ERA-3AEB8452V")</f>
        <v>ERA-3AEB8452V</v>
      </c>
      <c r="P633" s="4" t="str">
        <f>IFERROR(__xludf.DUMMYFUNCTION("""COMPUTED_VALUE"""),"9(Tp) ")</f>
        <v>9(Tp) </v>
      </c>
      <c r="Q633" s="4">
        <f>IFERROR(__xludf.DUMMYFUNCTION("""COMPUTED_VALUE"""),9.0)</f>
        <v>9</v>
      </c>
      <c r="R633" s="4">
        <f>IFERROR(__xludf.DUMMYFUNCTION("""COMPUTED_VALUE"""),9.0)</f>
        <v>9</v>
      </c>
      <c r="S633" s="4" t="str">
        <f>IFERROR(__xludf.DUMMYFUNCTION("""COMPUTED_VALUE"""),"Tape")</f>
        <v>Tape</v>
      </c>
      <c r="T633" s="4" t="str">
        <f>IFERROR(__xludf.DUMMYFUNCTION("""COMPUTED_VALUE"""),"0325")</f>
        <v>0325</v>
      </c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</row>
    <row r="634">
      <c r="A634" s="4" t="str">
        <f>IFERROR(__xludf.DUMMYFUNCTION("""COMPUTED_VALUE"""),"OTHER:   JUMPER SHUNT   [SNT-100-BK-T] [Other]")</f>
        <v>OTHER:   JUMPER SHUNT   [SNT-100-BK-T] [Other]</v>
      </c>
      <c r="B634" s="4" t="str">
        <f>IFERROR(__xludf.DUMMYFUNCTION("""COMPUTED_VALUE"""),"OEPS100015")</f>
        <v>OEPS100015</v>
      </c>
      <c r="C634" s="4" t="str">
        <f>IFERROR(__xludf.DUMMYFUNCTION("""COMPUTED_VALUE"""),"Other")</f>
        <v>Other</v>
      </c>
      <c r="D634" s="4" t="str">
        <f>IFERROR(__xludf.DUMMYFUNCTION("""COMPUTED_VALUE"""),"SNT-100-BK-T")</f>
        <v>SNT-100-BK-T</v>
      </c>
      <c r="E634" s="4">
        <f>IFERROR(__xludf.DUMMYFUNCTION("""COMPUTED_VALUE"""),1.0)</f>
        <v>1</v>
      </c>
      <c r="F634" s="4" t="str">
        <f>IFERROR(__xludf.DUMMYFUNCTION("""COMPUTED_VALUE"""),"DigiKey")</f>
        <v>DigiKey</v>
      </c>
      <c r="G634" s="4" t="str">
        <f>IFERROR(__xludf.DUMMYFUNCTION("""COMPUTED_VALUE"""),"SAM8860-ND")</f>
        <v>SAM8860-ND</v>
      </c>
      <c r="H634" s="4"/>
      <c r="I634" s="4"/>
      <c r="J634" s="4"/>
      <c r="K634" s="4"/>
      <c r="L634" s="4"/>
      <c r="M634" s="4"/>
      <c r="N634" s="9" t="str">
        <f>IFERROR(__xludf.DUMMYFUNCTION("""COMPUTED_VALUE"""),"OEPS020159")</f>
        <v>OEPS020159</v>
      </c>
      <c r="O634" s="4" t="str">
        <f>IFERROR(__xludf.DUMMYFUNCTION("""COMPUTED_VALUE"""),"ERA-3AEB1653V")</f>
        <v>ERA-3AEB1653V</v>
      </c>
      <c r="P634" s="4" t="str">
        <f>IFERROR(__xludf.DUMMYFUNCTION("""COMPUTED_VALUE"""),"9(Tp) 97(R) ")</f>
        <v>9(Tp) 97(R) </v>
      </c>
      <c r="Q634" s="4">
        <f>IFERROR(__xludf.DUMMYFUNCTION("""COMPUTED_VALUE"""),106.0)</f>
        <v>106</v>
      </c>
      <c r="R634" s="4">
        <f>IFERROR(__xludf.DUMMYFUNCTION("""COMPUTED_VALUE"""),9.0)</f>
        <v>9</v>
      </c>
      <c r="S634" s="4" t="str">
        <f>IFERROR(__xludf.DUMMYFUNCTION("""COMPUTED_VALUE"""),"Tape")</f>
        <v>Tape</v>
      </c>
      <c r="T634" s="4" t="str">
        <f>IFERROR(__xludf.DUMMYFUNCTION("""COMPUTED_VALUE"""),"0325")</f>
        <v>0325</v>
      </c>
      <c r="U634" s="4">
        <f>IFERROR(__xludf.DUMMYFUNCTION("""COMPUTED_VALUE"""),97.0)</f>
        <v>97</v>
      </c>
      <c r="V634" s="4" t="str">
        <f>IFERROR(__xludf.DUMMYFUNCTION("""COMPUTED_VALUE"""),"Reel")</f>
        <v>Reel</v>
      </c>
      <c r="W634" s="4" t="str">
        <f>IFERROR(__xludf.DUMMYFUNCTION("""COMPUTED_VALUE"""),"0425")</f>
        <v>0425</v>
      </c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</row>
    <row r="635">
      <c r="A635" s="4" t="str">
        <f>IFERROR(__xludf.DUMMYFUNCTION("""COMPUTED_VALUE"""),"OTHER:   Jumper Wire Kit - 140pcs   [PRT-00124] [Other]")</f>
        <v>OTHER:   Jumper Wire Kit - 140pcs   [PRT-00124] [Other]</v>
      </c>
      <c r="B635" s="4" t="str">
        <f>IFERROR(__xludf.DUMMYFUNCTION("""COMPUTED_VALUE"""),"OEPS100029")</f>
        <v>OEPS100029</v>
      </c>
      <c r="C635" s="4" t="str">
        <f>IFERROR(__xludf.DUMMYFUNCTION("""COMPUTED_VALUE"""),"Other")</f>
        <v>Other</v>
      </c>
      <c r="D635" s="4" t="str">
        <f>IFERROR(__xludf.DUMMYFUNCTION("""COMPUTED_VALUE"""),"PRT-00124")</f>
        <v>PRT-00124</v>
      </c>
      <c r="E635" s="4">
        <f>IFERROR(__xludf.DUMMYFUNCTION("""COMPUTED_VALUE"""),0.0)</f>
        <v>0</v>
      </c>
      <c r="F635" s="4" t="str">
        <f>IFERROR(__xludf.DUMMYFUNCTION("""COMPUTED_VALUE"""),"Sparkfun")</f>
        <v>Sparkfun</v>
      </c>
      <c r="G635" s="4" t="str">
        <f>IFERROR(__xludf.DUMMYFUNCTION("""COMPUTED_VALUE"""),"PRT-00124")</f>
        <v>PRT-00124</v>
      </c>
      <c r="H635" s="4"/>
      <c r="I635" s="4"/>
      <c r="J635" s="4"/>
      <c r="K635" s="4"/>
      <c r="L635" s="4"/>
      <c r="M635" s="4"/>
      <c r="N635" s="9" t="str">
        <f>IFERROR(__xludf.DUMMYFUNCTION("""COMPUTED_VALUE"""),"OEPS020161")</f>
        <v>OEPS020161</v>
      </c>
      <c r="O635" s="4" t="str">
        <f>IFERROR(__xludf.DUMMYFUNCTION("""COMPUTED_VALUE"""),"RP73PF1E6K19BTD")</f>
        <v>RP73PF1E6K19BTD</v>
      </c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</row>
    <row r="636">
      <c r="A636" s="4" t="str">
        <f>IFERROR(__xludf.DUMMYFUNCTION("""COMPUTED_VALUE"""),"OTHER:   JUMPER WIRE two wire cable   [PRT-08672] [Wire]")</f>
        <v>OTHER:   JUMPER WIRE two wire cable   [PRT-08672] [Wire]</v>
      </c>
      <c r="B636" s="4" t="str">
        <f>IFERROR(__xludf.DUMMYFUNCTION("""COMPUTED_VALUE"""),"OEPS100008")</f>
        <v>OEPS100008</v>
      </c>
      <c r="C636" s="4" t="str">
        <f>IFERROR(__xludf.DUMMYFUNCTION("""COMPUTED_VALUE"""),"Wire")</f>
        <v>Wire</v>
      </c>
      <c r="D636" s="4" t="str">
        <f>IFERROR(__xludf.DUMMYFUNCTION("""COMPUTED_VALUE"""),"PRT-08672")</f>
        <v>PRT-08672</v>
      </c>
      <c r="E636" s="4">
        <f>IFERROR(__xludf.DUMMYFUNCTION("""COMPUTED_VALUE"""),1.0)</f>
        <v>1</v>
      </c>
      <c r="F636" s="4" t="str">
        <f>IFERROR(__xludf.DUMMYFUNCTION("""COMPUTED_VALUE"""),"Sparkfun")</f>
        <v>Sparkfun</v>
      </c>
      <c r="G636" s="4" t="str">
        <f>IFERROR(__xludf.DUMMYFUNCTION("""COMPUTED_VALUE"""),"PRT-08672")</f>
        <v>PRT-08672</v>
      </c>
      <c r="H636" s="4"/>
      <c r="I636" s="4"/>
      <c r="J636" s="4"/>
      <c r="K636" s="4"/>
      <c r="L636" s="4"/>
      <c r="M636" s="4"/>
      <c r="N636" s="9" t="str">
        <f>IFERROR(__xludf.DUMMYFUNCTION("""COMPUTED_VALUE"""),"OEPS020162")</f>
        <v>OEPS020162</v>
      </c>
      <c r="O636" s="4" t="str">
        <f>IFERROR(__xludf.DUMMYFUNCTION("""COMPUTED_VALUE"""),"RN73R1ETTP6121B25")</f>
        <v>RN73R1ETTP6121B25</v>
      </c>
      <c r="P636" s="4" t="str">
        <f>IFERROR(__xludf.DUMMYFUNCTION("""COMPUTED_VALUE"""),"2(Tp) 830(Tp) ")</f>
        <v>2(Tp) 830(Tp) </v>
      </c>
      <c r="Q636" s="4">
        <f>IFERROR(__xludf.DUMMYFUNCTION("""COMPUTED_VALUE"""),832.0)</f>
        <v>832</v>
      </c>
      <c r="R636" s="4">
        <f>IFERROR(__xludf.DUMMYFUNCTION("""COMPUTED_VALUE"""),2.0)</f>
        <v>2</v>
      </c>
      <c r="S636" s="4" t="str">
        <f>IFERROR(__xludf.DUMMYFUNCTION("""COMPUTED_VALUE"""),"Tape")</f>
        <v>Tape</v>
      </c>
      <c r="T636" s="4" t="str">
        <f>IFERROR(__xludf.DUMMYFUNCTION("""COMPUTED_VALUE"""),"0325")</f>
        <v>0325</v>
      </c>
      <c r="U636" s="4">
        <f>IFERROR(__xludf.DUMMYFUNCTION("""COMPUTED_VALUE"""),830.0)</f>
        <v>830</v>
      </c>
      <c r="V636" s="4" t="str">
        <f>IFERROR(__xludf.DUMMYFUNCTION("""COMPUTED_VALUE"""),"Tape")</f>
        <v>Tape</v>
      </c>
      <c r="W636" s="4" t="str">
        <f>IFERROR(__xludf.DUMMYFUNCTION("""COMPUTED_VALUE"""),"0325")</f>
        <v>0325</v>
      </c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</row>
    <row r="637">
      <c r="A637" s="4" t="str">
        <f>IFERROR(__xludf.DUMMYFUNCTION("""COMPUTED_VALUE"""),"OTHER:   LED MODULE - STRIP - WHITE 6500K   [ZM-333-CW] [Other]")</f>
        <v>OTHER:   LED MODULE - STRIP - WHITE 6500K   [ZM-333-CW] [Other]</v>
      </c>
      <c r="B637" s="4" t="str">
        <f>IFERROR(__xludf.DUMMYFUNCTION("""COMPUTED_VALUE"""),"OEPS100092")</f>
        <v>OEPS100092</v>
      </c>
      <c r="C637" s="4" t="str">
        <f>IFERROR(__xludf.DUMMYFUNCTION("""COMPUTED_VALUE"""),"Other")</f>
        <v>Other</v>
      </c>
      <c r="D637" s="4" t="str">
        <f>IFERROR(__xludf.DUMMYFUNCTION("""COMPUTED_VALUE"""),"ZM-333-CW")</f>
        <v>ZM-333-CW</v>
      </c>
      <c r="E637" s="4">
        <f>IFERROR(__xludf.DUMMYFUNCTION("""COMPUTED_VALUE"""),0.0)</f>
        <v>0</v>
      </c>
      <c r="F637" s="4" t="str">
        <f>IFERROR(__xludf.DUMMYFUNCTION("""COMPUTED_VALUE"""),"DigiKey")</f>
        <v>DigiKey</v>
      </c>
      <c r="G637" s="4" t="str">
        <f>IFERROR(__xludf.DUMMYFUNCTION("""COMPUTED_VALUE"""),"289-ZM-333-CW-ND")</f>
        <v>289-ZM-333-CW-ND</v>
      </c>
      <c r="H637" s="4"/>
      <c r="I637" s="4"/>
      <c r="J637" s="4"/>
      <c r="K637" s="4"/>
      <c r="L637" s="4"/>
      <c r="M637" s="4"/>
      <c r="N637" s="9" t="str">
        <f>IFERROR(__xludf.DUMMYFUNCTION("""COMPUTED_VALUE"""),"OEPS020164")</f>
        <v>OEPS020164</v>
      </c>
      <c r="O637" s="4" t="str">
        <f>IFERROR(__xludf.DUMMYFUNCTION("""COMPUTED_VALUE"""),"ERA-3AEB4120V")</f>
        <v>ERA-3AEB4120V</v>
      </c>
      <c r="P637" s="4" t="str">
        <f>IFERROR(__xludf.DUMMYFUNCTION("""COMPUTED_VALUE"""),"500(R) ")</f>
        <v>500(R) </v>
      </c>
      <c r="Q637" s="4">
        <f>IFERROR(__xludf.DUMMYFUNCTION("""COMPUTED_VALUE"""),500.0)</f>
        <v>500</v>
      </c>
      <c r="R637" s="4"/>
      <c r="S637" s="4"/>
      <c r="T637" s="4"/>
      <c r="U637" s="4">
        <f>IFERROR(__xludf.DUMMYFUNCTION("""COMPUTED_VALUE"""),500.0)</f>
        <v>500</v>
      </c>
      <c r="V637" s="4" t="str">
        <f>IFERROR(__xludf.DUMMYFUNCTION("""COMPUTED_VALUE"""),"Reel")</f>
        <v>Reel</v>
      </c>
      <c r="W637" s="4" t="str">
        <f>IFERROR(__xludf.DUMMYFUNCTION("""COMPUTED_VALUE"""),"0425")</f>
        <v>0425</v>
      </c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</row>
    <row r="638">
      <c r="A638" s="4" t="str">
        <f>IFERROR(__xludf.DUMMYFUNCTION("""COMPUTED_VALUE"""),"OTHER:   LIGHT PIPE CLEAR 3MM LENS R/A   [SLP3-150-100-R] [Other]")</f>
        <v>OTHER:   LIGHT PIPE CLEAR 3MM LENS R/A   [SLP3-150-100-R] [Other]</v>
      </c>
      <c r="B638" s="4" t="str">
        <f>IFERROR(__xludf.DUMMYFUNCTION("""COMPUTED_VALUE"""),"OEPS100035")</f>
        <v>OEPS100035</v>
      </c>
      <c r="C638" s="4" t="str">
        <f>IFERROR(__xludf.DUMMYFUNCTION("""COMPUTED_VALUE"""),"Other")</f>
        <v>Other</v>
      </c>
      <c r="D638" s="4" t="str">
        <f>IFERROR(__xludf.DUMMYFUNCTION("""COMPUTED_VALUE"""),"SLP3-150-100-R")</f>
        <v>SLP3-150-100-R</v>
      </c>
      <c r="E638" s="4">
        <f>IFERROR(__xludf.DUMMYFUNCTION("""COMPUTED_VALUE"""),1.0)</f>
        <v>1</v>
      </c>
      <c r="F638" s="4" t="str">
        <f>IFERROR(__xludf.DUMMYFUNCTION("""COMPUTED_VALUE"""),"DigiKey")</f>
        <v>DigiKey</v>
      </c>
      <c r="G638" s="4" t="str">
        <f>IFERROR(__xludf.DUMMYFUNCTION("""COMPUTED_VALUE"""),"492-1313-ND")</f>
        <v>492-1313-ND</v>
      </c>
      <c r="H638" s="4"/>
      <c r="I638" s="4"/>
      <c r="J638" s="4"/>
      <c r="K638" s="4"/>
      <c r="L638" s="4"/>
      <c r="M638" s="4"/>
      <c r="N638" s="9" t="str">
        <f>IFERROR(__xludf.DUMMYFUNCTION("""COMPUTED_VALUE"""),"OEPS020165")</f>
        <v>OEPS020165</v>
      </c>
      <c r="O638" s="4" t="str">
        <f>IFERROR(__xludf.DUMMYFUNCTION("""COMPUTED_VALUE"""),"RT0603BRC071K2L")</f>
        <v>RT0603BRC071K2L</v>
      </c>
      <c r="P638" s="4" t="str">
        <f>IFERROR(__xludf.DUMMYFUNCTION("""COMPUTED_VALUE"""),"10(Tp) ")</f>
        <v>10(Tp) </v>
      </c>
      <c r="Q638" s="4">
        <f>IFERROR(__xludf.DUMMYFUNCTION("""COMPUTED_VALUE"""),10.0)</f>
        <v>10</v>
      </c>
      <c r="R638" s="4">
        <f>IFERROR(__xludf.DUMMYFUNCTION("""COMPUTED_VALUE"""),10.0)</f>
        <v>10</v>
      </c>
      <c r="S638" s="4" t="str">
        <f>IFERROR(__xludf.DUMMYFUNCTION("""COMPUTED_VALUE"""),"Tape")</f>
        <v>Tape</v>
      </c>
      <c r="T638" s="4" t="str">
        <f>IFERROR(__xludf.DUMMYFUNCTION("""COMPUTED_VALUE"""),"0325")</f>
        <v>0325</v>
      </c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</row>
    <row r="639">
      <c r="A639" s="4" t="str">
        <f>IFERROR(__xludf.DUMMYFUNCTION("""COMPUTED_VALUE"""),"OTHER:   LIGHT PIPE Diffused, Press Fit, lense 3.3 mm   [LFB012CTP] [Other]")</f>
        <v>OTHER:   LIGHT PIPE Diffused, Press Fit, lense 3.3 mm   [LFB012CTP] [Other]</v>
      </c>
      <c r="B639" s="4" t="str">
        <f>IFERROR(__xludf.DUMMYFUNCTION("""COMPUTED_VALUE"""),"OEPS100080")</f>
        <v>OEPS100080</v>
      </c>
      <c r="C639" s="4" t="str">
        <f>IFERROR(__xludf.DUMMYFUNCTION("""COMPUTED_VALUE"""),"Other")</f>
        <v>Other</v>
      </c>
      <c r="D639" s="4" t="str">
        <f>IFERROR(__xludf.DUMMYFUNCTION("""COMPUTED_VALUE"""),"LFB012CTP")</f>
        <v>LFB012CTP</v>
      </c>
      <c r="E639" s="4">
        <f>IFERROR(__xludf.DUMMYFUNCTION("""COMPUTED_VALUE"""),1.0)</f>
        <v>1</v>
      </c>
      <c r="F639" s="4" t="str">
        <f>IFERROR(__xludf.DUMMYFUNCTION("""COMPUTED_VALUE"""),"Mouser")</f>
        <v>Mouser</v>
      </c>
      <c r="G639" s="4" t="str">
        <f>IFERROR(__xludf.DUMMYFUNCTION("""COMPUTED_VALUE"""),"593-LFB012CTP")</f>
        <v>593-LFB012CTP</v>
      </c>
      <c r="H639" s="4"/>
      <c r="I639" s="4"/>
      <c r="J639" s="4"/>
      <c r="K639" s="4"/>
      <c r="L639" s="4"/>
      <c r="M639" s="4"/>
      <c r="N639" s="9" t="str">
        <f>IFERROR(__xludf.DUMMYFUNCTION("""COMPUTED_VALUE"""),"OEPS020166")</f>
        <v>OEPS020166</v>
      </c>
      <c r="O639" s="4" t="str">
        <f>IFERROR(__xludf.DUMMYFUNCTION("""COMPUTED_VALUE"""),"RN73R1JTTD3051B25")</f>
        <v>RN73R1JTTD3051B25</v>
      </c>
      <c r="P639" s="4" t="str">
        <f>IFERROR(__xludf.DUMMYFUNCTION("""COMPUTED_VALUE"""),"2(Tp) 199(R) ")</f>
        <v>2(Tp) 199(R) </v>
      </c>
      <c r="Q639" s="4">
        <f>IFERROR(__xludf.DUMMYFUNCTION("""COMPUTED_VALUE"""),201.0)</f>
        <v>201</v>
      </c>
      <c r="R639" s="4">
        <f>IFERROR(__xludf.DUMMYFUNCTION("""COMPUTED_VALUE"""),2.0)</f>
        <v>2</v>
      </c>
      <c r="S639" s="4" t="str">
        <f>IFERROR(__xludf.DUMMYFUNCTION("""COMPUTED_VALUE"""),"Tape")</f>
        <v>Tape</v>
      </c>
      <c r="T639" s="4" t="str">
        <f>IFERROR(__xludf.DUMMYFUNCTION("""COMPUTED_VALUE"""),"0325")</f>
        <v>0325</v>
      </c>
      <c r="U639" s="4">
        <f>IFERROR(__xludf.DUMMYFUNCTION("""COMPUTED_VALUE"""),199.0)</f>
        <v>199</v>
      </c>
      <c r="V639" s="4" t="str">
        <f>IFERROR(__xludf.DUMMYFUNCTION("""COMPUTED_VALUE"""),"Reel")</f>
        <v>Reel</v>
      </c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</row>
    <row r="640">
      <c r="A640" s="4" t="str">
        <f>IFERROR(__xludf.DUMMYFUNCTION("""COMPUTED_VALUE"""),"OTHER:   LIGHT PIPE flat 3M lense 12.24 mm   [51513010600F] [Other]")</f>
        <v>OTHER:   LIGHT PIPE flat 3M lense 12.24 mm   [51513010600F] [Other]</v>
      </c>
      <c r="B640" s="4" t="str">
        <f>IFERROR(__xludf.DUMMYFUNCTION("""COMPUTED_VALUE"""),"OEPS100005")</f>
        <v>OEPS100005</v>
      </c>
      <c r="C640" s="4" t="str">
        <f>IFERROR(__xludf.DUMMYFUNCTION("""COMPUTED_VALUE"""),"Other")</f>
        <v>Other</v>
      </c>
      <c r="D640" s="4" t="str">
        <f>IFERROR(__xludf.DUMMYFUNCTION("""COMPUTED_VALUE"""),"51513010600F")</f>
        <v>51513010600F</v>
      </c>
      <c r="E640" s="4">
        <f>IFERROR(__xludf.DUMMYFUNCTION("""COMPUTED_VALUE"""),1.0)</f>
        <v>1</v>
      </c>
      <c r="F640" s="4" t="str">
        <f>IFERROR(__xludf.DUMMYFUNCTION("""COMPUTED_VALUE"""),"DigiKey")</f>
        <v>DigiKey</v>
      </c>
      <c r="G640" s="4" t="str">
        <f>IFERROR(__xludf.DUMMYFUNCTION("""COMPUTED_VALUE"""),"350-3727-ND")</f>
        <v>350-3727-ND</v>
      </c>
      <c r="H640" s="4"/>
      <c r="I640" s="4"/>
      <c r="J640" s="4"/>
      <c r="K640" s="4"/>
      <c r="L640" s="4"/>
      <c r="M640" s="4"/>
      <c r="N640" s="9" t="str">
        <f>IFERROR(__xludf.DUMMYFUNCTION("""COMPUTED_VALUE"""),"OEPS020168")</f>
        <v>OEPS020168</v>
      </c>
      <c r="O640" s="4" t="str">
        <f>IFERROR(__xludf.DUMMYFUNCTION("""COMPUTED_VALUE"""),"RT0603BRD071K87L")</f>
        <v>RT0603BRD071K87L</v>
      </c>
      <c r="P640" s="4" t="str">
        <f>IFERROR(__xludf.DUMMYFUNCTION("""COMPUTED_VALUE"""),"79(Tp) 196(R) ")</f>
        <v>79(Tp) 196(R) </v>
      </c>
      <c r="Q640" s="4">
        <f>IFERROR(__xludf.DUMMYFUNCTION("""COMPUTED_VALUE"""),275.0)</f>
        <v>275</v>
      </c>
      <c r="R640" s="4">
        <f>IFERROR(__xludf.DUMMYFUNCTION("""COMPUTED_VALUE"""),79.0)</f>
        <v>79</v>
      </c>
      <c r="S640" s="4" t="str">
        <f>IFERROR(__xludf.DUMMYFUNCTION("""COMPUTED_VALUE"""),"Tape")</f>
        <v>Tape</v>
      </c>
      <c r="T640" s="4" t="str">
        <f>IFERROR(__xludf.DUMMYFUNCTION("""COMPUTED_VALUE"""),"XXXX")</f>
        <v>XXXX</v>
      </c>
      <c r="U640" s="4">
        <f>IFERROR(__xludf.DUMMYFUNCTION("""COMPUTED_VALUE"""),196.0)</f>
        <v>196</v>
      </c>
      <c r="V640" s="4" t="str">
        <f>IFERROR(__xludf.DUMMYFUNCTION("""COMPUTED_VALUE"""),"Reel")</f>
        <v>Reel</v>
      </c>
      <c r="W640" s="4" t="str">
        <f>IFERROR(__xludf.DUMMYFUNCTION("""COMPUTED_VALUE"""),"XXXX")</f>
        <v>XXXX</v>
      </c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</row>
    <row r="641">
      <c r="A641" s="4" t="str">
        <f>IFERROR(__xludf.DUMMYFUNCTION("""COMPUTED_VALUE"""),"OTHER:   LIGHT PIPE flat 3M lense 6.35 mm   [51513010250F] [Other]")</f>
        <v>OTHER:   LIGHT PIPE flat 3M lense 6.35 mm   [51513010250F] [Other]</v>
      </c>
      <c r="B641" s="4" t="str">
        <f>IFERROR(__xludf.DUMMYFUNCTION("""COMPUTED_VALUE"""),"OEPS100006")</f>
        <v>OEPS100006</v>
      </c>
      <c r="C641" s="4" t="str">
        <f>IFERROR(__xludf.DUMMYFUNCTION("""COMPUTED_VALUE"""),"Other")</f>
        <v>Other</v>
      </c>
      <c r="D641" s="4" t="str">
        <f>IFERROR(__xludf.DUMMYFUNCTION("""COMPUTED_VALUE"""),"51513010250F")</f>
        <v>51513010250F</v>
      </c>
      <c r="E641" s="4">
        <f>IFERROR(__xludf.DUMMYFUNCTION("""COMPUTED_VALUE"""),1.0)</f>
        <v>1</v>
      </c>
      <c r="F641" s="4" t="str">
        <f>IFERROR(__xludf.DUMMYFUNCTION("""COMPUTED_VALUE"""),"DigiKey")</f>
        <v>DigiKey</v>
      </c>
      <c r="G641" s="4" t="str">
        <f>IFERROR(__xludf.DUMMYFUNCTION("""COMPUTED_VALUE"""),"350-3722-ND")</f>
        <v>350-3722-ND</v>
      </c>
      <c r="H641" s="4"/>
      <c r="I641" s="4"/>
      <c r="J641" s="4"/>
      <c r="K641" s="4"/>
      <c r="L641" s="4"/>
      <c r="M641" s="4"/>
      <c r="N641" s="9" t="str">
        <f>IFERROR(__xludf.DUMMYFUNCTION("""COMPUTED_VALUE"""),"OEPS020169")</f>
        <v>OEPS020169</v>
      </c>
      <c r="O641" s="4" t="str">
        <f>IFERROR(__xludf.DUMMYFUNCTION("""COMPUTED_VALUE"""),"RT0402BRD079K42L")</f>
        <v>RT0402BRD079K42L</v>
      </c>
      <c r="P641" s="4" t="str">
        <f>IFERROR(__xludf.DUMMYFUNCTION("""COMPUTED_VALUE"""),"2(Tp) 631(R) ")</f>
        <v>2(Tp) 631(R) </v>
      </c>
      <c r="Q641" s="4">
        <f>IFERROR(__xludf.DUMMYFUNCTION("""COMPUTED_VALUE"""),633.0)</f>
        <v>633</v>
      </c>
      <c r="R641" s="4">
        <f>IFERROR(__xludf.DUMMYFUNCTION("""COMPUTED_VALUE"""),2.0)</f>
        <v>2</v>
      </c>
      <c r="S641" s="4" t="str">
        <f>IFERROR(__xludf.DUMMYFUNCTION("""COMPUTED_VALUE"""),"Tape")</f>
        <v>Tape</v>
      </c>
      <c r="T641" s="4" t="str">
        <f>IFERROR(__xludf.DUMMYFUNCTION("""COMPUTED_VALUE"""),"0325")</f>
        <v>0325</v>
      </c>
      <c r="U641" s="4">
        <f>IFERROR(__xludf.DUMMYFUNCTION("""COMPUTED_VALUE"""),631.0)</f>
        <v>631</v>
      </c>
      <c r="V641" s="4" t="str">
        <f>IFERROR(__xludf.DUMMYFUNCTION("""COMPUTED_VALUE"""),"Reel")</f>
        <v>Reel</v>
      </c>
      <c r="W641" s="4" t="str">
        <f>IFERROR(__xludf.DUMMYFUNCTION("""COMPUTED_VALUE"""),"0425")</f>
        <v>0425</v>
      </c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</row>
    <row r="642">
      <c r="A642" s="4" t="str">
        <f>IFERROR(__xludf.DUMMYFUNCTION("""COMPUTED_VALUE"""),"OTHER:   LIGHT PIPE Press Fit 3.3 mm   [PLPC3-125] [Other]")</f>
        <v>OTHER:   LIGHT PIPE Press Fit 3.3 mm   [PLPC3-125] [Other]</v>
      </c>
      <c r="B642" s="4" t="str">
        <f>IFERROR(__xludf.DUMMYFUNCTION("""COMPUTED_VALUE"""),"OEPS100068")</f>
        <v>OEPS100068</v>
      </c>
      <c r="C642" s="4" t="str">
        <f>IFERROR(__xludf.DUMMYFUNCTION("""COMPUTED_VALUE"""),"Other")</f>
        <v>Other</v>
      </c>
      <c r="D642" s="4" t="str">
        <f>IFERROR(__xludf.DUMMYFUNCTION("""COMPUTED_VALUE"""),"PLPC3-125")</f>
        <v>PLPC3-125</v>
      </c>
      <c r="E642" s="4">
        <f>IFERROR(__xludf.DUMMYFUNCTION("""COMPUTED_VALUE"""),0.0)</f>
        <v>0</v>
      </c>
      <c r="F642" s="4" t="str">
        <f>IFERROR(__xludf.DUMMYFUNCTION("""COMPUTED_VALUE"""),"DigiKey")</f>
        <v>DigiKey</v>
      </c>
      <c r="G642" s="4" t="str">
        <f>IFERROR(__xludf.DUMMYFUNCTION("""COMPUTED_VALUE"""),"492-2003-ND")</f>
        <v>492-2003-ND</v>
      </c>
      <c r="H642" s="4"/>
      <c r="I642" s="4"/>
      <c r="J642" s="4"/>
      <c r="K642" s="4"/>
      <c r="L642" s="4"/>
      <c r="M642" s="4"/>
      <c r="N642" s="9" t="str">
        <f>IFERROR(__xludf.DUMMYFUNCTION("""COMPUTED_VALUE"""),"OEPS020170")</f>
        <v>OEPS020170</v>
      </c>
      <c r="O642" s="4" t="str">
        <f>IFERROR(__xludf.DUMMYFUNCTION("""COMPUTED_VALUE"""),"RMCF0402FT27R0")</f>
        <v>RMCF0402FT27R0</v>
      </c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</row>
    <row r="643">
      <c r="A643" s="4" t="str">
        <f>IFERROR(__xludf.DUMMYFUNCTION("""COMPUTED_VALUE"""),"OTHER:   LIGHT PIPE Press Fit 5.0 mm   [51513510800F] [Other]")</f>
        <v>OTHER:   LIGHT PIPE Press Fit 5.0 mm   [51513510800F] [Other]</v>
      </c>
      <c r="B643" s="4" t="str">
        <f>IFERROR(__xludf.DUMMYFUNCTION("""COMPUTED_VALUE"""),"OEPS100054")</f>
        <v>OEPS100054</v>
      </c>
      <c r="C643" s="4" t="str">
        <f>IFERROR(__xludf.DUMMYFUNCTION("""COMPUTED_VALUE"""),"Other")</f>
        <v>Other</v>
      </c>
      <c r="D643" s="4" t="str">
        <f>IFERROR(__xludf.DUMMYFUNCTION("""COMPUTED_VALUE"""),"51513510800F")</f>
        <v>51513510800F</v>
      </c>
      <c r="E643" s="4">
        <f>IFERROR(__xludf.DUMMYFUNCTION("""COMPUTED_VALUE"""),0.0)</f>
        <v>0</v>
      </c>
      <c r="F643" s="4" t="str">
        <f>IFERROR(__xludf.DUMMYFUNCTION("""COMPUTED_VALUE"""),"DigiKey")</f>
        <v>DigiKey</v>
      </c>
      <c r="G643" s="4" t="str">
        <f>IFERROR(__xludf.DUMMYFUNCTION("""COMPUTED_VALUE"""),"350-4278-ND")</f>
        <v>350-4278-ND</v>
      </c>
      <c r="H643" s="4"/>
      <c r="I643" s="4"/>
      <c r="J643" s="4"/>
      <c r="K643" s="4"/>
      <c r="L643" s="4"/>
      <c r="M643" s="4"/>
      <c r="N643" s="9" t="str">
        <f>IFERROR(__xludf.DUMMYFUNCTION("""COMPUTED_VALUE"""),"OEPS020171")</f>
        <v>OEPS020171</v>
      </c>
      <c r="O643" s="4" t="str">
        <f>IFERROR(__xludf.DUMMYFUNCTION("""COMPUTED_VALUE"""),"ERA-2AEB201X")</f>
        <v>ERA-2AEB201X</v>
      </c>
      <c r="P643" s="4" t="str">
        <f>IFERROR(__xludf.DUMMYFUNCTION("""COMPUTED_VALUE"""),"18(Tp) ")</f>
        <v>18(Tp) </v>
      </c>
      <c r="Q643" s="4">
        <f>IFERROR(__xludf.DUMMYFUNCTION("""COMPUTED_VALUE"""),18.0)</f>
        <v>18</v>
      </c>
      <c r="R643" s="4">
        <f>IFERROR(__xludf.DUMMYFUNCTION("""COMPUTED_VALUE"""),18.0)</f>
        <v>18</v>
      </c>
      <c r="S643" s="4" t="str">
        <f>IFERROR(__xludf.DUMMYFUNCTION("""COMPUTED_VALUE"""),"Tape")</f>
        <v>Tape</v>
      </c>
      <c r="T643" s="4" t="str">
        <f>IFERROR(__xludf.DUMMYFUNCTION("""COMPUTED_VALUE"""),"0425")</f>
        <v>0425</v>
      </c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</row>
    <row r="644">
      <c r="A644" s="4" t="str">
        <f>IFERROR(__xludf.DUMMYFUNCTION("""COMPUTED_VALUE"""),"OTHER:   MicroPython pyboard v1.1   [PYBv1.1] [Populated PCB]")</f>
        <v>OTHER:   MicroPython pyboard v1.1   [PYBv1.1] [Populated PCB]</v>
      </c>
      <c r="B644" s="4" t="str">
        <f>IFERROR(__xludf.DUMMYFUNCTION("""COMPUTED_VALUE"""),"OEPS100045")</f>
        <v>OEPS100045</v>
      </c>
      <c r="C644" s="4" t="str">
        <f>IFERROR(__xludf.DUMMYFUNCTION("""COMPUTED_VALUE"""),"Populated PCB")</f>
        <v>Populated PCB</v>
      </c>
      <c r="D644" s="4" t="str">
        <f>IFERROR(__xludf.DUMMYFUNCTION("""COMPUTED_VALUE"""),"PYBv1.1")</f>
        <v>PYBv1.1</v>
      </c>
      <c r="E644" s="4">
        <f>IFERROR(__xludf.DUMMYFUNCTION("""COMPUTED_VALUE"""),0.0)</f>
        <v>0</v>
      </c>
      <c r="F644" s="4" t="str">
        <f>IFERROR(__xludf.DUMMYFUNCTION("""COMPUTED_VALUE"""),"George Robotics")</f>
        <v>George Robotics</v>
      </c>
      <c r="G644" s="4" t="str">
        <f>IFERROR(__xludf.DUMMYFUNCTION("""COMPUTED_VALUE"""),"PYBv1.1")</f>
        <v>PYBv1.1</v>
      </c>
      <c r="H644" s="4"/>
      <c r="I644" s="4"/>
      <c r="J644" s="4"/>
      <c r="K644" s="4"/>
      <c r="L644" s="4"/>
      <c r="M644" s="4"/>
      <c r="N644" s="9" t="str">
        <f>IFERROR(__xludf.DUMMYFUNCTION("""COMPUTED_VALUE"""),"OEPS020172")</f>
        <v>OEPS020172</v>
      </c>
      <c r="O644" s="4" t="str">
        <f>IFERROR(__xludf.DUMMYFUNCTION("""COMPUTED_VALUE"""),"TNPW1206100RBEEA")</f>
        <v>TNPW1206100RBEEA</v>
      </c>
      <c r="P644" s="4" t="str">
        <f>IFERROR(__xludf.DUMMYFUNCTION("""COMPUTED_VALUE"""),"9(Tp) ")</f>
        <v>9(Tp) </v>
      </c>
      <c r="Q644" s="4">
        <f>IFERROR(__xludf.DUMMYFUNCTION("""COMPUTED_VALUE"""),9.0)</f>
        <v>9</v>
      </c>
      <c r="R644" s="4">
        <f>IFERROR(__xludf.DUMMYFUNCTION("""COMPUTED_VALUE"""),9.0)</f>
        <v>9</v>
      </c>
      <c r="S644" s="4" t="str">
        <f>IFERROR(__xludf.DUMMYFUNCTION("""COMPUTED_VALUE"""),"Tape")</f>
        <v>Tape</v>
      </c>
      <c r="T644" s="4" t="str">
        <f>IFERROR(__xludf.DUMMYFUNCTION("""COMPUTED_VALUE"""),"0425")</f>
        <v>0425</v>
      </c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</row>
    <row r="645">
      <c r="A645" s="4" t="str">
        <f>IFERROR(__xludf.DUMMYFUNCTION("""COMPUTED_VALUE"""),"OTHER:   MikroElektronika GSR CLICK   [MIKROE-2860] [Populated PCB]")</f>
        <v>OTHER:   MikroElektronika GSR CLICK   [MIKROE-2860] [Populated PCB]</v>
      </c>
      <c r="B645" s="4" t="str">
        <f>IFERROR(__xludf.DUMMYFUNCTION("""COMPUTED_VALUE"""),"OEPS100039")</f>
        <v>OEPS100039</v>
      </c>
      <c r="C645" s="4" t="str">
        <f>IFERROR(__xludf.DUMMYFUNCTION("""COMPUTED_VALUE"""),"Populated PCB")</f>
        <v>Populated PCB</v>
      </c>
      <c r="D645" s="4" t="str">
        <f>IFERROR(__xludf.DUMMYFUNCTION("""COMPUTED_VALUE"""),"MIKROE-2860")</f>
        <v>MIKROE-2860</v>
      </c>
      <c r="E645" s="4">
        <f>IFERROR(__xludf.DUMMYFUNCTION("""COMPUTED_VALUE"""),0.0)</f>
        <v>0</v>
      </c>
      <c r="F645" s="4" t="str">
        <f>IFERROR(__xludf.DUMMYFUNCTION("""COMPUTED_VALUE"""),"DigiKey")</f>
        <v>DigiKey</v>
      </c>
      <c r="G645" s="4" t="str">
        <f>IFERROR(__xludf.DUMMYFUNCTION("""COMPUTED_VALUE"""),"1471-1911-ND")</f>
        <v>1471-1911-ND</v>
      </c>
      <c r="H645" s="4"/>
      <c r="I645" s="4"/>
      <c r="J645" s="4"/>
      <c r="K645" s="4"/>
      <c r="L645" s="4"/>
      <c r="M645" s="4"/>
      <c r="N645" s="9" t="str">
        <f>IFERROR(__xludf.DUMMYFUNCTION("""COMPUTED_VALUE"""),"OEPS020173")</f>
        <v>OEPS020173</v>
      </c>
      <c r="O645" s="4" t="str">
        <f>IFERROR(__xludf.DUMMYFUNCTION("""COMPUTED_VALUE"""),"ERJ-2RKF5101X")</f>
        <v>ERJ-2RKF5101X</v>
      </c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</row>
    <row r="646">
      <c r="A646" s="4" t="str">
        <f>IFERROR(__xludf.DUMMYFUNCTION("""COMPUTED_VALUE"""),"OTHER:   MODULE TinyFPGA BX board   [DEV-14829] [Populated PCB]")</f>
        <v>OTHER:   MODULE TinyFPGA BX board   [DEV-14829] [Populated PCB]</v>
      </c>
      <c r="B646" s="4" t="str">
        <f>IFERROR(__xludf.DUMMYFUNCTION("""COMPUTED_VALUE"""),"OEPS100004")</f>
        <v>OEPS100004</v>
      </c>
      <c r="C646" s="4" t="str">
        <f>IFERROR(__xludf.DUMMYFUNCTION("""COMPUTED_VALUE"""),"Populated PCB")</f>
        <v>Populated PCB</v>
      </c>
      <c r="D646" s="4" t="str">
        <f>IFERROR(__xludf.DUMMYFUNCTION("""COMPUTED_VALUE"""),"DEV-14829")</f>
        <v>DEV-14829</v>
      </c>
      <c r="E646" s="4">
        <f>IFERROR(__xludf.DUMMYFUNCTION("""COMPUTED_VALUE"""),1.0)</f>
        <v>1</v>
      </c>
      <c r="F646" s="4" t="str">
        <f>IFERROR(__xludf.DUMMYFUNCTION("""COMPUTED_VALUE"""),"DigiKey")</f>
        <v>DigiKey</v>
      </c>
      <c r="G646" s="4" t="str">
        <f>IFERROR(__xludf.DUMMYFUNCTION("""COMPUTED_VALUE"""),"1568-1916-ND")</f>
        <v>1568-1916-ND</v>
      </c>
      <c r="H646" s="4"/>
      <c r="I646" s="4"/>
      <c r="J646" s="4"/>
      <c r="K646" s="4"/>
      <c r="L646" s="4"/>
      <c r="M646" s="4"/>
      <c r="N646" s="9" t="str">
        <f>IFERROR(__xludf.DUMMYFUNCTION("""COMPUTED_VALUE"""),"OEPS020174")</f>
        <v>OEPS020174</v>
      </c>
      <c r="O646" s="4" t="str">
        <f>IFERROR(__xludf.DUMMYFUNCTION("""COMPUTED_VALUE"""),"ERJ-2RKF2201X")</f>
        <v>ERJ-2RKF2201X</v>
      </c>
      <c r="P646" s="4" t="str">
        <f>IFERROR(__xludf.DUMMYFUNCTION("""COMPUTED_VALUE"""),"8(Tp) 2(Tp) ")</f>
        <v>8(Tp) 2(Tp) </v>
      </c>
      <c r="Q646" s="4">
        <f>IFERROR(__xludf.DUMMYFUNCTION("""COMPUTED_VALUE"""),10.0)</f>
        <v>10</v>
      </c>
      <c r="R646" s="4">
        <f>IFERROR(__xludf.DUMMYFUNCTION("""COMPUTED_VALUE"""),8.0)</f>
        <v>8</v>
      </c>
      <c r="S646" s="4" t="str">
        <f>IFERROR(__xludf.DUMMYFUNCTION("""COMPUTED_VALUE"""),"Tape")</f>
        <v>Tape</v>
      </c>
      <c r="T646" s="4" t="str">
        <f>IFERROR(__xludf.DUMMYFUNCTION("""COMPUTED_VALUE"""),"0825")</f>
        <v>0825</v>
      </c>
      <c r="U646" s="4">
        <f>IFERROR(__xludf.DUMMYFUNCTION("""COMPUTED_VALUE"""),2.0)</f>
        <v>2</v>
      </c>
      <c r="V646" s="4" t="str">
        <f>IFERROR(__xludf.DUMMYFUNCTION("""COMPUTED_VALUE"""),"Tape")</f>
        <v>Tape</v>
      </c>
      <c r="W646" s="4" t="str">
        <f>IFERROR(__xludf.DUMMYFUNCTION("""COMPUTED_VALUE"""),"0825")</f>
        <v>0825</v>
      </c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</row>
    <row r="647">
      <c r="A647" s="4" t="str">
        <f>IFERROR(__xludf.DUMMYFUNCTION("""COMPUTED_VALUE"""),"OTHER:   OPTICAL IR sensor (OEPS K01 022A)   [GP1A57HRJ00F] [TH]")</f>
        <v>OTHER:   OPTICAL IR sensor (OEPS K01 022A)   [GP1A57HRJ00F] [TH]</v>
      </c>
      <c r="B647" s="4" t="str">
        <f>IFERROR(__xludf.DUMMYFUNCTION("""COMPUTED_VALUE"""),"OEPS100063")</f>
        <v>OEPS100063</v>
      </c>
      <c r="C647" s="4" t="str">
        <f>IFERROR(__xludf.DUMMYFUNCTION("""COMPUTED_VALUE"""),"TH")</f>
        <v>TH</v>
      </c>
      <c r="D647" s="4" t="str">
        <f>IFERROR(__xludf.DUMMYFUNCTION("""COMPUTED_VALUE"""),"GP1A57HRJ00F")</f>
        <v>GP1A57HRJ00F</v>
      </c>
      <c r="E647" s="4">
        <f>IFERROR(__xludf.DUMMYFUNCTION("""COMPUTED_VALUE"""),1.0)</f>
        <v>1</v>
      </c>
      <c r="F647" s="4" t="str">
        <f>IFERROR(__xludf.DUMMYFUNCTION("""COMPUTED_VALUE"""),"Digikey")</f>
        <v>Digikey</v>
      </c>
      <c r="G647" s="4" t="str">
        <f>IFERROR(__xludf.DUMMYFUNCTION("""COMPUTED_VALUE"""),"1855-1043-ND")</f>
        <v>1855-1043-ND</v>
      </c>
      <c r="H647" s="4"/>
      <c r="I647" s="4"/>
      <c r="J647" s="4"/>
      <c r="K647" s="4"/>
      <c r="L647" s="4"/>
      <c r="M647" s="4"/>
      <c r="N647" s="9" t="str">
        <f>IFERROR(__xludf.DUMMYFUNCTION("""COMPUTED_VALUE"""),"OEPS020175")</f>
        <v>OEPS020175</v>
      </c>
      <c r="O647" s="4" t="str">
        <f>IFERROR(__xludf.DUMMYFUNCTION("""COMPUTED_VALUE"""),"RG1005P-104-B-T5")</f>
        <v>RG1005P-104-B-T5</v>
      </c>
      <c r="P647" s="4" t="str">
        <f>IFERROR(__xludf.DUMMYFUNCTION("""COMPUTED_VALUE"""),"3(Tp) 5(Tp) ")</f>
        <v>3(Tp) 5(Tp) </v>
      </c>
      <c r="Q647" s="4">
        <f>IFERROR(__xludf.DUMMYFUNCTION("""COMPUTED_VALUE"""),8.0)</f>
        <v>8</v>
      </c>
      <c r="R647" s="4">
        <f>IFERROR(__xludf.DUMMYFUNCTION("""COMPUTED_VALUE"""),3.0)</f>
        <v>3</v>
      </c>
      <c r="S647" s="4" t="str">
        <f>IFERROR(__xludf.DUMMYFUNCTION("""COMPUTED_VALUE"""),"Tape")</f>
        <v>Tape</v>
      </c>
      <c r="T647" s="4" t="str">
        <f>IFERROR(__xludf.DUMMYFUNCTION("""COMPUTED_VALUE"""),"0425")</f>
        <v>0425</v>
      </c>
      <c r="U647" s="4">
        <f>IFERROR(__xludf.DUMMYFUNCTION("""COMPUTED_VALUE"""),5.0)</f>
        <v>5</v>
      </c>
      <c r="V647" s="4" t="str">
        <f>IFERROR(__xludf.DUMMYFUNCTION("""COMPUTED_VALUE"""),"Tape")</f>
        <v>Tape</v>
      </c>
      <c r="W647" s="4" t="str">
        <f>IFERROR(__xludf.DUMMYFUNCTION("""COMPUTED_VALUE"""),"0825")</f>
        <v>0825</v>
      </c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</row>
    <row r="648">
      <c r="A648" s="4" t="str">
        <f>IFERROR(__xludf.DUMMYFUNCTION("""COMPUTED_VALUE"""),"OTHER:   PROBE HEAD 3A - Spear Head   [P25-0123] [Other]")</f>
        <v>OTHER:   PROBE HEAD 3A - Spear Head   [P25-0123] [Other]</v>
      </c>
      <c r="B648" s="4" t="str">
        <f>IFERROR(__xludf.DUMMYFUNCTION("""COMPUTED_VALUE"""),"OEPS100084")</f>
        <v>OEPS100084</v>
      </c>
      <c r="C648" s="4" t="str">
        <f>IFERROR(__xludf.DUMMYFUNCTION("""COMPUTED_VALUE"""),"Other")</f>
        <v>Other</v>
      </c>
      <c r="D648" s="4" t="str">
        <f>IFERROR(__xludf.DUMMYFUNCTION("""COMPUTED_VALUE"""),"P25-0123")</f>
        <v>P25-0123</v>
      </c>
      <c r="E648" s="4">
        <f>IFERROR(__xludf.DUMMYFUNCTION("""COMPUTED_VALUE"""),0.0)</f>
        <v>0</v>
      </c>
      <c r="F648" s="4" t="str">
        <f>IFERROR(__xludf.DUMMYFUNCTION("""COMPUTED_VALUE"""),"Digikey")</f>
        <v>Digikey</v>
      </c>
      <c r="G648" s="4" t="str">
        <f>IFERROR(__xludf.DUMMYFUNCTION("""COMPUTED_VALUE"""),"952-1888-ND")</f>
        <v>952-1888-ND</v>
      </c>
      <c r="H648" s="4"/>
      <c r="I648" s="4"/>
      <c r="J648" s="4"/>
      <c r="K648" s="4"/>
      <c r="L648" s="4"/>
      <c r="M648" s="4"/>
      <c r="N648" s="9" t="str">
        <f>IFERROR(__xludf.DUMMYFUNCTION("""COMPUTED_VALUE"""),"OEPS020176")</f>
        <v>OEPS020176</v>
      </c>
      <c r="O648" s="4" t="str">
        <f>IFERROR(__xludf.DUMMYFUNCTION("""COMPUTED_VALUE"""),"RC0402FR-13680KL")</f>
        <v>RC0402FR-13680KL</v>
      </c>
      <c r="P648" s="4" t="str">
        <f>IFERROR(__xludf.DUMMYFUNCTION("""COMPUTED_VALUE"""),"9(Tp) ")</f>
        <v>9(Tp) </v>
      </c>
      <c r="Q648" s="4">
        <f>IFERROR(__xludf.DUMMYFUNCTION("""COMPUTED_VALUE"""),9.0)</f>
        <v>9</v>
      </c>
      <c r="R648" s="4">
        <f>IFERROR(__xludf.DUMMYFUNCTION("""COMPUTED_VALUE"""),9.0)</f>
        <v>9</v>
      </c>
      <c r="S648" s="4" t="str">
        <f>IFERROR(__xludf.DUMMYFUNCTION("""COMPUTED_VALUE"""),"Tape")</f>
        <v>Tape</v>
      </c>
      <c r="T648" s="4" t="str">
        <f>IFERROR(__xludf.DUMMYFUNCTION("""COMPUTED_VALUE"""),"0425")</f>
        <v>0425</v>
      </c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</row>
    <row r="649">
      <c r="A649" s="4" t="str">
        <f>IFERROR(__xludf.DUMMYFUNCTION("""COMPUTED_VALUE"""),"OTHER:   PROBE HEAD 3A - Spherical Radius Head   [P25-0423] [Other]")</f>
        <v>OTHER:   PROBE HEAD 3A - Spherical Radius Head   [P25-0423] [Other]</v>
      </c>
      <c r="B649" s="4" t="str">
        <f>IFERROR(__xludf.DUMMYFUNCTION("""COMPUTED_VALUE"""),"OEPS100082")</f>
        <v>OEPS100082</v>
      </c>
      <c r="C649" s="4" t="str">
        <f>IFERROR(__xludf.DUMMYFUNCTION("""COMPUTED_VALUE"""),"Other")</f>
        <v>Other</v>
      </c>
      <c r="D649" s="4" t="str">
        <f>IFERROR(__xludf.DUMMYFUNCTION("""COMPUTED_VALUE"""),"P25-0423")</f>
        <v>P25-0423</v>
      </c>
      <c r="E649" s="4">
        <f>IFERROR(__xludf.DUMMYFUNCTION("""COMPUTED_VALUE"""),0.0)</f>
        <v>0</v>
      </c>
      <c r="F649" s="4" t="str">
        <f>IFERROR(__xludf.DUMMYFUNCTION("""COMPUTED_VALUE"""),"Digikey")</f>
        <v>Digikey</v>
      </c>
      <c r="G649" s="4" t="str">
        <f>IFERROR(__xludf.DUMMYFUNCTION("""COMPUTED_VALUE"""),"952-2606-ND")</f>
        <v>952-2606-ND</v>
      </c>
      <c r="H649" s="4"/>
      <c r="I649" s="4"/>
      <c r="J649" s="4"/>
      <c r="K649" s="4"/>
      <c r="L649" s="4"/>
      <c r="M649" s="4"/>
      <c r="N649" s="9" t="str">
        <f>IFERROR(__xludf.DUMMYFUNCTION("""COMPUTED_VALUE"""),"OEPS020179")</f>
        <v>OEPS020179</v>
      </c>
      <c r="O649" s="4" t="str">
        <f>IFERROR(__xludf.DUMMYFUNCTION("""COMPUTED_VALUE"""),"MCPWR05FTEW2002")</f>
        <v>MCPWR05FTEW2002</v>
      </c>
      <c r="P649" s="4" t="str">
        <f>IFERROR(__xludf.DUMMYFUNCTION("""COMPUTED_VALUE"""),"9(Tp) ")</f>
        <v>9(Tp) </v>
      </c>
      <c r="Q649" s="4">
        <f>IFERROR(__xludf.DUMMYFUNCTION("""COMPUTED_VALUE"""),9.0)</f>
        <v>9</v>
      </c>
      <c r="R649" s="4">
        <f>IFERROR(__xludf.DUMMYFUNCTION("""COMPUTED_VALUE"""),9.0)</f>
        <v>9</v>
      </c>
      <c r="S649" s="4" t="str">
        <f>IFERROR(__xludf.DUMMYFUNCTION("""COMPUTED_VALUE"""),"Tape")</f>
        <v>Tape</v>
      </c>
      <c r="T649" s="4" t="str">
        <f>IFERROR(__xludf.DUMMYFUNCTION("""COMPUTED_VALUE"""),"XXXX")</f>
        <v>XXXX</v>
      </c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</row>
    <row r="650">
      <c r="A650" s="4" t="str">
        <f>IFERROR(__xludf.DUMMYFUNCTION("""COMPUTED_VALUE"""),"OTHER:   PROBE HEAD 3A - Star Head   [P25-5223] [Other]")</f>
        <v>OTHER:   PROBE HEAD 3A - Star Head   [P25-5223] [Other]</v>
      </c>
      <c r="B650" s="4" t="str">
        <f>IFERROR(__xludf.DUMMYFUNCTION("""COMPUTED_VALUE"""),"OEPS100083")</f>
        <v>OEPS100083</v>
      </c>
      <c r="C650" s="4" t="str">
        <f>IFERROR(__xludf.DUMMYFUNCTION("""COMPUTED_VALUE"""),"Other")</f>
        <v>Other</v>
      </c>
      <c r="D650" s="4" t="str">
        <f>IFERROR(__xludf.DUMMYFUNCTION("""COMPUTED_VALUE"""),"P25-5223")</f>
        <v>P25-5223</v>
      </c>
      <c r="E650" s="4">
        <f>IFERROR(__xludf.DUMMYFUNCTION("""COMPUTED_VALUE"""),0.0)</f>
        <v>0</v>
      </c>
      <c r="F650" s="4" t="str">
        <f>IFERROR(__xludf.DUMMYFUNCTION("""COMPUTED_VALUE"""),"Digikey")</f>
        <v>Digikey</v>
      </c>
      <c r="G650" s="4" t="str">
        <f>IFERROR(__xludf.DUMMYFUNCTION("""COMPUTED_VALUE"""),"952-2609-ND")</f>
        <v>952-2609-ND</v>
      </c>
      <c r="H650" s="4"/>
      <c r="I650" s="4"/>
      <c r="J650" s="4"/>
      <c r="K650" s="4"/>
      <c r="L650" s="4"/>
      <c r="M650" s="4"/>
      <c r="N650" s="9" t="str">
        <f>IFERROR(__xludf.DUMMYFUNCTION("""COMPUTED_VALUE"""),"OEPS020180")</f>
        <v>OEPS020180</v>
      </c>
      <c r="O650" s="4" t="str">
        <f>IFERROR(__xludf.DUMMYFUNCTION("""COMPUTED_VALUE"""),"MCWR08X1003FTL")</f>
        <v>MCWR08X1003FTL</v>
      </c>
      <c r="P650" s="4" t="str">
        <f>IFERROR(__xludf.DUMMYFUNCTION("""COMPUTED_VALUE"""),"3(Tp) ")</f>
        <v>3(Tp) </v>
      </c>
      <c r="Q650" s="4">
        <f>IFERROR(__xludf.DUMMYFUNCTION("""COMPUTED_VALUE"""),3.0)</f>
        <v>3</v>
      </c>
      <c r="R650" s="4">
        <f>IFERROR(__xludf.DUMMYFUNCTION("""COMPUTED_VALUE"""),3.0)</f>
        <v>3</v>
      </c>
      <c r="S650" s="4" t="str">
        <f>IFERROR(__xludf.DUMMYFUNCTION("""COMPUTED_VALUE"""),"Tape")</f>
        <v>Tape</v>
      </c>
      <c r="T650" s="4" t="str">
        <f>IFERROR(__xludf.DUMMYFUNCTION("""COMPUTED_VALUE"""),"XXXX")</f>
        <v>XXXX</v>
      </c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</row>
    <row r="651">
      <c r="A651" s="4" t="str">
        <f>IFERROR(__xludf.DUMMYFUNCTION("""COMPUTED_VALUE"""),"OTHER:   PTC RESET FUSE 60V 140MA 1812   [MINISMDC014F-2] [Other]")</f>
        <v>OTHER:   PTC RESET FUSE 60V 140MA 1812   [MINISMDC014F-2] [Other]</v>
      </c>
      <c r="B651" s="4" t="str">
        <f>IFERROR(__xludf.DUMMYFUNCTION("""COMPUTED_VALUE"""),"OEPS100088")</f>
        <v>OEPS100088</v>
      </c>
      <c r="C651" s="4" t="str">
        <f>IFERROR(__xludf.DUMMYFUNCTION("""COMPUTED_VALUE"""),"Other")</f>
        <v>Other</v>
      </c>
      <c r="D651" s="4" t="str">
        <f>IFERROR(__xludf.DUMMYFUNCTION("""COMPUTED_VALUE"""),"MINISMDC014F-2")</f>
        <v>MINISMDC014F-2</v>
      </c>
      <c r="E651" s="4">
        <f>IFERROR(__xludf.DUMMYFUNCTION("""COMPUTED_VALUE"""),10.0)</f>
        <v>10</v>
      </c>
      <c r="F651" s="4" t="str">
        <f>IFERROR(__xludf.DUMMYFUNCTION("""COMPUTED_VALUE"""),"DigiKey")</f>
        <v>DigiKey</v>
      </c>
      <c r="G651" s="4" t="str">
        <f>IFERROR(__xludf.DUMMYFUNCTION("""COMPUTED_VALUE"""),"MINISMDC014F-2DKR-ND")</f>
        <v>MINISMDC014F-2DKR-ND</v>
      </c>
      <c r="H651" s="4"/>
      <c r="I651" s="4"/>
      <c r="J651" s="4"/>
      <c r="K651" s="4"/>
      <c r="L651" s="4"/>
      <c r="M651" s="4"/>
      <c r="N651" s="9" t="str">
        <f>IFERROR(__xludf.DUMMYFUNCTION("""COMPUTED_VALUE"""),"OEPS020182")</f>
        <v>OEPS020182</v>
      </c>
      <c r="O651" s="4" t="str">
        <f>IFERROR(__xludf.DUMMYFUNCTION("""COMPUTED_VALUE"""),"MCWR08W4704FTL")</f>
        <v>MCWR08W4704FTL</v>
      </c>
      <c r="P651" s="4" t="str">
        <f>IFERROR(__xludf.DUMMYFUNCTION("""COMPUTED_VALUE"""),"7(Tp) ")</f>
        <v>7(Tp) </v>
      </c>
      <c r="Q651" s="4">
        <f>IFERROR(__xludf.DUMMYFUNCTION("""COMPUTED_VALUE"""),7.0)</f>
        <v>7</v>
      </c>
      <c r="R651" s="4">
        <f>IFERROR(__xludf.DUMMYFUNCTION("""COMPUTED_VALUE"""),7.0)</f>
        <v>7</v>
      </c>
      <c r="S651" s="4" t="str">
        <f>IFERROR(__xludf.DUMMYFUNCTION("""COMPUTED_VALUE"""),"Tape")</f>
        <v>Tape</v>
      </c>
      <c r="T651" s="4" t="str">
        <f>IFERROR(__xludf.DUMMYFUNCTION("""COMPUTED_VALUE"""),"XXXX")</f>
        <v>XXXX</v>
      </c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</row>
    <row r="652">
      <c r="A652" s="4" t="str">
        <f>IFERROR(__xludf.DUMMYFUNCTION("""COMPUTED_VALUE"""),"OTHER:   PTC RESET FUSE 6V 200mA 0402   [0402L020SLKR] [SMD]")</f>
        <v>OTHER:   PTC RESET FUSE 6V 200mA 0402   [0402L020SLKR] [SMD]</v>
      </c>
      <c r="B652" s="4" t="str">
        <f>IFERROR(__xludf.DUMMYFUNCTION("""COMPUTED_VALUE"""),"OEPS100046")</f>
        <v>OEPS100046</v>
      </c>
      <c r="C652" s="4" t="str">
        <f>IFERROR(__xludf.DUMMYFUNCTION("""COMPUTED_VALUE"""),"SMD")</f>
        <v>SMD</v>
      </c>
      <c r="D652" s="4" t="str">
        <f>IFERROR(__xludf.DUMMYFUNCTION("""COMPUTED_VALUE"""),"0402L020SLKR")</f>
        <v>0402L020SLKR</v>
      </c>
      <c r="E652" s="4">
        <f>IFERROR(__xludf.DUMMYFUNCTION("""COMPUTED_VALUE"""),30.0)</f>
        <v>30</v>
      </c>
      <c r="F652" s="4" t="str">
        <f>IFERROR(__xludf.DUMMYFUNCTION("""COMPUTED_VALUE"""),"DigiKey")</f>
        <v>DigiKey</v>
      </c>
      <c r="G652" s="4" t="str">
        <f>IFERROR(__xludf.DUMMYFUNCTION("""COMPUTED_VALUE"""),"F5757DKR-ND")</f>
        <v>F5757DKR-ND</v>
      </c>
      <c r="H652" s="4"/>
      <c r="I652" s="4"/>
      <c r="J652" s="4"/>
      <c r="K652" s="4"/>
      <c r="L652" s="4"/>
      <c r="M652" s="4"/>
      <c r="N652" s="9" t="str">
        <f>IFERROR(__xludf.DUMMYFUNCTION("""COMPUTED_VALUE"""),"OEPS020183")</f>
        <v>OEPS020183</v>
      </c>
      <c r="O652" s="4" t="str">
        <f>IFERROR(__xludf.DUMMYFUNCTION("""COMPUTED_VALUE"""),"SG73P1JTTD2R00F")</f>
        <v>SG73P1JTTD2R00F</v>
      </c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</row>
    <row r="653">
      <c r="A653" s="4" t="str">
        <f>IFERROR(__xludf.DUMMYFUNCTION("""COMPUTED_VALUE"""),"OTHER:   RELAY DPDT 1A 5V RF   [G6K-2F-RF DC5] [SMD]")</f>
        <v>OTHER:   RELAY DPDT 1A 5V RF   [G6K-2F-RF DC5] [SMD]</v>
      </c>
      <c r="B653" s="4" t="str">
        <f>IFERROR(__xludf.DUMMYFUNCTION("""COMPUTED_VALUE"""),"OEPS100010")</f>
        <v>OEPS100010</v>
      </c>
      <c r="C653" s="4" t="str">
        <f>IFERROR(__xludf.DUMMYFUNCTION("""COMPUTED_VALUE"""),"SMD")</f>
        <v>SMD</v>
      </c>
      <c r="D653" s="4" t="str">
        <f>IFERROR(__xludf.DUMMYFUNCTION("""COMPUTED_VALUE"""),"G6K-2F-RF DC5")</f>
        <v>G6K-2F-RF DC5</v>
      </c>
      <c r="E653" s="4">
        <f>IFERROR(__xludf.DUMMYFUNCTION("""COMPUTED_VALUE"""),1.0)</f>
        <v>1</v>
      </c>
      <c r="F653" s="4" t="str">
        <f>IFERROR(__xludf.DUMMYFUNCTION("""COMPUTED_VALUE"""),"DigiKey")</f>
        <v>DigiKey</v>
      </c>
      <c r="G653" s="4" t="str">
        <f>IFERROR(__xludf.DUMMYFUNCTION("""COMPUTED_VALUE"""),"Z2037-ND")</f>
        <v>Z2037-ND</v>
      </c>
      <c r="H653" s="4"/>
      <c r="I653" s="4"/>
      <c r="J653" s="4"/>
      <c r="K653" s="4"/>
      <c r="L653" s="4"/>
      <c r="M653" s="4"/>
      <c r="N653" s="9" t="str">
        <f>IFERROR(__xludf.DUMMYFUNCTION("""COMPUTED_VALUE"""),"OEPS020184")</f>
        <v>OEPS020184</v>
      </c>
      <c r="O653" s="4" t="str">
        <f>IFERROR(__xludf.DUMMYFUNCTION("""COMPUTED_VALUE"""),"RC0603FR-074M7L")</f>
        <v>RC0603FR-074M7L</v>
      </c>
      <c r="P653" s="4" t="str">
        <f>IFERROR(__xludf.DUMMYFUNCTION("""COMPUTED_VALUE"""),"10(Tp) ")</f>
        <v>10(Tp) </v>
      </c>
      <c r="Q653" s="4">
        <f>IFERROR(__xludf.DUMMYFUNCTION("""COMPUTED_VALUE"""),10.0)</f>
        <v>10</v>
      </c>
      <c r="R653" s="4">
        <f>IFERROR(__xludf.DUMMYFUNCTION("""COMPUTED_VALUE"""),10.0)</f>
        <v>10</v>
      </c>
      <c r="S653" s="4" t="str">
        <f>IFERROR(__xludf.DUMMYFUNCTION("""COMPUTED_VALUE"""),"Tape")</f>
        <v>Tape</v>
      </c>
      <c r="T653" s="4" t="str">
        <f>IFERROR(__xludf.DUMMYFUNCTION("""COMPUTED_VALUE"""),"0425")</f>
        <v>0425</v>
      </c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</row>
    <row r="654">
      <c r="A654" s="4" t="str">
        <f>IFERROR(__xludf.DUMMYFUNCTION("""COMPUTED_VALUE"""),"OTHER:   RELAY DPDT 1A 5V RF   [G6K-2F-RF-S-TR03 DC5] [SMD]")</f>
        <v>OTHER:   RELAY DPDT 1A 5V RF   [G6K-2F-RF-S-TR03 DC5] [SMD]</v>
      </c>
      <c r="B654" s="4" t="str">
        <f>IFERROR(__xludf.DUMMYFUNCTION("""COMPUTED_VALUE"""),"OEPS100001")</f>
        <v>OEPS100001</v>
      </c>
      <c r="C654" s="4" t="str">
        <f>IFERROR(__xludf.DUMMYFUNCTION("""COMPUTED_VALUE"""),"SMD")</f>
        <v>SMD</v>
      </c>
      <c r="D654" s="4" t="str">
        <f>IFERROR(__xludf.DUMMYFUNCTION("""COMPUTED_VALUE"""),"G6K-2F-RF-S-TR03 DC5")</f>
        <v>G6K-2F-RF-S-TR03 DC5</v>
      </c>
      <c r="E654" s="4">
        <f>IFERROR(__xludf.DUMMYFUNCTION("""COMPUTED_VALUE"""),1.0)</f>
        <v>1</v>
      </c>
      <c r="F654" s="4" t="str">
        <f>IFERROR(__xludf.DUMMYFUNCTION("""COMPUTED_VALUE"""),"DigiKey")</f>
        <v>DigiKey</v>
      </c>
      <c r="G654" s="4" t="str">
        <f>IFERROR(__xludf.DUMMYFUNCTION("""COMPUTED_VALUE"""),"Z6088DKR-ND")</f>
        <v>Z6088DKR-ND</v>
      </c>
      <c r="H654" s="4"/>
      <c r="I654" s="4"/>
      <c r="J654" s="4"/>
      <c r="K654" s="4"/>
      <c r="L654" s="4"/>
      <c r="M654" s="4"/>
      <c r="N654" s="9" t="str">
        <f>IFERROR(__xludf.DUMMYFUNCTION("""COMPUTED_VALUE"""),"OEPS020185")</f>
        <v>OEPS020185</v>
      </c>
      <c r="O654" s="4" t="str">
        <f>IFERROR(__xludf.DUMMYFUNCTION("""COMPUTED_VALUE"""),"RC060FR-0782KL")</f>
        <v>RC060FR-0782KL</v>
      </c>
      <c r="P654" s="4" t="str">
        <f>IFERROR(__xludf.DUMMYFUNCTION("""COMPUTED_VALUE"""),"10(Tp) ")</f>
        <v>10(Tp) </v>
      </c>
      <c r="Q654" s="4">
        <f>IFERROR(__xludf.DUMMYFUNCTION("""COMPUTED_VALUE"""),10.0)</f>
        <v>10</v>
      </c>
      <c r="R654" s="4">
        <f>IFERROR(__xludf.DUMMYFUNCTION("""COMPUTED_VALUE"""),10.0)</f>
        <v>10</v>
      </c>
      <c r="S654" s="4" t="str">
        <f>IFERROR(__xludf.DUMMYFUNCTION("""COMPUTED_VALUE"""),"Tape")</f>
        <v>Tape</v>
      </c>
      <c r="T654" s="4" t="str">
        <f>IFERROR(__xludf.DUMMYFUNCTION("""COMPUTED_VALUE"""),"0425")</f>
        <v>0425</v>
      </c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</row>
    <row r="655">
      <c r="A655" s="4" t="str">
        <f>IFERROR(__xludf.DUMMYFUNCTION("""COMPUTED_VALUE"""),"OTHER:   RELAY DPDT 1A 5V RF   [UB2-5NUN-L] [SMD]")</f>
        <v>OTHER:   RELAY DPDT 1A 5V RF   [UB2-5NUN-L] [SMD]</v>
      </c>
      <c r="B655" s="4" t="str">
        <f>IFERROR(__xludf.DUMMYFUNCTION("""COMPUTED_VALUE"""),"OEPS100047")</f>
        <v>OEPS100047</v>
      </c>
      <c r="C655" s="4" t="str">
        <f>IFERROR(__xludf.DUMMYFUNCTION("""COMPUTED_VALUE"""),"SMD")</f>
        <v>SMD</v>
      </c>
      <c r="D655" s="4" t="str">
        <f>IFERROR(__xludf.DUMMYFUNCTION("""COMPUTED_VALUE"""),"UB2-5NUN-L")</f>
        <v>UB2-5NUN-L</v>
      </c>
      <c r="E655" s="4">
        <f>IFERROR(__xludf.DUMMYFUNCTION("""COMPUTED_VALUE"""),1.0)</f>
        <v>1</v>
      </c>
      <c r="F655" s="4" t="str">
        <f>IFERROR(__xludf.DUMMYFUNCTION("""COMPUTED_VALUE"""),"DigiKey")</f>
        <v>DigiKey</v>
      </c>
      <c r="G655" s="4" t="str">
        <f>IFERROR(__xludf.DUMMYFUNCTION("""COMPUTED_VALUE"""),"399-UB2-5NUN-LCT-ND")</f>
        <v>399-UB2-5NUN-LCT-ND</v>
      </c>
      <c r="H655" s="4"/>
      <c r="I655" s="4"/>
      <c r="J655" s="4"/>
      <c r="K655" s="4"/>
      <c r="L655" s="4"/>
      <c r="M655" s="4"/>
      <c r="N655" s="9" t="str">
        <f>IFERROR(__xludf.DUMMYFUNCTION("""COMPUTED_VALUE"""),"OEPS020190")</f>
        <v>OEPS020190</v>
      </c>
      <c r="O655" s="4" t="str">
        <f>IFERROR(__xludf.DUMMYFUNCTION("""COMPUTED_VALUE"""),"CRCW04021K27FKED")</f>
        <v>CRCW04021K27FKED</v>
      </c>
      <c r="P655" s="4" t="str">
        <f>IFERROR(__xludf.DUMMYFUNCTION("""COMPUTED_VALUE"""),"8(Tp) 1(Tp) ")</f>
        <v>8(Tp) 1(Tp) </v>
      </c>
      <c r="Q655" s="4">
        <f>IFERROR(__xludf.DUMMYFUNCTION("""COMPUTED_VALUE"""),9.0)</f>
        <v>9</v>
      </c>
      <c r="R655" s="4">
        <f>IFERROR(__xludf.DUMMYFUNCTION("""COMPUTED_VALUE"""),8.0)</f>
        <v>8</v>
      </c>
      <c r="S655" s="4" t="str">
        <f>IFERROR(__xludf.DUMMYFUNCTION("""COMPUTED_VALUE"""),"Tape")</f>
        <v>Tape</v>
      </c>
      <c r="T655" s="4" t="str">
        <f>IFERROR(__xludf.DUMMYFUNCTION("""COMPUTED_VALUE"""),"0825")</f>
        <v>0825</v>
      </c>
      <c r="U655" s="4">
        <f>IFERROR(__xludf.DUMMYFUNCTION("""COMPUTED_VALUE"""),1.0)</f>
        <v>1</v>
      </c>
      <c r="V655" s="4" t="str">
        <f>IFERROR(__xludf.DUMMYFUNCTION("""COMPUTED_VALUE"""),"Tape")</f>
        <v>Tape</v>
      </c>
      <c r="W655" s="4" t="str">
        <f>IFERROR(__xludf.DUMMYFUNCTION("""COMPUTED_VALUE"""),"0825")</f>
        <v>0825</v>
      </c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</row>
    <row r="656">
      <c r="A656" s="4" t="str">
        <f>IFERROR(__xludf.DUMMYFUNCTION("""COMPUTED_VALUE"""),"OTHER:   RELAY SPDT 2A 5V TELECOM   [1462042-8] [SMD]")</f>
        <v>OTHER:   RELAY SPDT 2A 5V TELECOM   [1462042-8] [SMD]</v>
      </c>
      <c r="B656" s="4" t="str">
        <f>IFERROR(__xludf.DUMMYFUNCTION("""COMPUTED_VALUE"""),"OEPS100078")</f>
        <v>OEPS100078</v>
      </c>
      <c r="C656" s="4" t="str">
        <f>IFERROR(__xludf.DUMMYFUNCTION("""COMPUTED_VALUE"""),"SMD")</f>
        <v>SMD</v>
      </c>
      <c r="D656" s="4" t="str">
        <f>IFERROR(__xludf.DUMMYFUNCTION("""COMPUTED_VALUE"""),"1462042-8")</f>
        <v>1462042-8</v>
      </c>
      <c r="E656" s="4">
        <f>IFERROR(__xludf.DUMMYFUNCTION("""COMPUTED_VALUE"""),1.0)</f>
        <v>1</v>
      </c>
      <c r="F656" s="4" t="str">
        <f>IFERROR(__xludf.DUMMYFUNCTION("""COMPUTED_VALUE"""),"Digikey")</f>
        <v>Digikey</v>
      </c>
      <c r="G656" s="4" t="str">
        <f>IFERROR(__xludf.DUMMYFUNCTION("""COMPUTED_VALUE"""),"PB1249DKR-ND")</f>
        <v>PB1249DKR-ND</v>
      </c>
      <c r="H656" s="4"/>
      <c r="I656" s="4"/>
      <c r="J656" s="4"/>
      <c r="K656" s="4"/>
      <c r="L656" s="4"/>
      <c r="M656" s="4"/>
      <c r="N656" s="9" t="str">
        <f>IFERROR(__xludf.DUMMYFUNCTION("""COMPUTED_VALUE"""),"OEPS020191")</f>
        <v>OEPS020191</v>
      </c>
      <c r="O656" s="4" t="str">
        <f>IFERROR(__xludf.DUMMYFUNCTION("""COMPUTED_VALUE"""),"CRCW0402330RFKEDHP")</f>
        <v>CRCW0402330RFKEDHP</v>
      </c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</row>
    <row r="657">
      <c r="A657" s="4" t="str">
        <f>IFERROR(__xludf.DUMMYFUNCTION("""COMPUTED_VALUE"""),"OTHER:   RFID Reader ID-12LA (125 kHz)   [ID-12LA] [TH]")</f>
        <v>OTHER:   RFID Reader ID-12LA (125 kHz)   [ID-12LA] [TH]</v>
      </c>
      <c r="B657" s="4" t="str">
        <f>IFERROR(__xludf.DUMMYFUNCTION("""COMPUTED_VALUE"""),"OEPS100013")</f>
        <v>OEPS100013</v>
      </c>
      <c r="C657" s="4" t="str">
        <f>IFERROR(__xludf.DUMMYFUNCTION("""COMPUTED_VALUE"""),"TH")</f>
        <v>TH</v>
      </c>
      <c r="D657" s="4" t="str">
        <f>IFERROR(__xludf.DUMMYFUNCTION("""COMPUTED_VALUE"""),"ID-12LA")</f>
        <v>ID-12LA</v>
      </c>
      <c r="E657" s="4">
        <f>IFERROR(__xludf.DUMMYFUNCTION("""COMPUTED_VALUE"""),0.0)</f>
        <v>0</v>
      </c>
      <c r="F657" s="4" t="str">
        <f>IFERROR(__xludf.DUMMYFUNCTION("""COMPUTED_VALUE"""),"Sparkfun")</f>
        <v>Sparkfun</v>
      </c>
      <c r="G657" s="4" t="str">
        <f>IFERROR(__xludf.DUMMYFUNCTION("""COMPUTED_VALUE"""),"SEN-11827")</f>
        <v>SEN-11827</v>
      </c>
      <c r="H657" s="4"/>
      <c r="I657" s="4"/>
      <c r="J657" s="4"/>
      <c r="K657" s="4"/>
      <c r="L657" s="4"/>
      <c r="M657" s="4"/>
      <c r="N657" s="9" t="str">
        <f>IFERROR(__xludf.DUMMYFUNCTION("""COMPUTED_VALUE"""),"OEPS020192")</f>
        <v>OEPS020192</v>
      </c>
      <c r="O657" s="4" t="str">
        <f>IFERROR(__xludf.DUMMYFUNCTION("""COMPUTED_VALUE"""),"ESR10EZPJ391")</f>
        <v>ESR10EZPJ391</v>
      </c>
      <c r="P657" s="4" t="str">
        <f>IFERROR(__xludf.DUMMYFUNCTION("""COMPUTED_VALUE"""),"9(Tp) ")</f>
        <v>9(Tp) </v>
      </c>
      <c r="Q657" s="4">
        <f>IFERROR(__xludf.DUMMYFUNCTION("""COMPUTED_VALUE"""),9.0)</f>
        <v>9</v>
      </c>
      <c r="R657" s="4">
        <f>IFERROR(__xludf.DUMMYFUNCTION("""COMPUTED_VALUE"""),9.0)</f>
        <v>9</v>
      </c>
      <c r="S657" s="4" t="str">
        <f>IFERROR(__xludf.DUMMYFUNCTION("""COMPUTED_VALUE"""),"Tape")</f>
        <v>Tape</v>
      </c>
      <c r="T657" s="4" t="str">
        <f>IFERROR(__xludf.DUMMYFUNCTION("""COMPUTED_VALUE"""),"0226")</f>
        <v>0226</v>
      </c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</row>
    <row r="658">
      <c r="A658" s="4" t="str">
        <f>IFERROR(__xludf.DUMMYFUNCTION("""COMPUTED_VALUE"""),"OTHER:   RFID Reader ID-20LA (125 kHz)   [ID-20LA] [TH]")</f>
        <v>OTHER:   RFID Reader ID-20LA (125 kHz)   [ID-20LA] [TH]</v>
      </c>
      <c r="B658" s="4" t="str">
        <f>IFERROR(__xludf.DUMMYFUNCTION("""COMPUTED_VALUE"""),"OEPS100014")</f>
        <v>OEPS100014</v>
      </c>
      <c r="C658" s="4" t="str">
        <f>IFERROR(__xludf.DUMMYFUNCTION("""COMPUTED_VALUE"""),"TH")</f>
        <v>TH</v>
      </c>
      <c r="D658" s="4" t="str">
        <f>IFERROR(__xludf.DUMMYFUNCTION("""COMPUTED_VALUE"""),"ID-20LA")</f>
        <v>ID-20LA</v>
      </c>
      <c r="E658" s="4">
        <f>IFERROR(__xludf.DUMMYFUNCTION("""COMPUTED_VALUE"""),0.0)</f>
        <v>0</v>
      </c>
      <c r="F658" s="4" t="str">
        <f>IFERROR(__xludf.DUMMYFUNCTION("""COMPUTED_VALUE"""),"Sparkfun")</f>
        <v>Sparkfun</v>
      </c>
      <c r="G658" s="4" t="str">
        <f>IFERROR(__xludf.DUMMYFUNCTION("""COMPUTED_VALUE"""),"SEN-11828")</f>
        <v>SEN-11828</v>
      </c>
      <c r="H658" s="4"/>
      <c r="I658" s="4"/>
      <c r="J658" s="4"/>
      <c r="K658" s="4"/>
      <c r="L658" s="4"/>
      <c r="M658" s="4"/>
      <c r="N658" s="9" t="str">
        <f>IFERROR(__xludf.DUMMYFUNCTION("""COMPUTED_VALUE"""),"OEPS020193")</f>
        <v>OEPS020193</v>
      </c>
      <c r="O658" s="4" t="str">
        <f>IFERROR(__xludf.DUMMYFUNCTION("""COMPUTED_VALUE"""),"CRCW0402560RFKED")</f>
        <v>CRCW0402560RFKED</v>
      </c>
      <c r="P658" s="4" t="str">
        <f>IFERROR(__xludf.DUMMYFUNCTION("""COMPUTED_VALUE"""),"9(Tp) ")</f>
        <v>9(Tp) </v>
      </c>
      <c r="Q658" s="4">
        <f>IFERROR(__xludf.DUMMYFUNCTION("""COMPUTED_VALUE"""),9.0)</f>
        <v>9</v>
      </c>
      <c r="R658" s="4"/>
      <c r="S658" s="4"/>
      <c r="T658" s="4"/>
      <c r="U658" s="4">
        <f>IFERROR(__xludf.DUMMYFUNCTION("""COMPUTED_VALUE"""),9.0)</f>
        <v>9</v>
      </c>
      <c r="V658" s="4" t="str">
        <f>IFERROR(__xludf.DUMMYFUNCTION("""COMPUTED_VALUE"""),"Tape")</f>
        <v>Tape</v>
      </c>
      <c r="W658" s="4" t="str">
        <f>IFERROR(__xludf.DUMMYFUNCTION("""COMPUTED_VALUE"""),"0126")</f>
        <v>0126</v>
      </c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</row>
    <row r="659">
      <c r="A659" s="4" t="str">
        <f>IFERROR(__xludf.DUMMYFUNCTION("""COMPUTED_VALUE"""),"OTHER:   ROTARY ENCODER MECHANICAL 24PPR   [PEC12R-4220F-S0024] [TH]")</f>
        <v>OTHER:   ROTARY ENCODER MECHANICAL 24PPR   [PEC12R-4220F-S0024] [TH]</v>
      </c>
      <c r="B659" s="4" t="str">
        <f>IFERROR(__xludf.DUMMYFUNCTION("""COMPUTED_VALUE"""),"OEPS100076")</f>
        <v>OEPS100076</v>
      </c>
      <c r="C659" s="4" t="str">
        <f>IFERROR(__xludf.DUMMYFUNCTION("""COMPUTED_VALUE"""),"TH")</f>
        <v>TH</v>
      </c>
      <c r="D659" s="4" t="str">
        <f>IFERROR(__xludf.DUMMYFUNCTION("""COMPUTED_VALUE"""),"PEC12R-4220F-S0024")</f>
        <v>PEC12R-4220F-S0024</v>
      </c>
      <c r="E659" s="4">
        <f>IFERROR(__xludf.DUMMYFUNCTION("""COMPUTED_VALUE"""),1.0)</f>
        <v>1</v>
      </c>
      <c r="F659" s="4" t="str">
        <f>IFERROR(__xludf.DUMMYFUNCTION("""COMPUTED_VALUE"""),"Digikey")</f>
        <v>Digikey</v>
      </c>
      <c r="G659" s="4" t="str">
        <f>IFERROR(__xludf.DUMMYFUNCTION("""COMPUTED_VALUE"""),"PEC12R-4220F-S0024")</f>
        <v>PEC12R-4220F-S0024</v>
      </c>
      <c r="H659" s="4"/>
      <c r="I659" s="4"/>
      <c r="J659" s="4"/>
      <c r="K659" s="4"/>
      <c r="L659" s="4"/>
      <c r="M659" s="4"/>
      <c r="N659" s="9" t="str">
        <f>IFERROR(__xludf.DUMMYFUNCTION("""COMPUTED_VALUE"""),"OEPS020194")</f>
        <v>OEPS020194</v>
      </c>
      <c r="O659" s="4" t="str">
        <f>IFERROR(__xludf.DUMMYFUNCTION("""COMPUTED_VALUE"""),"ERJ-U6SFR13V")</f>
        <v>ERJ-U6SFR13V</v>
      </c>
      <c r="P659" s="4" t="str">
        <f>IFERROR(__xludf.DUMMYFUNCTION("""COMPUTED_VALUE"""),"16(Tp) ")</f>
        <v>16(Tp) </v>
      </c>
      <c r="Q659" s="4">
        <f>IFERROR(__xludf.DUMMYFUNCTION("""COMPUTED_VALUE"""),16.0)</f>
        <v>16</v>
      </c>
      <c r="R659" s="4">
        <f>IFERROR(__xludf.DUMMYFUNCTION("""COMPUTED_VALUE"""),16.0)</f>
        <v>16</v>
      </c>
      <c r="S659" s="4" t="str">
        <f>IFERROR(__xludf.DUMMYFUNCTION("""COMPUTED_VALUE"""),"Tape")</f>
        <v>Tape</v>
      </c>
      <c r="T659" s="4" t="str">
        <f>IFERROR(__xludf.DUMMYFUNCTION("""COMPUTED_VALUE"""),"0126")</f>
        <v>0126</v>
      </c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</row>
    <row r="660">
      <c r="A660" s="4" t="str">
        <f>IFERROR(__xludf.DUMMYFUNCTION("""COMPUTED_VALUE"""),"OTHER:   Sensor Cable - Electrode Pads (3 connector)   [CAB-12970] [Other]")</f>
        <v>OTHER:   Sensor Cable - Electrode Pads (3 connector)   [CAB-12970] [Other]</v>
      </c>
      <c r="B660" s="4" t="str">
        <f>IFERROR(__xludf.DUMMYFUNCTION("""COMPUTED_VALUE"""),"OEPS100033")</f>
        <v>OEPS100033</v>
      </c>
      <c r="C660" s="4" t="str">
        <f>IFERROR(__xludf.DUMMYFUNCTION("""COMPUTED_VALUE"""),"Other")</f>
        <v>Other</v>
      </c>
      <c r="D660" s="4" t="str">
        <f>IFERROR(__xludf.DUMMYFUNCTION("""COMPUTED_VALUE"""),"CAB-12970")</f>
        <v>CAB-12970</v>
      </c>
      <c r="E660" s="4">
        <f>IFERROR(__xludf.DUMMYFUNCTION("""COMPUTED_VALUE"""),0.0)</f>
        <v>0</v>
      </c>
      <c r="F660" s="4" t="str">
        <f>IFERROR(__xludf.DUMMYFUNCTION("""COMPUTED_VALUE"""),"Sparkfun")</f>
        <v>Sparkfun</v>
      </c>
      <c r="G660" s="4" t="str">
        <f>IFERROR(__xludf.DUMMYFUNCTION("""COMPUTED_VALUE"""),"CAB-12970")</f>
        <v>CAB-12970</v>
      </c>
      <c r="H660" s="4"/>
      <c r="I660" s="4"/>
      <c r="J660" s="4"/>
      <c r="K660" s="4"/>
      <c r="L660" s="4"/>
      <c r="M660" s="4"/>
      <c r="N660" s="9" t="str">
        <f>IFERROR(__xludf.DUMMYFUNCTION("""COMPUTED_VALUE"""),"OEPS020195")</f>
        <v>OEPS020195</v>
      </c>
      <c r="O660" s="4" t="str">
        <f>IFERROR(__xludf.DUMMYFUNCTION("""COMPUTED_VALUE"""),"RL0805FR-7W0R68L")</f>
        <v>RL0805FR-7W0R68L</v>
      </c>
      <c r="P660" s="4" t="str">
        <f>IFERROR(__xludf.DUMMYFUNCTION("""COMPUTED_VALUE"""),"15(Tp) ")</f>
        <v>15(Tp) </v>
      </c>
      <c r="Q660" s="4">
        <f>IFERROR(__xludf.DUMMYFUNCTION("""COMPUTED_VALUE"""),15.0)</f>
        <v>15</v>
      </c>
      <c r="R660" s="4">
        <f>IFERROR(__xludf.DUMMYFUNCTION("""COMPUTED_VALUE"""),15.0)</f>
        <v>15</v>
      </c>
      <c r="S660" s="4" t="str">
        <f>IFERROR(__xludf.DUMMYFUNCTION("""COMPUTED_VALUE"""),"Tape")</f>
        <v>Tape</v>
      </c>
      <c r="T660" s="4" t="str">
        <f>IFERROR(__xludf.DUMMYFUNCTION("""COMPUTED_VALUE"""),"0126")</f>
        <v>0126</v>
      </c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</row>
    <row r="661">
      <c r="A661" s="4" t="str">
        <f>IFERROR(__xludf.DUMMYFUNCTION("""COMPUTED_VALUE"""),"OTHER:   SENSOR PHOTODIODE 660NM RADIAL   [PDB-C156] [TH]")</f>
        <v>OTHER:   SENSOR PHOTODIODE 660NM RADIAL   [PDB-C156] [TH]</v>
      </c>
      <c r="B661" s="4" t="str">
        <f>IFERROR(__xludf.DUMMYFUNCTION("""COMPUTED_VALUE"""),"OEPS100055")</f>
        <v>OEPS100055</v>
      </c>
      <c r="C661" s="4" t="str">
        <f>IFERROR(__xludf.DUMMYFUNCTION("""COMPUTED_VALUE"""),"TH")</f>
        <v>TH</v>
      </c>
      <c r="D661" s="4" t="str">
        <f>IFERROR(__xludf.DUMMYFUNCTION("""COMPUTED_VALUE"""),"PDB-C156")</f>
        <v>PDB-C156</v>
      </c>
      <c r="E661" s="4">
        <f>IFERROR(__xludf.DUMMYFUNCTION("""COMPUTED_VALUE"""),1.0)</f>
        <v>1</v>
      </c>
      <c r="F661" s="4" t="str">
        <f>IFERROR(__xludf.DUMMYFUNCTION("""COMPUTED_VALUE"""),"Digikey")</f>
        <v>Digikey</v>
      </c>
      <c r="G661" s="4" t="str">
        <f>IFERROR(__xludf.DUMMYFUNCTION("""COMPUTED_VALUE"""),"209-PDB-C156CT-ND")</f>
        <v>209-PDB-C156CT-ND</v>
      </c>
      <c r="H661" s="4"/>
      <c r="I661" s="4"/>
      <c r="J661" s="4"/>
      <c r="K661" s="4"/>
      <c r="L661" s="4"/>
      <c r="M661" s="4"/>
      <c r="N661" s="9" t="str">
        <f>IFERROR(__xludf.DUMMYFUNCTION("""COMPUTED_VALUE"""),"OEPS020196")</f>
        <v>OEPS020196</v>
      </c>
      <c r="O661" s="4" t="str">
        <f>IFERROR(__xludf.DUMMYFUNCTION("""COMPUTED_VALUE"""),"ERJ-6ENF2490V")</f>
        <v>ERJ-6ENF2490V</v>
      </c>
      <c r="P661" s="4" t="str">
        <f>IFERROR(__xludf.DUMMYFUNCTION("""COMPUTED_VALUE"""),"16(Tp) ")</f>
        <v>16(Tp) </v>
      </c>
      <c r="Q661" s="4">
        <f>IFERROR(__xludf.DUMMYFUNCTION("""COMPUTED_VALUE"""),16.0)</f>
        <v>16</v>
      </c>
      <c r="R661" s="4">
        <f>IFERROR(__xludf.DUMMYFUNCTION("""COMPUTED_VALUE"""),16.0)</f>
        <v>16</v>
      </c>
      <c r="S661" s="4" t="str">
        <f>IFERROR(__xludf.DUMMYFUNCTION("""COMPUTED_VALUE"""),"Tape")</f>
        <v>Tape</v>
      </c>
      <c r="T661" s="4" t="str">
        <f>IFERROR(__xludf.DUMMYFUNCTION("""COMPUTED_VALUE"""),"0126")</f>
        <v>0126</v>
      </c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</row>
    <row r="662">
      <c r="A662" s="4" t="str">
        <f>IFERROR(__xludf.DUMMYFUNCTION("""COMPUTED_VALUE"""),"OTHER:   SERVO MOTOR 9g 180º   [SER0049 ] [Other]")</f>
        <v>OTHER:   SERVO MOTOR 9g 180º   [SER0049 ] [Other]</v>
      </c>
      <c r="B662" s="4" t="str">
        <f>IFERROR(__xludf.DUMMYFUNCTION("""COMPUTED_VALUE"""),"OEPS100024")</f>
        <v>OEPS100024</v>
      </c>
      <c r="C662" s="4" t="str">
        <f>IFERROR(__xludf.DUMMYFUNCTION("""COMPUTED_VALUE"""),"Other")</f>
        <v>Other</v>
      </c>
      <c r="D662" s="4" t="str">
        <f>IFERROR(__xludf.DUMMYFUNCTION("""COMPUTED_VALUE"""),"SER0049 ")</f>
        <v>SER0049 </v>
      </c>
      <c r="E662" s="4">
        <f>IFERROR(__xludf.DUMMYFUNCTION("""COMPUTED_VALUE"""),0.0)</f>
        <v>0</v>
      </c>
      <c r="F662" s="4" t="str">
        <f>IFERROR(__xludf.DUMMYFUNCTION("""COMPUTED_VALUE"""),"DFRobot")</f>
        <v>DFRobot</v>
      </c>
      <c r="G662" s="4" t="str">
        <f>IFERROR(__xludf.DUMMYFUNCTION("""COMPUTED_VALUE"""),"SER0049 ")</f>
        <v>SER0049 </v>
      </c>
      <c r="H662" s="4"/>
      <c r="I662" s="4"/>
      <c r="J662" s="4"/>
      <c r="K662" s="4"/>
      <c r="L662" s="4"/>
      <c r="M662" s="4"/>
      <c r="N662" s="9" t="str">
        <f>IFERROR(__xludf.DUMMYFUNCTION("""COMPUTED_VALUE"""),"OEPS020197")</f>
        <v>OEPS020197</v>
      </c>
      <c r="O662" s="4" t="str">
        <f>IFERROR(__xludf.DUMMYFUNCTION("""COMPUTED_VALUE"""),"ERJ-6ENF1241V")</f>
        <v>ERJ-6ENF1241V</v>
      </c>
      <c r="P662" s="4" t="str">
        <f>IFERROR(__xludf.DUMMYFUNCTION("""COMPUTED_VALUE"""),"15(Tp) ")</f>
        <v>15(Tp) </v>
      </c>
      <c r="Q662" s="4">
        <f>IFERROR(__xludf.DUMMYFUNCTION("""COMPUTED_VALUE"""),15.0)</f>
        <v>15</v>
      </c>
      <c r="R662" s="4">
        <f>IFERROR(__xludf.DUMMYFUNCTION("""COMPUTED_VALUE"""),15.0)</f>
        <v>15</v>
      </c>
      <c r="S662" s="4" t="str">
        <f>IFERROR(__xludf.DUMMYFUNCTION("""COMPUTED_VALUE"""),"Tape")</f>
        <v>Tape</v>
      </c>
      <c r="T662" s="4" t="str">
        <f>IFERROR(__xludf.DUMMYFUNCTION("""COMPUTED_VALUE"""),"0126")</f>
        <v>0126</v>
      </c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</row>
    <row r="663">
      <c r="A663" s="4" t="str">
        <f>IFERROR(__xludf.DUMMYFUNCTION("""COMPUTED_VALUE"""),"OTHER:   SMA CAP red cover   [726300001] [Other]")</f>
        <v>OTHER:   SMA CAP red cover   [726300001] [Other]</v>
      </c>
      <c r="B663" s="4" t="str">
        <f>IFERROR(__xludf.DUMMYFUNCTION("""COMPUTED_VALUE"""),"OEPS100007")</f>
        <v>OEPS100007</v>
      </c>
      <c r="C663" s="4" t="str">
        <f>IFERROR(__xludf.DUMMYFUNCTION("""COMPUTED_VALUE"""),"Other")</f>
        <v>Other</v>
      </c>
      <c r="D663" s="4" t="str">
        <f>IFERROR(__xludf.DUMMYFUNCTION("""COMPUTED_VALUE"""),"726300001")</f>
        <v>726300001</v>
      </c>
      <c r="E663" s="4">
        <f>IFERROR(__xludf.DUMMYFUNCTION("""COMPUTED_VALUE"""),1.0)</f>
        <v>1</v>
      </c>
      <c r="F663" s="4" t="str">
        <f>IFERROR(__xludf.DUMMYFUNCTION("""COMPUTED_VALUE"""),"DigiKey")</f>
        <v>DigiKey</v>
      </c>
      <c r="G663" s="4" t="str">
        <f>IFERROR(__xludf.DUMMYFUNCTION("""COMPUTED_VALUE"""),"732-726300001-ND")</f>
        <v>732-726300001-ND</v>
      </c>
      <c r="H663" s="4"/>
      <c r="I663" s="4"/>
      <c r="J663" s="4"/>
      <c r="K663" s="4"/>
      <c r="L663" s="4"/>
      <c r="M663" s="4"/>
      <c r="N663" s="9" t="str">
        <f>IFERROR(__xludf.DUMMYFUNCTION("""COMPUTED_VALUE"""),"OEPS020198")</f>
        <v>OEPS020198</v>
      </c>
      <c r="O663" s="4" t="str">
        <f>IFERROR(__xludf.DUMMYFUNCTION("""COMPUTED_VALUE"""),"ERJ-6ENF2001V")</f>
        <v>ERJ-6ENF2001V</v>
      </c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</row>
    <row r="664">
      <c r="A664" s="4" t="str">
        <f>IFERROR(__xludf.DUMMYFUNCTION("""COMPUTED_VALUE"""),"OTHER:   SPARKFUN GPS-RTK DEAD RECKONING   [GPS-22693] [Populated PCB]")</f>
        <v>OTHER:   SPARKFUN GPS-RTK DEAD RECKONING   [GPS-22693] [Populated PCB]</v>
      </c>
      <c r="B664" s="4" t="str">
        <f>IFERROR(__xludf.DUMMYFUNCTION("""COMPUTED_VALUE"""),"OEPS100042")</f>
        <v>OEPS100042</v>
      </c>
      <c r="C664" s="4" t="str">
        <f>IFERROR(__xludf.DUMMYFUNCTION("""COMPUTED_VALUE"""),"Populated PCB")</f>
        <v>Populated PCB</v>
      </c>
      <c r="D664" s="4" t="str">
        <f>IFERROR(__xludf.DUMMYFUNCTION("""COMPUTED_VALUE"""),"GPS-22693")</f>
        <v>GPS-22693</v>
      </c>
      <c r="E664" s="4">
        <f>IFERROR(__xludf.DUMMYFUNCTION("""COMPUTED_VALUE"""),0.0)</f>
        <v>0</v>
      </c>
      <c r="F664" s="4" t="str">
        <f>IFERROR(__xludf.DUMMYFUNCTION("""COMPUTED_VALUE"""),"DigiKey")</f>
        <v>DigiKey</v>
      </c>
      <c r="G664" s="4" t="str">
        <f>IFERROR(__xludf.DUMMYFUNCTION("""COMPUTED_VALUE"""),"1568-GPS-22693-ND")</f>
        <v>1568-GPS-22693-ND</v>
      </c>
      <c r="H664" s="4"/>
      <c r="I664" s="4"/>
      <c r="J664" s="4"/>
      <c r="K664" s="4"/>
      <c r="L664" s="4"/>
      <c r="M664" s="4"/>
      <c r="N664" s="9" t="str">
        <f>IFERROR(__xludf.DUMMYFUNCTION("""COMPUTED_VALUE"""),"OEPS020199")</f>
        <v>OEPS020199</v>
      </c>
      <c r="O664" s="4" t="str">
        <f>IFERROR(__xludf.DUMMYFUNCTION("""COMPUTED_VALUE"""),"CRCW08051K00FKEA")</f>
        <v>CRCW08051K00FKEA</v>
      </c>
      <c r="P664" s="4" t="str">
        <f>IFERROR(__xludf.DUMMYFUNCTION("""COMPUTED_VALUE"""),"7(Tp) 14(Tp) ")</f>
        <v>7(Tp) 14(Tp) </v>
      </c>
      <c r="Q664" s="4">
        <f>IFERROR(__xludf.DUMMYFUNCTION("""COMPUTED_VALUE"""),21.0)</f>
        <v>21</v>
      </c>
      <c r="R664" s="4">
        <f>IFERROR(__xludf.DUMMYFUNCTION("""COMPUTED_VALUE"""),7.0)</f>
        <v>7</v>
      </c>
      <c r="S664" s="4" t="str">
        <f>IFERROR(__xludf.DUMMYFUNCTION("""COMPUTED_VALUE"""),"Tape")</f>
        <v>Tape</v>
      </c>
      <c r="T664" s="4" t="str">
        <f>IFERROR(__xludf.DUMMYFUNCTION("""COMPUTED_VALUE"""),"0126")</f>
        <v>0126</v>
      </c>
      <c r="U664" s="4">
        <f>IFERROR(__xludf.DUMMYFUNCTION("""COMPUTED_VALUE"""),14.0)</f>
        <v>14</v>
      </c>
      <c r="V664" s="4" t="str">
        <f>IFERROR(__xludf.DUMMYFUNCTION("""COMPUTED_VALUE"""),"Tape")</f>
        <v>Tape</v>
      </c>
      <c r="W664" s="4" t="str">
        <f>IFERROR(__xludf.DUMMYFUNCTION("""COMPUTED_VALUE"""),"0226")</f>
        <v>0226</v>
      </c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</row>
    <row r="665">
      <c r="A665" s="4" t="str">
        <f>IFERROR(__xludf.DUMMYFUNCTION("""COMPUTED_VALUE"""),"OTHER:   SPARKFUN SINGLE LEAD HEART RATE   [SEN-12650] [Populated PCB]")</f>
        <v>OTHER:   SPARKFUN SINGLE LEAD HEART RATE   [SEN-12650] [Populated PCB]</v>
      </c>
      <c r="B665" s="4" t="str">
        <f>IFERROR(__xludf.DUMMYFUNCTION("""COMPUTED_VALUE"""),"OEPS100038")</f>
        <v>OEPS100038</v>
      </c>
      <c r="C665" s="4" t="str">
        <f>IFERROR(__xludf.DUMMYFUNCTION("""COMPUTED_VALUE"""),"Populated PCB")</f>
        <v>Populated PCB</v>
      </c>
      <c r="D665" s="4" t="str">
        <f>IFERROR(__xludf.DUMMYFUNCTION("""COMPUTED_VALUE"""),"SEN-12650")</f>
        <v>SEN-12650</v>
      </c>
      <c r="E665" s="4">
        <f>IFERROR(__xludf.DUMMYFUNCTION("""COMPUTED_VALUE"""),0.0)</f>
        <v>0</v>
      </c>
      <c r="F665" s="4" t="str">
        <f>IFERROR(__xludf.DUMMYFUNCTION("""COMPUTED_VALUE"""),"DigiKey")</f>
        <v>DigiKey</v>
      </c>
      <c r="G665" s="4" t="str">
        <f>IFERROR(__xludf.DUMMYFUNCTION("""COMPUTED_VALUE"""),"1568-1802-ND")</f>
        <v>1568-1802-ND</v>
      </c>
      <c r="H665" s="4"/>
      <c r="I665" s="4"/>
      <c r="J665" s="4"/>
      <c r="K665" s="4"/>
      <c r="L665" s="4"/>
      <c r="M665" s="4"/>
      <c r="N665" s="9" t="str">
        <f>IFERROR(__xludf.DUMMYFUNCTION("""COMPUTED_VALUE"""),"OEPS020200")</f>
        <v>OEPS020200</v>
      </c>
      <c r="O665" s="4" t="str">
        <f>IFERROR(__xludf.DUMMYFUNCTION("""COMPUTED_VALUE"""),"TNPW02015K60BEED")</f>
        <v>TNPW02015K60BEED</v>
      </c>
      <c r="P665" s="4" t="str">
        <f>IFERROR(__xludf.DUMMYFUNCTION("""COMPUTED_VALUE"""),"27(Tp) ")</f>
        <v>27(Tp) </v>
      </c>
      <c r="Q665" s="4">
        <f>IFERROR(__xludf.DUMMYFUNCTION("""COMPUTED_VALUE"""),27.0)</f>
        <v>27</v>
      </c>
      <c r="R665" s="4">
        <f>IFERROR(__xludf.DUMMYFUNCTION("""COMPUTED_VALUE"""),27.0)</f>
        <v>27</v>
      </c>
      <c r="S665" s="4" t="str">
        <f>IFERROR(__xludf.DUMMYFUNCTION("""COMPUTED_VALUE"""),"Tape")</f>
        <v>Tape</v>
      </c>
      <c r="T665" s="4" t="str">
        <f>IFERROR(__xludf.DUMMYFUNCTION("""COMPUTED_VALUE"""),"XXXX")</f>
        <v>XXXX</v>
      </c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</row>
    <row r="666">
      <c r="A666" s="4" t="str">
        <f>IFERROR(__xludf.DUMMYFUNCTION("""COMPUTED_VALUE"""),"OTHER:   SPEAKER 8OHM 100mW TOP PORT 82DB   [AST-03208MR-R] [TH]")</f>
        <v>OTHER:   SPEAKER 8OHM 100mW TOP PORT 82DB   [AST-03208MR-R] [TH]</v>
      </c>
      <c r="B666" s="4" t="str">
        <f>IFERROR(__xludf.DUMMYFUNCTION("""COMPUTED_VALUE"""),"OEPS100021")</f>
        <v>OEPS100021</v>
      </c>
      <c r="C666" s="4" t="str">
        <f>IFERROR(__xludf.DUMMYFUNCTION("""COMPUTED_VALUE"""),"TH")</f>
        <v>TH</v>
      </c>
      <c r="D666" s="4" t="str">
        <f>IFERROR(__xludf.DUMMYFUNCTION("""COMPUTED_VALUE"""),"AST-03208MR-R")</f>
        <v>AST-03208MR-R</v>
      </c>
      <c r="E666" s="4">
        <f>IFERROR(__xludf.DUMMYFUNCTION("""COMPUTED_VALUE"""),1.0)</f>
        <v>1</v>
      </c>
      <c r="F666" s="4" t="str">
        <f>IFERROR(__xludf.DUMMYFUNCTION("""COMPUTED_VALUE"""),"DigiKey")</f>
        <v>DigiKey</v>
      </c>
      <c r="G666" s="4" t="str">
        <f>IFERROR(__xludf.DUMMYFUNCTION("""COMPUTED_VALUE"""),"668-1139-ND")</f>
        <v>668-1139-ND</v>
      </c>
      <c r="H666" s="4"/>
      <c r="I666" s="4"/>
      <c r="J666" s="4"/>
      <c r="K666" s="4"/>
      <c r="L666" s="4"/>
      <c r="M666" s="4"/>
      <c r="N666" s="9" t="str">
        <f>IFERROR(__xludf.DUMMYFUNCTION("""COMPUTED_VALUE"""),"OEPS020201")</f>
        <v>OEPS020201</v>
      </c>
      <c r="O666" s="4" t="str">
        <f>IFERROR(__xludf.DUMMYFUNCTION("""COMPUTED_VALUE"""),"TNPW020124K0BEED")</f>
        <v>TNPW020124K0BEED</v>
      </c>
      <c r="P666" s="4" t="str">
        <f>IFERROR(__xludf.DUMMYFUNCTION("""COMPUTED_VALUE"""),"37(Tp) ")</f>
        <v>37(Tp) </v>
      </c>
      <c r="Q666" s="4">
        <f>IFERROR(__xludf.DUMMYFUNCTION("""COMPUTED_VALUE"""),37.0)</f>
        <v>37</v>
      </c>
      <c r="R666" s="4">
        <f>IFERROR(__xludf.DUMMYFUNCTION("""COMPUTED_VALUE"""),37.0)</f>
        <v>37</v>
      </c>
      <c r="S666" s="4" t="str">
        <f>IFERROR(__xludf.DUMMYFUNCTION("""COMPUTED_VALUE"""),"Tape")</f>
        <v>Tape</v>
      </c>
      <c r="T666" s="4" t="str">
        <f>IFERROR(__xludf.DUMMYFUNCTION("""COMPUTED_VALUE"""),"XXXX")</f>
        <v>XXXX</v>
      </c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</row>
    <row r="667">
      <c r="A667" s="4" t="str">
        <f>IFERROR(__xludf.DUMMYFUNCTION("""COMPUTED_VALUE"""),"OTHER:   SPRING PROBE SLEEVE   [S25-512] [Other]")</f>
        <v>OTHER:   SPRING PROBE SLEEVE   [S25-512] [Other]</v>
      </c>
      <c r="B667" s="4" t="str">
        <f>IFERROR(__xludf.DUMMYFUNCTION("""COMPUTED_VALUE"""),"OEPS100081")</f>
        <v>OEPS100081</v>
      </c>
      <c r="C667" s="4" t="str">
        <f>IFERROR(__xludf.DUMMYFUNCTION("""COMPUTED_VALUE"""),"Other")</f>
        <v>Other</v>
      </c>
      <c r="D667" s="4" t="str">
        <f>IFERROR(__xludf.DUMMYFUNCTION("""COMPUTED_VALUE"""),"S25-512")</f>
        <v>S25-512</v>
      </c>
      <c r="E667" s="4">
        <f>IFERROR(__xludf.DUMMYFUNCTION("""COMPUTED_VALUE"""),0.0)</f>
        <v>0</v>
      </c>
      <c r="F667" s="4" t="str">
        <f>IFERROR(__xludf.DUMMYFUNCTION("""COMPUTED_VALUE"""),"Digikey")</f>
        <v>Digikey</v>
      </c>
      <c r="G667" s="4" t="str">
        <f>IFERROR(__xludf.DUMMYFUNCTION("""COMPUTED_VALUE"""),"952-2294-ND")</f>
        <v>952-2294-ND</v>
      </c>
      <c r="H667" s="4"/>
      <c r="I667" s="4"/>
      <c r="J667" s="4"/>
      <c r="K667" s="4"/>
      <c r="L667" s="4"/>
      <c r="M667" s="4"/>
      <c r="N667" s="9" t="str">
        <f>IFERROR(__xludf.DUMMYFUNCTION("""COMPUTED_VALUE"""),"OEPS020202")</f>
        <v>OEPS020202</v>
      </c>
      <c r="O667" s="4" t="str">
        <f>IFERROR(__xludf.DUMMYFUNCTION("""COMPUTED_VALUE"""),"RC0402FR-07470RL")</f>
        <v>RC0402FR-07470RL</v>
      </c>
      <c r="P667" s="4" t="str">
        <f>IFERROR(__xludf.DUMMYFUNCTION("""COMPUTED_VALUE"""),"4(Tp) ")</f>
        <v>4(Tp) </v>
      </c>
      <c r="Q667" s="4">
        <f>IFERROR(__xludf.DUMMYFUNCTION("""COMPUTED_VALUE"""),4.0)</f>
        <v>4</v>
      </c>
      <c r="R667" s="4">
        <f>IFERROR(__xludf.DUMMYFUNCTION("""COMPUTED_VALUE"""),4.0)</f>
        <v>4</v>
      </c>
      <c r="S667" s="4" t="str">
        <f>IFERROR(__xludf.DUMMYFUNCTION("""COMPUTED_VALUE"""),"Tape")</f>
        <v>Tape</v>
      </c>
      <c r="T667" s="4" t="str">
        <f>IFERROR(__xludf.DUMMYFUNCTION("""COMPUTED_VALUE"""),"1225")</f>
        <v>1225</v>
      </c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</row>
    <row r="668">
      <c r="A668" s="4" t="str">
        <f>IFERROR(__xludf.DUMMYFUNCTION("""COMPUTED_VALUE"""),"OTHER:   SURFACE MOUNT R'ANGLE M3   [SMTRAM3-7-5ET] [Other]")</f>
        <v>OTHER:   SURFACE MOUNT R'ANGLE M3   [SMTRAM3-7-5ET] [Other]</v>
      </c>
      <c r="B668" s="4" t="str">
        <f>IFERROR(__xludf.DUMMYFUNCTION("""COMPUTED_VALUE"""),"OEPS100089")</f>
        <v>OEPS100089</v>
      </c>
      <c r="C668" s="4" t="str">
        <f>IFERROR(__xludf.DUMMYFUNCTION("""COMPUTED_VALUE"""),"Other")</f>
        <v>Other</v>
      </c>
      <c r="D668" s="4" t="str">
        <f>IFERROR(__xludf.DUMMYFUNCTION("""COMPUTED_VALUE"""),"SMTRAM3-7-5ET")</f>
        <v>SMTRAM3-7-5ET</v>
      </c>
      <c r="E668" s="4">
        <f>IFERROR(__xludf.DUMMYFUNCTION("""COMPUTED_VALUE"""),1.0)</f>
        <v>1</v>
      </c>
      <c r="F668" s="4" t="str">
        <f>IFERROR(__xludf.DUMMYFUNCTION("""COMPUTED_VALUE"""),"DigiKey")</f>
        <v>DigiKey</v>
      </c>
      <c r="G668" s="4" t="str">
        <f>IFERROR(__xludf.DUMMYFUNCTION("""COMPUTED_VALUE"""),"153-SMTRAM3-7-5ET")</f>
        <v>153-SMTRAM3-7-5ET</v>
      </c>
      <c r="H668" s="4"/>
      <c r="I668" s="4"/>
      <c r="J668" s="4"/>
      <c r="K668" s="4"/>
      <c r="L668" s="4"/>
      <c r="M668" s="4"/>
      <c r="N668" s="9" t="str">
        <f>IFERROR(__xludf.DUMMYFUNCTION("""COMPUTED_VALUE"""),"OEPS020203")</f>
        <v>OEPS020203</v>
      </c>
      <c r="O668" s="4" t="str">
        <f>IFERROR(__xludf.DUMMYFUNCTION("""COMPUTED_VALUE"""),"RT0402BRD075K1L")</f>
        <v>RT0402BRD075K1L</v>
      </c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</row>
    <row r="669">
      <c r="A669" s="4" t="str">
        <f>IFERROR(__xludf.DUMMYFUNCTION("""COMPUTED_VALUE"""),"OTHER:   SWITCH PUSH SPDT 0.4VA 28V   [CFPA-1FB4-A2T] [SMD]")</f>
        <v>OTHER:   SWITCH PUSH SPDT 0.4VA 28V   [CFPA-1FB4-A2T] [SMD]</v>
      </c>
      <c r="B669" s="4" t="str">
        <f>IFERROR(__xludf.DUMMYFUNCTION("""COMPUTED_VALUE"""),"OEPS100018")</f>
        <v>OEPS100018</v>
      </c>
      <c r="C669" s="4" t="str">
        <f>IFERROR(__xludf.DUMMYFUNCTION("""COMPUTED_VALUE"""),"SMD")</f>
        <v>SMD</v>
      </c>
      <c r="D669" s="4" t="str">
        <f>IFERROR(__xludf.DUMMYFUNCTION("""COMPUTED_VALUE"""),"CFPA-1FB4-A2T")</f>
        <v>CFPA-1FB4-A2T</v>
      </c>
      <c r="E669" s="4">
        <f>IFERROR(__xludf.DUMMYFUNCTION("""COMPUTED_VALUE"""),1.0)</f>
        <v>1</v>
      </c>
      <c r="F669" s="4" t="str">
        <f>IFERROR(__xludf.DUMMYFUNCTION("""COMPUTED_VALUE"""),"DigiKey")</f>
        <v>DigiKey</v>
      </c>
      <c r="G669" s="4" t="str">
        <f>IFERROR(__xludf.DUMMYFUNCTION("""COMPUTED_VALUE"""),"563-1246-6-ND")</f>
        <v>563-1246-6-ND</v>
      </c>
      <c r="H669" s="4"/>
      <c r="I669" s="4"/>
      <c r="J669" s="4"/>
      <c r="K669" s="4"/>
      <c r="L669" s="4"/>
      <c r="M669" s="4"/>
      <c r="N669" s="9" t="str">
        <f>IFERROR(__xludf.DUMMYFUNCTION("""COMPUTED_VALUE"""),"OEPS020204")</f>
        <v>OEPS020204</v>
      </c>
      <c r="O669" s="4" t="str">
        <f>IFERROR(__xludf.DUMMYFUNCTION("""COMPUTED_VALUE"""),"MCWR08X2003FTL")</f>
        <v>MCWR08X2003FTL</v>
      </c>
      <c r="P669" s="4" t="str">
        <f>IFERROR(__xludf.DUMMYFUNCTION("""COMPUTED_VALUE"""),"6(Tp) ")</f>
        <v>6(Tp) </v>
      </c>
      <c r="Q669" s="4">
        <f>IFERROR(__xludf.DUMMYFUNCTION("""COMPUTED_VALUE"""),6.0)</f>
        <v>6</v>
      </c>
      <c r="R669" s="4">
        <f>IFERROR(__xludf.DUMMYFUNCTION("""COMPUTED_VALUE"""),6.0)</f>
        <v>6</v>
      </c>
      <c r="S669" s="4" t="str">
        <f>IFERROR(__xludf.DUMMYFUNCTION("""COMPUTED_VALUE"""),"Tape")</f>
        <v>Tape</v>
      </c>
      <c r="T669" s="4" t="str">
        <f>IFERROR(__xludf.DUMMYFUNCTION("""COMPUTED_VALUE"""),"XXXX")</f>
        <v>XXXX</v>
      </c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</row>
    <row r="670">
      <c r="A670" s="4" t="str">
        <f>IFERROR(__xludf.DUMMYFUNCTION("""COMPUTED_VALUE"""),"OTHER:   SWITCH PUSH SPST-NO 0.01A 12V   [MX1A-C1NW] [TH]")</f>
        <v>OTHER:   SWITCH PUSH SPST-NO 0.01A 12V   [MX1A-C1NW] [TH]</v>
      </c>
      <c r="B670" s="4" t="str">
        <f>IFERROR(__xludf.DUMMYFUNCTION("""COMPUTED_VALUE"""),"OEPS100003")</f>
        <v>OEPS100003</v>
      </c>
      <c r="C670" s="4" t="str">
        <f>IFERROR(__xludf.DUMMYFUNCTION("""COMPUTED_VALUE"""),"TH")</f>
        <v>TH</v>
      </c>
      <c r="D670" s="4" t="str">
        <f>IFERROR(__xludf.DUMMYFUNCTION("""COMPUTED_VALUE"""),"MX1A-C1NW")</f>
        <v>MX1A-C1NW</v>
      </c>
      <c r="E670" s="4">
        <f>IFERROR(__xludf.DUMMYFUNCTION("""COMPUTED_VALUE"""),1.0)</f>
        <v>1</v>
      </c>
      <c r="F670" s="4" t="str">
        <f>IFERROR(__xludf.DUMMYFUNCTION("""COMPUTED_VALUE"""),"DigiKey")</f>
        <v>DigiKey</v>
      </c>
      <c r="G670" s="4" t="str">
        <f>IFERROR(__xludf.DUMMYFUNCTION("""COMPUTED_VALUE"""),"CH310-ND")</f>
        <v>CH310-ND</v>
      </c>
      <c r="H670" s="4"/>
      <c r="I670" s="4"/>
      <c r="J670" s="4"/>
      <c r="K670" s="4"/>
      <c r="L670" s="4"/>
      <c r="M670" s="4"/>
      <c r="N670" s="9" t="str">
        <f>IFERROR(__xludf.DUMMYFUNCTION("""COMPUTED_VALUE"""),"OEPS020220")</f>
        <v>OEPS020220</v>
      </c>
      <c r="O670" s="4" t="str">
        <f>IFERROR(__xludf.DUMMYFUNCTION("""COMPUTED_VALUE"""),"RCS06033K30FKEA")</f>
        <v>RCS06033K30FKEA</v>
      </c>
      <c r="P670" s="4" t="str">
        <f>IFERROR(__xludf.DUMMYFUNCTION("""COMPUTED_VALUE"""),"24(Tp) ")</f>
        <v>24(Tp) </v>
      </c>
      <c r="Q670" s="4">
        <f>IFERROR(__xludf.DUMMYFUNCTION("""COMPUTED_VALUE"""),24.0)</f>
        <v>24</v>
      </c>
      <c r="R670" s="4">
        <f>IFERROR(__xludf.DUMMYFUNCTION("""COMPUTED_VALUE"""),24.0)</f>
        <v>24</v>
      </c>
      <c r="S670" s="4" t="str">
        <f>IFERROR(__xludf.DUMMYFUNCTION("""COMPUTED_VALUE"""),"Tape")</f>
        <v>Tape</v>
      </c>
      <c r="T670" s="4" t="str">
        <f>IFERROR(__xludf.DUMMYFUNCTION("""COMPUTED_VALUE"""),"0426")</f>
        <v>0426</v>
      </c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</row>
    <row r="671">
      <c r="A671" s="4" t="str">
        <f>IFERROR(__xludf.DUMMYFUNCTION("""COMPUTED_VALUE"""),"OTHER:   SWITCH PUSH SPST-NO 0.1A 14V   [ESE-20D343] [TH]")</f>
        <v>OTHER:   SWITCH PUSH SPST-NO 0.1A 14V   [ESE-20D343] [TH]</v>
      </c>
      <c r="B671" s="4" t="str">
        <f>IFERROR(__xludf.DUMMYFUNCTION("""COMPUTED_VALUE"""),"OEPS100049")</f>
        <v>OEPS100049</v>
      </c>
      <c r="C671" s="4" t="str">
        <f>IFERROR(__xludf.DUMMYFUNCTION("""COMPUTED_VALUE"""),"TH")</f>
        <v>TH</v>
      </c>
      <c r="D671" s="4" t="str">
        <f>IFERROR(__xludf.DUMMYFUNCTION("""COMPUTED_VALUE"""),"ESE-20D343")</f>
        <v>ESE-20D343</v>
      </c>
      <c r="E671" s="4">
        <f>IFERROR(__xludf.DUMMYFUNCTION("""COMPUTED_VALUE"""),0.0)</f>
        <v>0</v>
      </c>
      <c r="F671" s="4" t="str">
        <f>IFERROR(__xludf.DUMMYFUNCTION("""COMPUTED_VALUE"""),"DigiKey")</f>
        <v>DigiKey</v>
      </c>
      <c r="G671" s="4" t="str">
        <f>IFERROR(__xludf.DUMMYFUNCTION("""COMPUTED_VALUE"""),"P12352S-ND")</f>
        <v>P12352S-ND</v>
      </c>
      <c r="H671" s="4"/>
      <c r="I671" s="4"/>
      <c r="J671" s="4"/>
      <c r="K671" s="4"/>
      <c r="L671" s="4"/>
      <c r="M671" s="4"/>
      <c r="N671" s="9" t="str">
        <f>IFERROR(__xludf.DUMMYFUNCTION("""COMPUTED_VALUE"""),"OEPS030001")</f>
        <v>OEPS030001</v>
      </c>
      <c r="O671" s="4" t="str">
        <f>IFERROR(__xludf.DUMMYFUNCTION("""COMPUTED_VALUE"""),"S1GTR")</f>
        <v>S1GTR</v>
      </c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</row>
    <row r="672">
      <c r="A672" s="4" t="str">
        <f>IFERROR(__xludf.DUMMYFUNCTION("""COMPUTED_VALUE"""),"OTHER:   SWITCH ROCKER SPST 10A (AC) 125V   [SRB22A2FBRNN] [Other]")</f>
        <v>OTHER:   SWITCH ROCKER SPST 10A (AC) 125V   [SRB22A2FBRNN] [Other]</v>
      </c>
      <c r="B672" s="4" t="str">
        <f>IFERROR(__xludf.DUMMYFUNCTION("""COMPUTED_VALUE"""),"OEPS100016")</f>
        <v>OEPS100016</v>
      </c>
      <c r="C672" s="4" t="str">
        <f>IFERROR(__xludf.DUMMYFUNCTION("""COMPUTED_VALUE"""),"Other")</f>
        <v>Other</v>
      </c>
      <c r="D672" s="4" t="str">
        <f>IFERROR(__xludf.DUMMYFUNCTION("""COMPUTED_VALUE"""),"SRB22A2FBRNN")</f>
        <v>SRB22A2FBRNN</v>
      </c>
      <c r="E672" s="4">
        <f>IFERROR(__xludf.DUMMYFUNCTION("""COMPUTED_VALUE"""),1.0)</f>
        <v>1</v>
      </c>
      <c r="F672" s="4" t="str">
        <f>IFERROR(__xludf.DUMMYFUNCTION("""COMPUTED_VALUE"""),"DigiKey")</f>
        <v>DigiKey</v>
      </c>
      <c r="G672" s="4" t="str">
        <f>IFERROR(__xludf.DUMMYFUNCTION("""COMPUTED_VALUE"""),"CH761-ND")</f>
        <v>CH761-ND</v>
      </c>
      <c r="H672" s="4"/>
      <c r="I672" s="4"/>
      <c r="J672" s="4"/>
      <c r="K672" s="4"/>
      <c r="L672" s="4"/>
      <c r="M672" s="4"/>
      <c r="N672" s="9" t="str">
        <f>IFERROR(__xludf.DUMMYFUNCTION("""COMPUTED_VALUE"""),"OEPS030002")</f>
        <v>OEPS030002</v>
      </c>
      <c r="O672" s="4" t="str">
        <f>IFERROR(__xludf.DUMMYFUNCTION("""COMPUTED_VALUE"""),"P6SMB18CA")</f>
        <v>P6SMB18CA</v>
      </c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</row>
    <row r="673">
      <c r="A673" s="4" t="str">
        <f>IFERROR(__xludf.DUMMYFUNCTION("""COMPUTED_VALUE"""),"OTHER:   SWITCH SLIDE DIP SPST 0.1A 50V   [KAD08LHGT] [TH]")</f>
        <v>OTHER:   SWITCH SLIDE DIP SPST 0.1A 50V   [KAD08LHGT] [TH]</v>
      </c>
      <c r="B673" s="4" t="str">
        <f>IFERROR(__xludf.DUMMYFUNCTION("""COMPUTED_VALUE"""),"OEPS100057")</f>
        <v>OEPS100057</v>
      </c>
      <c r="C673" s="4" t="str">
        <f>IFERROR(__xludf.DUMMYFUNCTION("""COMPUTED_VALUE"""),"TH")</f>
        <v>TH</v>
      </c>
      <c r="D673" s="4" t="str">
        <f>IFERROR(__xludf.DUMMYFUNCTION("""COMPUTED_VALUE"""),"KAD08LHGT")</f>
        <v>KAD08LHGT</v>
      </c>
      <c r="E673" s="4">
        <f>IFERROR(__xludf.DUMMYFUNCTION("""COMPUTED_VALUE"""),1.0)</f>
        <v>1</v>
      </c>
      <c r="F673" s="4" t="str">
        <f>IFERROR(__xludf.DUMMYFUNCTION("""COMPUTED_VALUE"""),"Digikey")</f>
        <v>Digikey</v>
      </c>
      <c r="G673" s="4" t="str">
        <f>IFERROR(__xludf.DUMMYFUNCTION("""COMPUTED_VALUE"""),"141-KAD08LHGT-ND")</f>
        <v>141-KAD08LHGT-ND</v>
      </c>
      <c r="H673" s="4"/>
      <c r="I673" s="4"/>
      <c r="J673" s="4"/>
      <c r="K673" s="4"/>
      <c r="L673" s="4"/>
      <c r="M673" s="4"/>
      <c r="N673" s="9" t="str">
        <f>IFERROR(__xludf.DUMMYFUNCTION("""COMPUTED_VALUE"""),"OEPS030003")</f>
        <v>OEPS030003</v>
      </c>
      <c r="O673" s="4" t="str">
        <f>IFERROR(__xludf.DUMMYFUNCTION("""COMPUTED_VALUE"""),"BAT54SLT1G")</f>
        <v>BAT54SLT1G</v>
      </c>
      <c r="P673" s="4" t="str">
        <f>IFERROR(__xludf.DUMMYFUNCTION("""COMPUTED_VALUE"""),"6(Tp) ")</f>
        <v>6(Tp) </v>
      </c>
      <c r="Q673" s="4">
        <f>IFERROR(__xludf.DUMMYFUNCTION("""COMPUTED_VALUE"""),6.0)</f>
        <v>6</v>
      </c>
      <c r="R673" s="4">
        <f>IFERROR(__xludf.DUMMYFUNCTION("""COMPUTED_VALUE"""),6.0)</f>
        <v>6</v>
      </c>
      <c r="S673" s="4" t="str">
        <f>IFERROR(__xludf.DUMMYFUNCTION("""COMPUTED_VALUE"""),"Tape")</f>
        <v>Tape</v>
      </c>
      <c r="T673" s="4" t="str">
        <f>IFERROR(__xludf.DUMMYFUNCTION("""COMPUTED_VALUE"""),"1123")</f>
        <v>1123</v>
      </c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</row>
    <row r="674">
      <c r="A674" s="4" t="str">
        <f>IFERROR(__xludf.DUMMYFUNCTION("""COMPUTED_VALUE"""),"OTHER:   SWITCH SLIDE DIP SPST 0.1A 6V 1 POS   [CHS-01TA] [Other]")</f>
        <v>OTHER:   SWITCH SLIDE DIP SPST 0.1A 6V 1 POS   [CHS-01TA] [Other]</v>
      </c>
      <c r="B674" s="4" t="str">
        <f>IFERROR(__xludf.DUMMYFUNCTION("""COMPUTED_VALUE"""),"OEPS100086")</f>
        <v>OEPS100086</v>
      </c>
      <c r="C674" s="4" t="str">
        <f>IFERROR(__xludf.DUMMYFUNCTION("""COMPUTED_VALUE"""),"Other")</f>
        <v>Other</v>
      </c>
      <c r="D674" s="4" t="str">
        <f>IFERROR(__xludf.DUMMYFUNCTION("""COMPUTED_VALUE"""),"CHS-01TA")</f>
        <v>CHS-01TA</v>
      </c>
      <c r="E674" s="4">
        <f>IFERROR(__xludf.DUMMYFUNCTION("""COMPUTED_VALUE"""),1.0)</f>
        <v>1</v>
      </c>
      <c r="F674" s="4" t="str">
        <f>IFERROR(__xludf.DUMMYFUNCTION("""COMPUTED_VALUE"""),"DigiKey")</f>
        <v>DigiKey</v>
      </c>
      <c r="G674" s="4" t="str">
        <f>IFERROR(__xludf.DUMMYFUNCTION("""COMPUTED_VALUE"""),"563-1003-6-ND")</f>
        <v>563-1003-6-ND</v>
      </c>
      <c r="H674" s="4"/>
      <c r="I674" s="4"/>
      <c r="J674" s="4"/>
      <c r="K674" s="4"/>
      <c r="L674" s="4"/>
      <c r="M674" s="4"/>
      <c r="N674" s="9" t="str">
        <f>IFERROR(__xludf.DUMMYFUNCTION("""COMPUTED_VALUE"""),"OEPS030004")</f>
        <v>OEPS030004</v>
      </c>
      <c r="O674" s="4" t="str">
        <f>IFERROR(__xludf.DUMMYFUNCTION("""COMPUTED_VALUE"""),"CM1213-08MR")</f>
        <v>CM1213-08MR</v>
      </c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</row>
    <row r="675">
      <c r="A675" s="4" t="str">
        <f>IFERROR(__xludf.DUMMYFUNCTION("""COMPUTED_VALUE"""),"OTHER:   SWITCH SLIDE DIP SPST 0.1A 6V 2 POS   [CHS-02TB] [Other]")</f>
        <v>OTHER:   SWITCH SLIDE DIP SPST 0.1A 6V 2 POS   [CHS-02TB] [Other]</v>
      </c>
      <c r="B675" s="4" t="str">
        <f>IFERROR(__xludf.DUMMYFUNCTION("""COMPUTED_VALUE"""),"OEPS100087")</f>
        <v>OEPS100087</v>
      </c>
      <c r="C675" s="4" t="str">
        <f>IFERROR(__xludf.DUMMYFUNCTION("""COMPUTED_VALUE"""),"Other")</f>
        <v>Other</v>
      </c>
      <c r="D675" s="4" t="str">
        <f>IFERROR(__xludf.DUMMYFUNCTION("""COMPUTED_VALUE"""),"CHS-02TB")</f>
        <v>CHS-02TB</v>
      </c>
      <c r="E675" s="4">
        <f>IFERROR(__xludf.DUMMYFUNCTION("""COMPUTED_VALUE"""),1.0)</f>
        <v>1</v>
      </c>
      <c r="F675" s="4" t="str">
        <f>IFERROR(__xludf.DUMMYFUNCTION("""COMPUTED_VALUE"""),"DigiKey")</f>
        <v>DigiKey</v>
      </c>
      <c r="G675" s="4" t="str">
        <f>IFERROR(__xludf.DUMMYFUNCTION("""COMPUTED_VALUE"""),"563-1006-6-ND")</f>
        <v>563-1006-6-ND</v>
      </c>
      <c r="H675" s="4"/>
      <c r="I675" s="4"/>
      <c r="J675" s="4"/>
      <c r="K675" s="4"/>
      <c r="L675" s="4"/>
      <c r="M675" s="4"/>
      <c r="N675" s="9" t="str">
        <f>IFERROR(__xludf.DUMMYFUNCTION("""COMPUTED_VALUE"""),"OEPS030005")</f>
        <v>OEPS030005</v>
      </c>
      <c r="O675" s="4" t="str">
        <f>IFERROR(__xludf.DUMMYFUNCTION("""COMPUTED_VALUE"""),"LTST-C191KGKT")</f>
        <v>LTST-C191KGKT</v>
      </c>
      <c r="P675" s="4" t="str">
        <f>IFERROR(__xludf.DUMMYFUNCTION("""COMPUTED_VALUE"""),"4 2 ")</f>
        <v>4 2 </v>
      </c>
      <c r="Q675" s="4">
        <f>IFERROR(__xludf.DUMMYFUNCTION("""COMPUTED_VALUE"""),6.0)</f>
        <v>6</v>
      </c>
      <c r="R675" s="4">
        <f>IFERROR(__xludf.DUMMYFUNCTION("""COMPUTED_VALUE"""),4.0)</f>
        <v>4</v>
      </c>
      <c r="S675" s="4" t="str">
        <f>IFERROR(__xludf.DUMMYFUNCTION("""COMPUTED_VALUE"""),"Bag")</f>
        <v>Bag</v>
      </c>
      <c r="T675" s="4" t="str">
        <f>IFERROR(__xludf.DUMMYFUNCTION("""COMPUTED_VALUE"""),"0226")</f>
        <v>0226</v>
      </c>
      <c r="U675" s="4">
        <f>IFERROR(__xludf.DUMMYFUNCTION("""COMPUTED_VALUE"""),2.0)</f>
        <v>2</v>
      </c>
      <c r="V675" s="4" t="str">
        <f>IFERROR(__xludf.DUMMYFUNCTION("""COMPUTED_VALUE"""),"Bag")</f>
        <v>Bag</v>
      </c>
      <c r="W675" s="4" t="str">
        <f>IFERROR(__xludf.DUMMYFUNCTION("""COMPUTED_VALUE"""),"0625")</f>
        <v>0625</v>
      </c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</row>
    <row r="676">
      <c r="A676" s="4" t="str">
        <f>IFERROR(__xludf.DUMMYFUNCTION("""COMPUTED_VALUE"""),"OTHER:   SWITCH SLIDE SPDT 0.3A 5V (OEPS K01 017)   [SSSS811101] [SMD]")</f>
        <v>OTHER:   SWITCH SLIDE SPDT 0.3A 5V (OEPS K01 017)   [SSSS811101] [SMD]</v>
      </c>
      <c r="B676" s="4" t="str">
        <f>IFERROR(__xludf.DUMMYFUNCTION("""COMPUTED_VALUE"""),"OEPS100064")</f>
        <v>OEPS100064</v>
      </c>
      <c r="C676" s="4" t="str">
        <f>IFERROR(__xludf.DUMMYFUNCTION("""COMPUTED_VALUE"""),"SMD")</f>
        <v>SMD</v>
      </c>
      <c r="D676" s="4" t="str">
        <f>IFERROR(__xludf.DUMMYFUNCTION("""COMPUTED_VALUE"""),"SSSS811101")</f>
        <v>SSSS811101</v>
      </c>
      <c r="E676" s="4">
        <f>IFERROR(__xludf.DUMMYFUNCTION("""COMPUTED_VALUE"""),1.0)</f>
        <v>1</v>
      </c>
      <c r="F676" s="4" t="str">
        <f>IFERROR(__xludf.DUMMYFUNCTION("""COMPUTED_VALUE"""),"Digikey")</f>
        <v>Digikey</v>
      </c>
      <c r="G676" s="4" t="str">
        <f>IFERROR(__xludf.DUMMYFUNCTION("""COMPUTED_VALUE"""),"4809-SSSS811101DKR-ND")</f>
        <v>4809-SSSS811101DKR-ND</v>
      </c>
      <c r="H676" s="4"/>
      <c r="I676" s="4"/>
      <c r="J676" s="4"/>
      <c r="K676" s="4"/>
      <c r="L676" s="4"/>
      <c r="M676" s="4"/>
      <c r="N676" s="9" t="str">
        <f>IFERROR(__xludf.DUMMYFUNCTION("""COMPUTED_VALUE"""),"OEPS030006")</f>
        <v>OEPS030006</v>
      </c>
      <c r="O676" s="4" t="str">
        <f>IFERROR(__xludf.DUMMYFUNCTION("""COMPUTED_VALUE"""),"5975004407F")</f>
        <v>5975004407F</v>
      </c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</row>
    <row r="677">
      <c r="A677" s="4" t="str">
        <f>IFERROR(__xludf.DUMMYFUNCTION("""COMPUTED_VALUE"""),"OTHER:   SWITCH SLIDE SPDT 0.5A 12V   [450301014042] [TH]")</f>
        <v>OTHER:   SWITCH SLIDE SPDT 0.5A 12V   [450301014042] [TH]</v>
      </c>
      <c r="B677" s="4" t="str">
        <f>IFERROR(__xludf.DUMMYFUNCTION("""COMPUTED_VALUE"""),"OEPS100075")</f>
        <v>OEPS100075</v>
      </c>
      <c r="C677" s="4" t="str">
        <f>IFERROR(__xludf.DUMMYFUNCTION("""COMPUTED_VALUE"""),"TH")</f>
        <v>TH</v>
      </c>
      <c r="D677" s="4" t="str">
        <f>IFERROR(__xludf.DUMMYFUNCTION("""COMPUTED_VALUE"""),"450301014042")</f>
        <v>450301014042</v>
      </c>
      <c r="E677" s="4">
        <f>IFERROR(__xludf.DUMMYFUNCTION("""COMPUTED_VALUE"""),1.0)</f>
        <v>1</v>
      </c>
      <c r="F677" s="4" t="str">
        <f>IFERROR(__xludf.DUMMYFUNCTION("""COMPUTED_VALUE"""),"DigiKey")</f>
        <v>DigiKey</v>
      </c>
      <c r="G677" s="4" t="str">
        <f>IFERROR(__xludf.DUMMYFUNCTION("""COMPUTED_VALUE"""),"450301014042-ND")</f>
        <v>450301014042-ND</v>
      </c>
      <c r="H677" s="4"/>
      <c r="I677" s="4"/>
      <c r="J677" s="4"/>
      <c r="K677" s="4"/>
      <c r="L677" s="4"/>
      <c r="M677" s="4"/>
      <c r="N677" s="9" t="str">
        <f>IFERROR(__xludf.DUMMYFUNCTION("""COMPUTED_VALUE"""),"OEPS030007")</f>
        <v>OEPS030007</v>
      </c>
      <c r="O677" s="4" t="str">
        <f>IFERROR(__xludf.DUMMYFUNCTION("""COMPUTED_VALUE"""),"569-0111-100F")</f>
        <v>569-0111-100F</v>
      </c>
      <c r="P677" s="4" t="str">
        <f>IFERROR(__xludf.DUMMYFUNCTION("""COMPUTED_VALUE"""),"50 2 2(Tp) ")</f>
        <v>50 2 2(Tp) </v>
      </c>
      <c r="Q677" s="4">
        <f>IFERROR(__xludf.DUMMYFUNCTION("""COMPUTED_VALUE"""),54.0)</f>
        <v>54</v>
      </c>
      <c r="R677" s="4"/>
      <c r="S677" s="4"/>
      <c r="T677" s="4"/>
      <c r="U677" s="4">
        <f>IFERROR(__xludf.DUMMYFUNCTION("""COMPUTED_VALUE"""),50.0)</f>
        <v>50</v>
      </c>
      <c r="V677" s="4" t="str">
        <f>IFERROR(__xludf.DUMMYFUNCTION("""COMPUTED_VALUE"""),"Bag")</f>
        <v>Bag</v>
      </c>
      <c r="W677" s="4" t="str">
        <f>IFERROR(__xludf.DUMMYFUNCTION("""COMPUTED_VALUE"""),"0121")</f>
        <v>0121</v>
      </c>
      <c r="X677" s="4">
        <f>IFERROR(__xludf.DUMMYFUNCTION("""COMPUTED_VALUE"""),2.0)</f>
        <v>2</v>
      </c>
      <c r="Y677" s="4" t="str">
        <f>IFERROR(__xludf.DUMMYFUNCTION("""COMPUTED_VALUE"""),"Bag")</f>
        <v>Bag</v>
      </c>
      <c r="Z677" s="4" t="str">
        <f>IFERROR(__xludf.DUMMYFUNCTION("""COMPUTED_VALUE"""),"0121")</f>
        <v>0121</v>
      </c>
      <c r="AA677" s="4">
        <f>IFERROR(__xludf.DUMMYFUNCTION("""COMPUTED_VALUE"""),2.0)</f>
        <v>2</v>
      </c>
      <c r="AB677" s="4" t="str">
        <f>IFERROR(__xludf.DUMMYFUNCTION("""COMPUTED_VALUE"""),"Tape")</f>
        <v>Tape</v>
      </c>
      <c r="AC677" s="4" t="str">
        <f>IFERROR(__xludf.DUMMYFUNCTION("""COMPUTED_VALUE"""),"0421")</f>
        <v>0421</v>
      </c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</row>
    <row r="678">
      <c r="A678" s="4" t="str">
        <f>IFERROR(__xludf.DUMMYFUNCTION("""COMPUTED_VALUE"""),"OTHER:   SWITCH SPDT rocker 0.4VA 20V   [7101J1V3BE2] [TH]")</f>
        <v>OTHER:   SWITCH SPDT rocker 0.4VA 20V   [7101J1V3BE2] [TH]</v>
      </c>
      <c r="B678" s="4" t="str">
        <f>IFERROR(__xludf.DUMMYFUNCTION("""COMPUTED_VALUE"""),"OEPS100002")</f>
        <v>OEPS100002</v>
      </c>
      <c r="C678" s="4" t="str">
        <f>IFERROR(__xludf.DUMMYFUNCTION("""COMPUTED_VALUE"""),"TH")</f>
        <v>TH</v>
      </c>
      <c r="D678" s="4" t="str">
        <f>IFERROR(__xludf.DUMMYFUNCTION("""COMPUTED_VALUE"""),"7101J1V3BE2")</f>
        <v>7101J1V3BE2</v>
      </c>
      <c r="E678" s="4">
        <f>IFERROR(__xludf.DUMMYFUNCTION("""COMPUTED_VALUE"""),1.0)</f>
        <v>1</v>
      </c>
      <c r="F678" s="4" t="str">
        <f>IFERROR(__xludf.DUMMYFUNCTION("""COMPUTED_VALUE"""),"DigiKey")</f>
        <v>DigiKey</v>
      </c>
      <c r="G678" s="4" t="str">
        <f>IFERROR(__xludf.DUMMYFUNCTION("""COMPUTED_VALUE"""),"7101J1V3BE2")</f>
        <v>7101J1V3BE2</v>
      </c>
      <c r="H678" s="4"/>
      <c r="I678" s="4"/>
      <c r="J678" s="4"/>
      <c r="K678" s="4"/>
      <c r="L678" s="4"/>
      <c r="M678" s="4"/>
      <c r="N678" s="9" t="str">
        <f>IFERROR(__xludf.DUMMYFUNCTION("""COMPUTED_VALUE"""),"OEPS030008")</f>
        <v>OEPS030008</v>
      </c>
      <c r="O678" s="4" t="str">
        <f>IFERROR(__xludf.DUMMYFUNCTION("""COMPUTED_VALUE"""),"CMDSH-3 TR PBFREE")</f>
        <v>CMDSH-3 TR PBFREE</v>
      </c>
      <c r="P678" s="4" t="str">
        <f>IFERROR(__xludf.DUMMYFUNCTION("""COMPUTED_VALUE"""),"3(Tp) 2(Tp) ")</f>
        <v>3(Tp) 2(Tp) </v>
      </c>
      <c r="Q678" s="4">
        <f>IFERROR(__xludf.DUMMYFUNCTION("""COMPUTED_VALUE"""),5.0)</f>
        <v>5</v>
      </c>
      <c r="R678" s="4">
        <f>IFERROR(__xludf.DUMMYFUNCTION("""COMPUTED_VALUE"""),3.0)</f>
        <v>3</v>
      </c>
      <c r="S678" s="4" t="str">
        <f>IFERROR(__xludf.DUMMYFUNCTION("""COMPUTED_VALUE"""),"Tape")</f>
        <v>Tape</v>
      </c>
      <c r="T678" s="4" t="str">
        <f>IFERROR(__xludf.DUMMYFUNCTION("""COMPUTED_VALUE"""),"0321")</f>
        <v>0321</v>
      </c>
      <c r="U678" s="4">
        <f>IFERROR(__xludf.DUMMYFUNCTION("""COMPUTED_VALUE"""),2.0)</f>
        <v>2</v>
      </c>
      <c r="V678" s="4" t="str">
        <f>IFERROR(__xludf.DUMMYFUNCTION("""COMPUTED_VALUE"""),"Tape")</f>
        <v>Tape</v>
      </c>
      <c r="W678" s="4" t="str">
        <f>IFERROR(__xludf.DUMMYFUNCTION("""COMPUTED_VALUE"""),"1122")</f>
        <v>1122</v>
      </c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</row>
    <row r="679">
      <c r="A679" s="4" t="str">
        <f>IFERROR(__xludf.DUMMYFUNCTION("""COMPUTED_VALUE"""),"OTHER:   SWITCH TACTILE SPST-NO 0.05A 12V   [EVQ-P7J01P] [SMD]")</f>
        <v>OTHER:   SWITCH TACTILE SPST-NO 0.05A 12V   [EVQ-P7J01P] [SMD]</v>
      </c>
      <c r="B679" s="4" t="str">
        <f>IFERROR(__xludf.DUMMYFUNCTION("""COMPUTED_VALUE"""),"OEPS100090")</f>
        <v>OEPS100090</v>
      </c>
      <c r="C679" s="4" t="str">
        <f>IFERROR(__xludf.DUMMYFUNCTION("""COMPUTED_VALUE"""),"SMD")</f>
        <v>SMD</v>
      </c>
      <c r="D679" s="4" t="str">
        <f>IFERROR(__xludf.DUMMYFUNCTION("""COMPUTED_VALUE"""),"EVQ-P7J01P")</f>
        <v>EVQ-P7J01P</v>
      </c>
      <c r="E679" s="4">
        <f>IFERROR(__xludf.DUMMYFUNCTION("""COMPUTED_VALUE"""),1.0)</f>
        <v>1</v>
      </c>
      <c r="F679" s="4" t="str">
        <f>IFERROR(__xludf.DUMMYFUNCTION("""COMPUTED_VALUE"""),"Digikey")</f>
        <v>Digikey</v>
      </c>
      <c r="G679" s="4" t="str">
        <f>IFERROR(__xludf.DUMMYFUNCTION("""COMPUTED_VALUE"""),"P16767DKR-ND")</f>
        <v>P16767DKR-ND</v>
      </c>
      <c r="H679" s="4"/>
      <c r="I679" s="4"/>
      <c r="J679" s="4"/>
      <c r="K679" s="4"/>
      <c r="L679" s="4"/>
      <c r="M679" s="4"/>
      <c r="N679" s="9" t="str">
        <f>IFERROR(__xludf.DUMMYFUNCTION("""COMPUTED_VALUE"""),"OEPS030009")</f>
        <v>OEPS030009</v>
      </c>
      <c r="O679" s="4" t="str">
        <f>IFERROR(__xludf.DUMMYFUNCTION("""COMPUTED_VALUE"""),"SSB43L-E3/52T")</f>
        <v>SSB43L-E3/52T</v>
      </c>
      <c r="P679" s="4" t="str">
        <f>IFERROR(__xludf.DUMMYFUNCTION("""COMPUTED_VALUE"""),"2(Tp) ")</f>
        <v>2(Tp) </v>
      </c>
      <c r="Q679" s="4">
        <f>IFERROR(__xludf.DUMMYFUNCTION("""COMPUTED_VALUE"""),2.0)</f>
        <v>2</v>
      </c>
      <c r="R679" s="4">
        <f>IFERROR(__xludf.DUMMYFUNCTION("""COMPUTED_VALUE"""),2.0)</f>
        <v>2</v>
      </c>
      <c r="S679" s="4" t="str">
        <f>IFERROR(__xludf.DUMMYFUNCTION("""COMPUTED_VALUE"""),"Tape")</f>
        <v>Tape</v>
      </c>
      <c r="T679" s="4" t="str">
        <f>IFERROR(__xludf.DUMMYFUNCTION("""COMPUTED_VALUE"""),"XXXX")</f>
        <v>XXXX</v>
      </c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</row>
    <row r="680">
      <c r="A680" s="4" t="str">
        <f>IFERROR(__xludf.DUMMYFUNCTION("""COMPUTED_VALUE"""),"OTHER:   SWITCH TACTILE SPST-NO 0.05A 12V   [PTS645VH83-2 LFS] [TH]")</f>
        <v>OTHER:   SWITCH TACTILE SPST-NO 0.05A 12V   [PTS645VH83-2 LFS] [TH]</v>
      </c>
      <c r="B680" s="4" t="str">
        <f>IFERROR(__xludf.DUMMYFUNCTION("""COMPUTED_VALUE"""),"OEPS100077")</f>
        <v>OEPS100077</v>
      </c>
      <c r="C680" s="4" t="str">
        <f>IFERROR(__xludf.DUMMYFUNCTION("""COMPUTED_VALUE"""),"TH")</f>
        <v>TH</v>
      </c>
      <c r="D680" s="4" t="str">
        <f>IFERROR(__xludf.DUMMYFUNCTION("""COMPUTED_VALUE"""),"PTS645VH83-2 LFS")</f>
        <v>PTS645VH83-2 LFS</v>
      </c>
      <c r="E680" s="4">
        <f>IFERROR(__xludf.DUMMYFUNCTION("""COMPUTED_VALUE"""),1.0)</f>
        <v>1</v>
      </c>
      <c r="F680" s="4" t="str">
        <f>IFERROR(__xludf.DUMMYFUNCTION("""COMPUTED_VALUE"""),"Digikey")</f>
        <v>Digikey</v>
      </c>
      <c r="G680" s="4" t="str">
        <f>IFERROR(__xludf.DUMMYFUNCTION("""COMPUTED_VALUE"""),"CKN9121-ND")</f>
        <v>CKN9121-ND</v>
      </c>
      <c r="H680" s="4"/>
      <c r="I680" s="4"/>
      <c r="J680" s="4"/>
      <c r="K680" s="4"/>
      <c r="L680" s="4"/>
      <c r="M680" s="4"/>
      <c r="N680" s="9" t="str">
        <f>IFERROR(__xludf.DUMMYFUNCTION("""COMPUTED_VALUE"""),"OEPS030010")</f>
        <v>OEPS030010</v>
      </c>
      <c r="O680" s="4" t="str">
        <f>IFERROR(__xludf.DUMMYFUNCTION("""COMPUTED_VALUE"""),"USBLC6-2SC6")</f>
        <v>USBLC6-2SC6</v>
      </c>
      <c r="P680" s="4" t="str">
        <f>IFERROR(__xludf.DUMMYFUNCTION("""COMPUTED_VALUE"""),"3(Tp) ")</f>
        <v>3(Tp) </v>
      </c>
      <c r="Q680" s="4">
        <f>IFERROR(__xludf.DUMMYFUNCTION("""COMPUTED_VALUE"""),3.0)</f>
        <v>3</v>
      </c>
      <c r="R680" s="4"/>
      <c r="S680" s="4"/>
      <c r="T680" s="4"/>
      <c r="U680" s="4">
        <f>IFERROR(__xludf.DUMMYFUNCTION("""COMPUTED_VALUE"""),3.0)</f>
        <v>3</v>
      </c>
      <c r="V680" s="4" t="str">
        <f>IFERROR(__xludf.DUMMYFUNCTION("""COMPUTED_VALUE"""),"Tape")</f>
        <v>Tape</v>
      </c>
      <c r="W680" s="4" t="str">
        <f>IFERROR(__xludf.DUMMYFUNCTION("""COMPUTED_VALUE"""),"0923")</f>
        <v>0923</v>
      </c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</row>
    <row r="681">
      <c r="A681" s="4" t="str">
        <f>IFERROR(__xludf.DUMMYFUNCTION("""COMPUTED_VALUE"""),"OTHER:   SWITCH TACTILE SPST-NO 0.05A 12V   [TL3305BF260QG] [SMD]")</f>
        <v>OTHER:   SWITCH TACTILE SPST-NO 0.05A 12V   [TL3305BF260QG] [SMD]</v>
      </c>
      <c r="B681" s="4" t="str">
        <f>IFERROR(__xludf.DUMMYFUNCTION("""COMPUTED_VALUE"""),"OEPS100061")</f>
        <v>OEPS100061</v>
      </c>
      <c r="C681" s="4" t="str">
        <f>IFERROR(__xludf.DUMMYFUNCTION("""COMPUTED_VALUE"""),"SMD")</f>
        <v>SMD</v>
      </c>
      <c r="D681" s="4" t="str">
        <f>IFERROR(__xludf.DUMMYFUNCTION("""COMPUTED_VALUE"""),"TL3305BF260QG")</f>
        <v>TL3305BF260QG</v>
      </c>
      <c r="E681" s="4">
        <f>IFERROR(__xludf.DUMMYFUNCTION("""COMPUTED_VALUE"""),1.0)</f>
        <v>1</v>
      </c>
      <c r="F681" s="4" t="str">
        <f>IFERROR(__xludf.DUMMYFUNCTION("""COMPUTED_VALUE"""),"Digikey")</f>
        <v>Digikey</v>
      </c>
      <c r="G681" s="4" t="str">
        <f>IFERROR(__xludf.DUMMYFUNCTION("""COMPUTED_VALUE"""),"EG5354DKR-ND")</f>
        <v>EG5354DKR-ND</v>
      </c>
      <c r="H681" s="4"/>
      <c r="I681" s="4"/>
      <c r="J681" s="4"/>
      <c r="K681" s="4"/>
      <c r="L681" s="4"/>
      <c r="M681" s="4"/>
      <c r="N681" s="9" t="str">
        <f>IFERROR(__xludf.DUMMYFUNCTION("""COMPUTED_VALUE"""),"OEPS030011")</f>
        <v>OEPS030011</v>
      </c>
      <c r="O681" s="4" t="str">
        <f>IFERROR(__xludf.DUMMYFUNCTION("""COMPUTED_VALUE"""),"TLCS5100")</f>
        <v>TLCS5100</v>
      </c>
      <c r="P681" s="4" t="str">
        <f>IFERROR(__xludf.DUMMYFUNCTION("""COMPUTED_VALUE"""),"16 1 ")</f>
        <v>16 1 </v>
      </c>
      <c r="Q681" s="4">
        <f>IFERROR(__xludf.DUMMYFUNCTION("""COMPUTED_VALUE"""),17.0)</f>
        <v>17</v>
      </c>
      <c r="R681" s="4">
        <f>IFERROR(__xludf.DUMMYFUNCTION("""COMPUTED_VALUE"""),16.0)</f>
        <v>16</v>
      </c>
      <c r="S681" s="4" t="str">
        <f>IFERROR(__xludf.DUMMYFUNCTION("""COMPUTED_VALUE"""),"Bag")</f>
        <v>Bag</v>
      </c>
      <c r="T681" s="4" t="str">
        <f>IFERROR(__xludf.DUMMYFUNCTION("""COMPUTED_VALUE"""),"0525")</f>
        <v>0525</v>
      </c>
      <c r="U681" s="4">
        <f>IFERROR(__xludf.DUMMYFUNCTION("""COMPUTED_VALUE"""),1.0)</f>
        <v>1</v>
      </c>
      <c r="V681" s="4" t="str">
        <f>IFERROR(__xludf.DUMMYFUNCTION("""COMPUTED_VALUE"""),"Bag")</f>
        <v>Bag</v>
      </c>
      <c r="W681" s="4" t="str">
        <f>IFERROR(__xludf.DUMMYFUNCTION("""COMPUTED_VALUE"""),"0423")</f>
        <v>0423</v>
      </c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</row>
    <row r="682">
      <c r="A682" s="4" t="str">
        <f>IFERROR(__xludf.DUMMYFUNCTION("""COMPUTED_VALUE"""),"OTHER:   SWITCH TACTILE SPST-NO 0.05A 12V   [TL3780AF330QG] [SMD]")</f>
        <v>OTHER:   SWITCH TACTILE SPST-NO 0.05A 12V   [TL3780AF330QG] [SMD]</v>
      </c>
      <c r="B682" s="4" t="str">
        <f>IFERROR(__xludf.DUMMYFUNCTION("""COMPUTED_VALUE"""),"OEPS100050")</f>
        <v>OEPS100050</v>
      </c>
      <c r="C682" s="4" t="str">
        <f>IFERROR(__xludf.DUMMYFUNCTION("""COMPUTED_VALUE"""),"SMD")</f>
        <v>SMD</v>
      </c>
      <c r="D682" s="4" t="str">
        <f>IFERROR(__xludf.DUMMYFUNCTION("""COMPUTED_VALUE"""),"TL3780AF330QG")</f>
        <v>TL3780AF330QG</v>
      </c>
      <c r="E682" s="4">
        <f>IFERROR(__xludf.DUMMYFUNCTION("""COMPUTED_VALUE"""),5.0)</f>
        <v>5</v>
      </c>
      <c r="F682" s="4" t="str">
        <f>IFERROR(__xludf.DUMMYFUNCTION("""COMPUTED_VALUE"""),"DigiKey")</f>
        <v>DigiKey</v>
      </c>
      <c r="G682" s="4" t="str">
        <f>IFERROR(__xludf.DUMMYFUNCTION("""COMPUTED_VALUE"""),"EG5394DKR-ND")</f>
        <v>EG5394DKR-ND</v>
      </c>
      <c r="H682" s="4"/>
      <c r="I682" s="4"/>
      <c r="J682" s="4"/>
      <c r="K682" s="4"/>
      <c r="L682" s="4"/>
      <c r="M682" s="4"/>
      <c r="N682" s="9" t="str">
        <f>IFERROR(__xludf.DUMMYFUNCTION("""COMPUTED_VALUE"""),"OEPS030012")</f>
        <v>OEPS030012</v>
      </c>
      <c r="O682" s="4" t="str">
        <f>IFERROR(__xludf.DUMMYFUNCTION("""COMPUTED_VALUE"""),"MCL059PURGW")</f>
        <v>MCL059PURGW</v>
      </c>
      <c r="P682" s="4" t="str">
        <f>IFERROR(__xludf.DUMMYFUNCTION("""COMPUTED_VALUE"""),"131 ")</f>
        <v>131 </v>
      </c>
      <c r="Q682" s="4">
        <f>IFERROR(__xludf.DUMMYFUNCTION("""COMPUTED_VALUE"""),131.0)</f>
        <v>131</v>
      </c>
      <c r="R682" s="4">
        <f>IFERROR(__xludf.DUMMYFUNCTION("""COMPUTED_VALUE"""),131.0)</f>
        <v>131</v>
      </c>
      <c r="S682" s="4" t="str">
        <f>IFERROR(__xludf.DUMMYFUNCTION("""COMPUTED_VALUE"""),"Bag")</f>
        <v>Bag</v>
      </c>
      <c r="T682" s="4" t="str">
        <f>IFERROR(__xludf.DUMMYFUNCTION("""COMPUTED_VALUE"""),"0723")</f>
        <v>0723</v>
      </c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</row>
    <row r="683">
      <c r="A683" s="4" t="str">
        <f>IFERROR(__xludf.DUMMYFUNCTION("""COMPUTED_VALUE"""),"OTHER:   SWITCH TACTILE SPST-NO 0.05A 16V   [PTS810 SJM 250 SMTR LFS] [SMD]")</f>
        <v>OTHER:   SWITCH TACTILE SPST-NO 0.05A 16V   [PTS810 SJM 250 SMTR LFS] [SMD]</v>
      </c>
      <c r="B683" s="4" t="str">
        <f>IFERROR(__xludf.DUMMYFUNCTION("""COMPUTED_VALUE"""),"OEPS100036")</f>
        <v>OEPS100036</v>
      </c>
      <c r="C683" s="4" t="str">
        <f>IFERROR(__xludf.DUMMYFUNCTION("""COMPUTED_VALUE"""),"SMD")</f>
        <v>SMD</v>
      </c>
      <c r="D683" s="4" t="str">
        <f>IFERROR(__xludf.DUMMYFUNCTION("""COMPUTED_VALUE"""),"PTS810 SJM 250 SMTR LFS")</f>
        <v>PTS810 SJM 250 SMTR LFS</v>
      </c>
      <c r="E683" s="4">
        <f>IFERROR(__xludf.DUMMYFUNCTION("""COMPUTED_VALUE"""),2.0)</f>
        <v>2</v>
      </c>
      <c r="F683" s="4" t="str">
        <f>IFERROR(__xludf.DUMMYFUNCTION("""COMPUTED_VALUE"""),"DigiKey")</f>
        <v>DigiKey</v>
      </c>
      <c r="G683" s="4" t="str">
        <f>IFERROR(__xludf.DUMMYFUNCTION("""COMPUTED_VALUE"""),"CKN10502DKR-ND")</f>
        <v>CKN10502DKR-ND</v>
      </c>
      <c r="H683" s="4"/>
      <c r="I683" s="4"/>
      <c r="J683" s="4"/>
      <c r="K683" s="4"/>
      <c r="L683" s="4"/>
      <c r="M683" s="4"/>
      <c r="N683" s="9" t="str">
        <f>IFERROR(__xludf.DUMMYFUNCTION("""COMPUTED_VALUE"""),"OEPS030013")</f>
        <v>OEPS030013</v>
      </c>
      <c r="O683" s="4" t="str">
        <f>IFERROR(__xludf.DUMMYFUNCTION("""COMPUTED_VALUE"""),"EAST1616RGBA8")</f>
        <v>EAST1616RGBA8</v>
      </c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</row>
    <row r="684">
      <c r="A684" s="4" t="str">
        <f>IFERROR(__xludf.DUMMYFUNCTION("""COMPUTED_VALUE"""),"OTHER:   SWITCH TACTILE SPST-NO 0.05A 24V   [B3F-1000] [TH]")</f>
        <v>OTHER:   SWITCH TACTILE SPST-NO 0.05A 24V   [B3F-1000] [TH]</v>
      </c>
      <c r="B684" s="4" t="str">
        <f>IFERROR(__xludf.DUMMYFUNCTION("""COMPUTED_VALUE"""),"OEPS100073")</f>
        <v>OEPS100073</v>
      </c>
      <c r="C684" s="4" t="str">
        <f>IFERROR(__xludf.DUMMYFUNCTION("""COMPUTED_VALUE"""),"TH")</f>
        <v>TH</v>
      </c>
      <c r="D684" s="4" t="str">
        <f>IFERROR(__xludf.DUMMYFUNCTION("""COMPUTED_VALUE"""),"B3F-1000")</f>
        <v>B3F-1000</v>
      </c>
      <c r="E684" s="4">
        <f>IFERROR(__xludf.DUMMYFUNCTION("""COMPUTED_VALUE"""),1.0)</f>
        <v>1</v>
      </c>
      <c r="F684" s="4" t="str">
        <f>IFERROR(__xludf.DUMMYFUNCTION("""COMPUTED_VALUE"""),"DigiKey")</f>
        <v>DigiKey</v>
      </c>
      <c r="G684" s="4" t="str">
        <f>IFERROR(__xludf.DUMMYFUNCTION("""COMPUTED_VALUE"""),"SW400-ND")</f>
        <v>SW400-ND</v>
      </c>
      <c r="H684" s="4"/>
      <c r="I684" s="4"/>
      <c r="J684" s="4"/>
      <c r="K684" s="4"/>
      <c r="L684" s="4"/>
      <c r="M684" s="4"/>
      <c r="N684" s="9" t="str">
        <f>IFERROR(__xludf.DUMMYFUNCTION("""COMPUTED_VALUE"""),"OEPS030014")</f>
        <v>OEPS030014</v>
      </c>
      <c r="O684" s="4" t="str">
        <f>IFERROR(__xludf.DUMMYFUNCTION("""COMPUTED_VALUE"""),"SML-P11UTT86R")</f>
        <v>SML-P11UTT86R</v>
      </c>
      <c r="P684" s="4" t="str">
        <f>IFERROR(__xludf.DUMMYFUNCTION("""COMPUTED_VALUE"""),"13 ")</f>
        <v>13 </v>
      </c>
      <c r="Q684" s="4">
        <f>IFERROR(__xludf.DUMMYFUNCTION("""COMPUTED_VALUE"""),13.0)</f>
        <v>13</v>
      </c>
      <c r="R684" s="4">
        <f>IFERROR(__xludf.DUMMYFUNCTION("""COMPUTED_VALUE"""),13.0)</f>
        <v>13</v>
      </c>
      <c r="S684" s="4" t="str">
        <f>IFERROR(__xludf.DUMMYFUNCTION("""COMPUTED_VALUE"""),"Bag")</f>
        <v>Bag</v>
      </c>
      <c r="T684" s="4" t="str">
        <f>IFERROR(__xludf.DUMMYFUNCTION("""COMPUTED_VALUE"""),"0923")</f>
        <v>0923</v>
      </c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</row>
    <row r="685">
      <c r="A685" s="4" t="str">
        <f>IFERROR(__xludf.DUMMYFUNCTION("""COMPUTED_VALUE"""),"OTHER:   SWITCH TACTILE SPST-NO 0.05A 24V   [B3F-1002] [TH]")</f>
        <v>OTHER:   SWITCH TACTILE SPST-NO 0.05A 24V   [B3F-1002] [TH]</v>
      </c>
      <c r="B685" s="4" t="str">
        <f>IFERROR(__xludf.DUMMYFUNCTION("""COMPUTED_VALUE"""),"OEPS100011")</f>
        <v>OEPS100011</v>
      </c>
      <c r="C685" s="4" t="str">
        <f>IFERROR(__xludf.DUMMYFUNCTION("""COMPUTED_VALUE"""),"TH")</f>
        <v>TH</v>
      </c>
      <c r="D685" s="4" t="str">
        <f>IFERROR(__xludf.DUMMYFUNCTION("""COMPUTED_VALUE"""),"B3F-1002")</f>
        <v>B3F-1002</v>
      </c>
      <c r="E685" s="4">
        <f>IFERROR(__xludf.DUMMYFUNCTION("""COMPUTED_VALUE"""),1.0)</f>
        <v>1</v>
      </c>
      <c r="F685" s="4" t="str">
        <f>IFERROR(__xludf.DUMMYFUNCTION("""COMPUTED_VALUE"""),"DigiKey")</f>
        <v>DigiKey</v>
      </c>
      <c r="G685" s="4" t="str">
        <f>IFERROR(__xludf.DUMMYFUNCTION("""COMPUTED_VALUE"""),"SW401-ND")</f>
        <v>SW401-ND</v>
      </c>
      <c r="H685" s="4"/>
      <c r="I685" s="4"/>
      <c r="J685" s="4"/>
      <c r="K685" s="4"/>
      <c r="L685" s="4"/>
      <c r="M685" s="4"/>
      <c r="N685" s="9" t="str">
        <f>IFERROR(__xludf.DUMMYFUNCTION("""COMPUTED_VALUE"""),"OEPS030015")</f>
        <v>OEPS030015</v>
      </c>
      <c r="O685" s="4" t="str">
        <f>IFERROR(__xludf.DUMMYFUNCTION("""COMPUTED_VALUE"""),"SBRT20M60SP5-7")</f>
        <v>SBRT20M60SP5-7</v>
      </c>
      <c r="P685" s="4" t="str">
        <f>IFERROR(__xludf.DUMMYFUNCTION("""COMPUTED_VALUE"""),"6(Tp) ")</f>
        <v>6(Tp) </v>
      </c>
      <c r="Q685" s="4">
        <f>IFERROR(__xludf.DUMMYFUNCTION("""COMPUTED_VALUE"""),6.0)</f>
        <v>6</v>
      </c>
      <c r="R685" s="4">
        <f>IFERROR(__xludf.DUMMYFUNCTION("""COMPUTED_VALUE"""),6.0)</f>
        <v>6</v>
      </c>
      <c r="S685" s="4" t="str">
        <f>IFERROR(__xludf.DUMMYFUNCTION("""COMPUTED_VALUE"""),"Tape")</f>
        <v>Tape</v>
      </c>
      <c r="T685" s="4" t="str">
        <f>IFERROR(__xludf.DUMMYFUNCTION("""COMPUTED_VALUE"""),"0923")</f>
        <v>0923</v>
      </c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</row>
    <row r="686">
      <c r="A686" s="4" t="str">
        <f>IFERROR(__xludf.DUMMYFUNCTION("""COMPUTED_VALUE"""),"OTHER:   SWITCH TACTILE SPST-NO 0.05A 24V   [B3F-4000] [TH]")</f>
        <v>OTHER:   SWITCH TACTILE SPST-NO 0.05A 24V   [B3F-4000] [TH]</v>
      </c>
      <c r="B686" s="4" t="str">
        <f>IFERROR(__xludf.DUMMYFUNCTION("""COMPUTED_VALUE"""),"OEPS100020")</f>
        <v>OEPS100020</v>
      </c>
      <c r="C686" s="4" t="str">
        <f>IFERROR(__xludf.DUMMYFUNCTION("""COMPUTED_VALUE"""),"TH")</f>
        <v>TH</v>
      </c>
      <c r="D686" s="4" t="str">
        <f>IFERROR(__xludf.DUMMYFUNCTION("""COMPUTED_VALUE"""),"B3F-4000")</f>
        <v>B3F-4000</v>
      </c>
      <c r="E686" s="4">
        <f>IFERROR(__xludf.DUMMYFUNCTION("""COMPUTED_VALUE"""),1.0)</f>
        <v>1</v>
      </c>
      <c r="F686" s="4" t="str">
        <f>IFERROR(__xludf.DUMMYFUNCTION("""COMPUTED_VALUE"""),"DigiKey")</f>
        <v>DigiKey</v>
      </c>
      <c r="G686" s="4" t="str">
        <f>IFERROR(__xludf.DUMMYFUNCTION("""COMPUTED_VALUE"""),"SW411-ND")</f>
        <v>SW411-ND</v>
      </c>
      <c r="H686" s="4"/>
      <c r="I686" s="4"/>
      <c r="J686" s="4"/>
      <c r="K686" s="4"/>
      <c r="L686" s="4"/>
      <c r="M686" s="4"/>
      <c r="N686" s="9" t="str">
        <f>IFERROR(__xludf.DUMMYFUNCTION("""COMPUTED_VALUE"""),"OEPS030016")</f>
        <v>OEPS030016</v>
      </c>
      <c r="O686" s="4" t="str">
        <f>IFERROR(__xludf.DUMMYFUNCTION("""COMPUTED_VALUE"""),"B140-13-F")</f>
        <v>B140-13-F</v>
      </c>
      <c r="P686" s="4" t="str">
        <f>IFERROR(__xludf.DUMMYFUNCTION("""COMPUTED_VALUE"""),"9(Tp) ")</f>
        <v>9(Tp) </v>
      </c>
      <c r="Q686" s="4">
        <f>IFERROR(__xludf.DUMMYFUNCTION("""COMPUTED_VALUE"""),9.0)</f>
        <v>9</v>
      </c>
      <c r="R686" s="4">
        <f>IFERROR(__xludf.DUMMYFUNCTION("""COMPUTED_VALUE"""),9.0)</f>
        <v>9</v>
      </c>
      <c r="S686" s="4" t="str">
        <f>IFERROR(__xludf.DUMMYFUNCTION("""COMPUTED_VALUE"""),"Tape")</f>
        <v>Tape</v>
      </c>
      <c r="T686" s="4" t="str">
        <f>IFERROR(__xludf.DUMMYFUNCTION("""COMPUTED_VALUE"""),"XXXX")</f>
        <v>XXXX</v>
      </c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</row>
    <row r="687">
      <c r="A687" s="4" t="str">
        <f>IFERROR(__xludf.DUMMYFUNCTION("""COMPUTED_VALUE"""),"OTHER:   SWITCH TACTILE SPST-NO 0.05A 50V   [CT11027.0F160] [TH]")</f>
        <v>OTHER:   SWITCH TACTILE SPST-NO 0.05A 50V   [CT11027.0F160] [TH]</v>
      </c>
      <c r="B687" s="4" t="str">
        <f>IFERROR(__xludf.DUMMYFUNCTION("""COMPUTED_VALUE"""),"OEPS100056")</f>
        <v>OEPS100056</v>
      </c>
      <c r="C687" s="4" t="str">
        <f>IFERROR(__xludf.DUMMYFUNCTION("""COMPUTED_VALUE"""),"TH")</f>
        <v>TH</v>
      </c>
      <c r="D687" s="4" t="str">
        <f>IFERROR(__xludf.DUMMYFUNCTION("""COMPUTED_VALUE"""),"CT11027.0F160")</f>
        <v>CT11027.0F160</v>
      </c>
      <c r="E687" s="4">
        <f>IFERROR(__xludf.DUMMYFUNCTION("""COMPUTED_VALUE"""),1.0)</f>
        <v>1</v>
      </c>
      <c r="F687" s="4" t="str">
        <f>IFERROR(__xludf.DUMMYFUNCTION("""COMPUTED_VALUE"""),"Digikey")</f>
        <v>Digikey</v>
      </c>
      <c r="G687" s="4" t="str">
        <f>IFERROR(__xludf.DUMMYFUNCTION("""COMPUTED_VALUE"""),"2449-CT11027.0F160-ND")</f>
        <v>2449-CT11027.0F160-ND</v>
      </c>
      <c r="H687" s="4"/>
      <c r="I687" s="4"/>
      <c r="J687" s="4"/>
      <c r="K687" s="4"/>
      <c r="L687" s="4"/>
      <c r="M687" s="4"/>
      <c r="N687" s="9" t="str">
        <f>IFERROR(__xludf.DUMMYFUNCTION("""COMPUTED_VALUE"""),"OEPS030017")</f>
        <v>OEPS030017</v>
      </c>
      <c r="O687" s="4" t="str">
        <f>IFERROR(__xludf.DUMMYFUNCTION("""COMPUTED_VALUE"""),"1N4148WX-TP")</f>
        <v>1N4148WX-TP</v>
      </c>
      <c r="P687" s="4" t="str">
        <f>IFERROR(__xludf.DUMMYFUNCTION("""COMPUTED_VALUE"""),"4(Tp) ")</f>
        <v>4(Tp) </v>
      </c>
      <c r="Q687" s="4">
        <f>IFERROR(__xludf.DUMMYFUNCTION("""COMPUTED_VALUE"""),4.0)</f>
        <v>4</v>
      </c>
      <c r="R687" s="4">
        <f>IFERROR(__xludf.DUMMYFUNCTION("""COMPUTED_VALUE"""),4.0)</f>
        <v>4</v>
      </c>
      <c r="S687" s="4" t="str">
        <f>IFERROR(__xludf.DUMMYFUNCTION("""COMPUTED_VALUE"""),"Tape")</f>
        <v>Tape</v>
      </c>
      <c r="T687" s="4" t="str">
        <f>IFERROR(__xludf.DUMMYFUNCTION("""COMPUTED_VALUE"""),"0923")</f>
        <v>0923</v>
      </c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</row>
    <row r="688">
      <c r="A688" s="4" t="str">
        <f>IFERROR(__xludf.DUMMYFUNCTION("""COMPUTED_VALUE"""),"OTHER:   SWITCH TOGGLE SPDT 0.4VA 20V   [7101MD9ABE] [TH]")</f>
        <v>OTHER:   SWITCH TOGGLE SPDT 0.4VA 20V   [7101MD9ABE] [TH]</v>
      </c>
      <c r="B688" s="4" t="str">
        <f>IFERROR(__xludf.DUMMYFUNCTION("""COMPUTED_VALUE"""),"OEPS100019")</f>
        <v>OEPS100019</v>
      </c>
      <c r="C688" s="4" t="str">
        <f>IFERROR(__xludf.DUMMYFUNCTION("""COMPUTED_VALUE"""),"TH")</f>
        <v>TH</v>
      </c>
      <c r="D688" s="4" t="str">
        <f>IFERROR(__xludf.DUMMYFUNCTION("""COMPUTED_VALUE"""),"7101MD9ABE")</f>
        <v>7101MD9ABE</v>
      </c>
      <c r="E688" s="4">
        <f>IFERROR(__xludf.DUMMYFUNCTION("""COMPUTED_VALUE"""),1.0)</f>
        <v>1</v>
      </c>
      <c r="F688" s="4" t="str">
        <f>IFERROR(__xludf.DUMMYFUNCTION("""COMPUTED_VALUE"""),"DigiKey")</f>
        <v>DigiKey</v>
      </c>
      <c r="G688" s="4" t="str">
        <f>IFERROR(__xludf.DUMMYFUNCTION("""COMPUTED_VALUE"""),"CKN1045-ND")</f>
        <v>CKN1045-ND</v>
      </c>
      <c r="H688" s="4"/>
      <c r="I688" s="4"/>
      <c r="J688" s="4"/>
      <c r="K688" s="4"/>
      <c r="L688" s="4"/>
      <c r="M688" s="4"/>
      <c r="N688" s="9" t="str">
        <f>IFERROR(__xludf.DUMMYFUNCTION("""COMPUTED_VALUE"""),"OEPS030018")</f>
        <v>OEPS030018</v>
      </c>
      <c r="O688" s="4" t="str">
        <f>IFERROR(__xludf.DUMMYFUNCTION("""COMPUTED_VALUE"""),"XZMDK45WT-9")</f>
        <v>XZMDK45WT-9</v>
      </c>
      <c r="P688" s="4" t="str">
        <f>IFERROR(__xludf.DUMMYFUNCTION("""COMPUTED_VALUE"""),"3(Tp) ")</f>
        <v>3(Tp) </v>
      </c>
      <c r="Q688" s="4">
        <f>IFERROR(__xludf.DUMMYFUNCTION("""COMPUTED_VALUE"""),3.0)</f>
        <v>3</v>
      </c>
      <c r="R688" s="4">
        <f>IFERROR(__xludf.DUMMYFUNCTION("""COMPUTED_VALUE"""),3.0)</f>
        <v>3</v>
      </c>
      <c r="S688" s="4" t="str">
        <f>IFERROR(__xludf.DUMMYFUNCTION("""COMPUTED_VALUE"""),"Tape")</f>
        <v>Tape</v>
      </c>
      <c r="T688" s="4" t="str">
        <f>IFERROR(__xludf.DUMMYFUNCTION("""COMPUTED_VALUE"""),"0824")</f>
        <v>0824</v>
      </c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</row>
    <row r="689">
      <c r="A689" s="4" t="str">
        <f>IFERROR(__xludf.DUMMYFUNCTION("""COMPUTED_VALUE"""),"OTHER:   TEENSY 3.2   [DEV-13736] [Populated PCB]")</f>
        <v>OTHER:   TEENSY 3.2   [DEV-13736] [Populated PCB]</v>
      </c>
      <c r="B689" s="4" t="str">
        <f>IFERROR(__xludf.DUMMYFUNCTION("""COMPUTED_VALUE"""),"OEPS100025")</f>
        <v>OEPS100025</v>
      </c>
      <c r="C689" s="4" t="str">
        <f>IFERROR(__xludf.DUMMYFUNCTION("""COMPUTED_VALUE"""),"Populated PCB")</f>
        <v>Populated PCB</v>
      </c>
      <c r="D689" s="4" t="str">
        <f>IFERROR(__xludf.DUMMYFUNCTION("""COMPUTED_VALUE"""),"DEV-13736")</f>
        <v>DEV-13736</v>
      </c>
      <c r="E689" s="4">
        <f>IFERROR(__xludf.DUMMYFUNCTION("""COMPUTED_VALUE"""),0.0)</f>
        <v>0</v>
      </c>
      <c r="F689" s="4" t="str">
        <f>IFERROR(__xludf.DUMMYFUNCTION("""COMPUTED_VALUE"""),"DigiKey")</f>
        <v>DigiKey</v>
      </c>
      <c r="G689" s="4" t="str">
        <f>IFERROR(__xludf.DUMMYFUNCTION("""COMPUTED_VALUE"""),"1568-1231-ND")</f>
        <v>1568-1231-ND</v>
      </c>
      <c r="H689" s="4"/>
      <c r="I689" s="4"/>
      <c r="J689" s="4"/>
      <c r="K689" s="4"/>
      <c r="L689" s="4"/>
      <c r="M689" s="4"/>
      <c r="N689" s="9" t="str">
        <f>IFERROR(__xludf.DUMMYFUNCTION("""COMPUTED_VALUE"""),"OEPS030019")</f>
        <v>OEPS030019</v>
      </c>
      <c r="O689" s="4" t="str">
        <f>IFERROR(__xludf.DUMMYFUNCTION("""COMPUTED_VALUE"""),"BAS316-TP")</f>
        <v>BAS316-TP</v>
      </c>
      <c r="P689" s="4" t="str">
        <f>IFERROR(__xludf.DUMMYFUNCTION("""COMPUTED_VALUE"""),"60(Tp) 8(Tp) ")</f>
        <v>60(Tp) 8(Tp) </v>
      </c>
      <c r="Q689" s="4">
        <f>IFERROR(__xludf.DUMMYFUNCTION("""COMPUTED_VALUE"""),68.0)</f>
        <v>68</v>
      </c>
      <c r="R689" s="4">
        <f>IFERROR(__xludf.DUMMYFUNCTION("""COMPUTED_VALUE"""),60.0)</f>
        <v>60</v>
      </c>
      <c r="S689" s="4" t="str">
        <f>IFERROR(__xludf.DUMMYFUNCTION("""COMPUTED_VALUE"""),"Tape")</f>
        <v>Tape</v>
      </c>
      <c r="T689" s="4" t="str">
        <f>IFERROR(__xludf.DUMMYFUNCTION("""COMPUTED_VALUE"""),"XXXX")</f>
        <v>XXXX</v>
      </c>
      <c r="U689" s="4">
        <f>IFERROR(__xludf.DUMMYFUNCTION("""COMPUTED_VALUE"""),8.0)</f>
        <v>8</v>
      </c>
      <c r="V689" s="4" t="str">
        <f>IFERROR(__xludf.DUMMYFUNCTION("""COMPUTED_VALUE"""),"Tape")</f>
        <v>Tape</v>
      </c>
      <c r="W689" s="4" t="str">
        <f>IFERROR(__xludf.DUMMYFUNCTION("""COMPUTED_VALUE"""),"0224")</f>
        <v>0224</v>
      </c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</row>
    <row r="690">
      <c r="A690" s="4" t="str">
        <f>IFERROR(__xludf.DUMMYFUNCTION("""COMPUTED_VALUE"""),"OTHER:   TEENSY 3.5   [DEV-14055] [Populated PCB]")</f>
        <v>OTHER:   TEENSY 3.5   [DEV-14055] [Populated PCB]</v>
      </c>
      <c r="B690" s="4" t="str">
        <f>IFERROR(__xludf.DUMMYFUNCTION("""COMPUTED_VALUE"""),"OEPS100026")</f>
        <v>OEPS100026</v>
      </c>
      <c r="C690" s="4" t="str">
        <f>IFERROR(__xludf.DUMMYFUNCTION("""COMPUTED_VALUE"""),"Populated PCB")</f>
        <v>Populated PCB</v>
      </c>
      <c r="D690" s="4" t="str">
        <f>IFERROR(__xludf.DUMMYFUNCTION("""COMPUTED_VALUE"""),"DEV-14055")</f>
        <v>DEV-14055</v>
      </c>
      <c r="E690" s="4">
        <f>IFERROR(__xludf.DUMMYFUNCTION("""COMPUTED_VALUE"""),0.0)</f>
        <v>0</v>
      </c>
      <c r="F690" s="4" t="str">
        <f>IFERROR(__xludf.DUMMYFUNCTION("""COMPUTED_VALUE"""),"DigiKey")</f>
        <v>DigiKey</v>
      </c>
      <c r="G690" s="4" t="str">
        <f>IFERROR(__xludf.DUMMYFUNCTION("""COMPUTED_VALUE"""),"1568-1443-ND")</f>
        <v>1568-1443-ND</v>
      </c>
      <c r="H690" s="4"/>
      <c r="I690" s="4"/>
      <c r="J690" s="4"/>
      <c r="K690" s="4"/>
      <c r="L690" s="4"/>
      <c r="M690" s="4"/>
      <c r="N690" s="9" t="str">
        <f>IFERROR(__xludf.DUMMYFUNCTION("""COMPUTED_VALUE"""),"OEPS030020")</f>
        <v>OEPS030020</v>
      </c>
      <c r="O690" s="4" t="str">
        <f>IFERROR(__xludf.DUMMYFUNCTION("""COMPUTED_VALUE"""),"LXZ1-PB01")</f>
        <v>LXZ1-PB01</v>
      </c>
      <c r="P690" s="4" t="str">
        <f>IFERROR(__xludf.DUMMYFUNCTION("""COMPUTED_VALUE"""),"8(Tp) 5(R) 26(R) ")</f>
        <v>8(Tp) 5(R) 26(R) </v>
      </c>
      <c r="Q690" s="4">
        <f>IFERROR(__xludf.DUMMYFUNCTION("""COMPUTED_VALUE"""),39.0)</f>
        <v>39</v>
      </c>
      <c r="R690" s="4">
        <f>IFERROR(__xludf.DUMMYFUNCTION("""COMPUTED_VALUE"""),8.0)</f>
        <v>8</v>
      </c>
      <c r="S690" s="4" t="str">
        <f>IFERROR(__xludf.DUMMYFUNCTION("""COMPUTED_VALUE"""),"Tape")</f>
        <v>Tape</v>
      </c>
      <c r="T690" s="4" t="str">
        <f>IFERROR(__xludf.DUMMYFUNCTION("""COMPUTED_VALUE"""),"0224")</f>
        <v>0224</v>
      </c>
      <c r="U690" s="4">
        <f>IFERROR(__xludf.DUMMYFUNCTION("""COMPUTED_VALUE"""),5.0)</f>
        <v>5</v>
      </c>
      <c r="V690" s="4" t="str">
        <f>IFERROR(__xludf.DUMMYFUNCTION("""COMPUTED_VALUE"""),"Reel")</f>
        <v>Reel</v>
      </c>
      <c r="W690" s="4" t="str">
        <f>IFERROR(__xludf.DUMMYFUNCTION("""COMPUTED_VALUE"""),"0822")</f>
        <v>0822</v>
      </c>
      <c r="X690" s="4">
        <f>IFERROR(__xludf.DUMMYFUNCTION("""COMPUTED_VALUE"""),26.0)</f>
        <v>26</v>
      </c>
      <c r="Y690" s="4" t="str">
        <f>IFERROR(__xludf.DUMMYFUNCTION("""COMPUTED_VALUE"""),"Reel")</f>
        <v>Reel</v>
      </c>
      <c r="Z690" s="4" t="str">
        <f>IFERROR(__xludf.DUMMYFUNCTION("""COMPUTED_VALUE"""),"0422")</f>
        <v>0422</v>
      </c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</row>
    <row r="691">
      <c r="A691" s="4" t="str">
        <f>IFERROR(__xludf.DUMMYFUNCTION("""COMPUTED_VALUE"""),"OTHER:   TEENSY 4.0 (with headers)   [DEV-16997] [Populated PCB]")</f>
        <v>OTHER:   TEENSY 4.0 (with headers)   [DEV-16997] [Populated PCB]</v>
      </c>
      <c r="B691" s="4" t="str">
        <f>IFERROR(__xludf.DUMMYFUNCTION("""COMPUTED_VALUE"""),"OEPS100053")</f>
        <v>OEPS100053</v>
      </c>
      <c r="C691" s="4" t="str">
        <f>IFERROR(__xludf.DUMMYFUNCTION("""COMPUTED_VALUE"""),"Populated PCB")</f>
        <v>Populated PCB</v>
      </c>
      <c r="D691" s="4" t="str">
        <f>IFERROR(__xludf.DUMMYFUNCTION("""COMPUTED_VALUE"""),"DEV-16997")</f>
        <v>DEV-16997</v>
      </c>
      <c r="E691" s="4">
        <f>IFERROR(__xludf.DUMMYFUNCTION("""COMPUTED_VALUE"""),0.0)</f>
        <v>0</v>
      </c>
      <c r="F691" s="4" t="str">
        <f>IFERROR(__xludf.DUMMYFUNCTION("""COMPUTED_VALUE"""),"DigiKey")</f>
        <v>DigiKey</v>
      </c>
      <c r="G691" s="4" t="str">
        <f>IFERROR(__xludf.DUMMYFUNCTION("""COMPUTED_VALUE"""),"1568-DEV-16997-ND")</f>
        <v>1568-DEV-16997-ND</v>
      </c>
      <c r="H691" s="4"/>
      <c r="I691" s="4"/>
      <c r="J691" s="4"/>
      <c r="K691" s="4"/>
      <c r="L691" s="4"/>
      <c r="M691" s="4"/>
      <c r="N691" s="9" t="str">
        <f>IFERROR(__xludf.DUMMYFUNCTION("""COMPUTED_VALUE"""),"OEPS030021")</f>
        <v>OEPS030021</v>
      </c>
      <c r="O691" s="4" t="str">
        <f>IFERROR(__xludf.DUMMYFUNCTION("""COMPUTED_VALUE"""),"LXZ1-PR01")</f>
        <v>LXZ1-PR01</v>
      </c>
      <c r="P691" s="4" t="str">
        <f>IFERROR(__xludf.DUMMYFUNCTION("""COMPUTED_VALUE"""),"305(R) ")</f>
        <v>305(R) </v>
      </c>
      <c r="Q691" s="4">
        <f>IFERROR(__xludf.DUMMYFUNCTION("""COMPUTED_VALUE"""),305.0)</f>
        <v>305</v>
      </c>
      <c r="R691" s="4">
        <f>IFERROR(__xludf.DUMMYFUNCTION("""COMPUTED_VALUE"""),305.0)</f>
        <v>305</v>
      </c>
      <c r="S691" s="4" t="str">
        <f>IFERROR(__xludf.DUMMYFUNCTION("""COMPUTED_VALUE"""),"Reel")</f>
        <v>Reel</v>
      </c>
      <c r="T691" s="4" t="str">
        <f>IFERROR(__xludf.DUMMYFUNCTION("""COMPUTED_VALUE"""),"XXXX")</f>
        <v>XXXX</v>
      </c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</row>
    <row r="692">
      <c r="A692" s="4" t="str">
        <f>IFERROR(__xludf.DUMMYFUNCTION("""COMPUTED_VALUE"""),"OTHER:   TEENSY LC   [DEV-13305] [Populated PCB]")</f>
        <v>OTHER:   TEENSY LC   [DEV-13305] [Populated PCB]</v>
      </c>
      <c r="B692" s="4" t="str">
        <f>IFERROR(__xludf.DUMMYFUNCTION("""COMPUTED_VALUE"""),"OEPS100027")</f>
        <v>OEPS100027</v>
      </c>
      <c r="C692" s="4" t="str">
        <f>IFERROR(__xludf.DUMMYFUNCTION("""COMPUTED_VALUE"""),"Populated PCB")</f>
        <v>Populated PCB</v>
      </c>
      <c r="D692" s="4" t="str">
        <f>IFERROR(__xludf.DUMMYFUNCTION("""COMPUTED_VALUE"""),"DEV-13305")</f>
        <v>DEV-13305</v>
      </c>
      <c r="E692" s="4">
        <f>IFERROR(__xludf.DUMMYFUNCTION("""COMPUTED_VALUE"""),0.0)</f>
        <v>0</v>
      </c>
      <c r="F692" s="4" t="str">
        <f>IFERROR(__xludf.DUMMYFUNCTION("""COMPUTED_VALUE"""),"DigiKey")</f>
        <v>DigiKey</v>
      </c>
      <c r="G692" s="4" t="str">
        <f>IFERROR(__xludf.DUMMYFUNCTION("""COMPUTED_VALUE"""),"1568-1233-ND")</f>
        <v>1568-1233-ND</v>
      </c>
      <c r="H692" s="4"/>
      <c r="I692" s="4"/>
      <c r="J692" s="4"/>
      <c r="K692" s="4"/>
      <c r="L692" s="4"/>
      <c r="M692" s="4"/>
      <c r="N692" s="9" t="str">
        <f>IFERROR(__xludf.DUMMYFUNCTION("""COMPUTED_VALUE"""),"OEPS030022")</f>
        <v>OEPS030022</v>
      </c>
      <c r="O692" s="4" t="str">
        <f>IFERROR(__xludf.DUMMYFUNCTION("""COMPUTED_VALUE"""),"LXZ1-PX01")</f>
        <v>LXZ1-PX01</v>
      </c>
      <c r="P692" s="4" t="str">
        <f>IFERROR(__xludf.DUMMYFUNCTION("""COMPUTED_VALUE"""),"8(R) ")</f>
        <v>8(R) </v>
      </c>
      <c r="Q692" s="4">
        <f>IFERROR(__xludf.DUMMYFUNCTION("""COMPUTED_VALUE"""),8.0)</f>
        <v>8</v>
      </c>
      <c r="R692" s="4">
        <f>IFERROR(__xludf.DUMMYFUNCTION("""COMPUTED_VALUE"""),8.0)</f>
        <v>8</v>
      </c>
      <c r="S692" s="4" t="str">
        <f>IFERROR(__xludf.DUMMYFUNCTION("""COMPUTED_VALUE"""),"Reel")</f>
        <v>Reel</v>
      </c>
      <c r="T692" s="4" t="str">
        <f>IFERROR(__xludf.DUMMYFUNCTION("""COMPUTED_VALUE"""),"0221")</f>
        <v>0221</v>
      </c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</row>
    <row r="693">
      <c r="A693" s="4" t="str">
        <f>IFERROR(__xludf.DUMMYFUNCTION("""COMPUTED_VALUE"""),"OTHER:   TRIMMER POTENTIOMETER 1K OHM 0.5W PC PIN TOP   [3386F-1-102TLF] [TH]")</f>
        <v>OTHER:   TRIMMER POTENTIOMETER 1K OHM 0.5W PC PIN TOP   [3386F-1-102TLF] [TH]</v>
      </c>
      <c r="B693" s="4" t="str">
        <f>IFERROR(__xludf.DUMMYFUNCTION("""COMPUTED_VALUE"""),"OEPS100074")</f>
        <v>OEPS100074</v>
      </c>
      <c r="C693" s="4" t="str">
        <f>IFERROR(__xludf.DUMMYFUNCTION("""COMPUTED_VALUE"""),"TH")</f>
        <v>TH</v>
      </c>
      <c r="D693" s="4" t="str">
        <f>IFERROR(__xludf.DUMMYFUNCTION("""COMPUTED_VALUE"""),"3386F-1-102TLF")</f>
        <v>3386F-1-102TLF</v>
      </c>
      <c r="E693" s="4">
        <f>IFERROR(__xludf.DUMMYFUNCTION("""COMPUTED_VALUE"""),1.0)</f>
        <v>1</v>
      </c>
      <c r="F693" s="4" t="str">
        <f>IFERROR(__xludf.DUMMYFUNCTION("""COMPUTED_VALUE"""),"Digikey")</f>
        <v>Digikey</v>
      </c>
      <c r="G693" s="4" t="str">
        <f>IFERROR(__xludf.DUMMYFUNCTION("""COMPUTED_VALUE"""),"3386F-1-102TLF-ND")</f>
        <v>3386F-1-102TLF-ND</v>
      </c>
      <c r="H693" s="4"/>
      <c r="I693" s="4"/>
      <c r="J693" s="4"/>
      <c r="K693" s="4"/>
      <c r="L693" s="4"/>
      <c r="M693" s="4"/>
      <c r="N693" s="9" t="str">
        <f>IFERROR(__xludf.DUMMYFUNCTION("""COMPUTED_VALUE"""),"OEPS030023")</f>
        <v>OEPS030023</v>
      </c>
      <c r="O693" s="4" t="str">
        <f>IFERROR(__xludf.DUMMYFUNCTION("""COMPUTED_VALUE"""),"VLMS1500-GS08")</f>
        <v>VLMS1500-GS08</v>
      </c>
      <c r="P693" s="4" t="str">
        <f>IFERROR(__xludf.DUMMYFUNCTION("""COMPUTED_VALUE"""),"8 100(R) ")</f>
        <v>8 100(R) </v>
      </c>
      <c r="Q693" s="4">
        <f>IFERROR(__xludf.DUMMYFUNCTION("""COMPUTED_VALUE"""),108.0)</f>
        <v>108</v>
      </c>
      <c r="R693" s="4">
        <f>IFERROR(__xludf.DUMMYFUNCTION("""COMPUTED_VALUE"""),8.0)</f>
        <v>8</v>
      </c>
      <c r="S693" s="4" t="str">
        <f>IFERROR(__xludf.DUMMYFUNCTION("""COMPUTED_VALUE"""),"Bag")</f>
        <v>Bag</v>
      </c>
      <c r="T693" s="4" t="str">
        <f>IFERROR(__xludf.DUMMYFUNCTION("""COMPUTED_VALUE"""),"0224")</f>
        <v>0224</v>
      </c>
      <c r="U693" s="4">
        <f>IFERROR(__xludf.DUMMYFUNCTION("""COMPUTED_VALUE"""),100.0)</f>
        <v>100</v>
      </c>
      <c r="V693" s="4" t="str">
        <f>IFERROR(__xludf.DUMMYFUNCTION("""COMPUTED_VALUE"""),"Reel")</f>
        <v>Reel</v>
      </c>
      <c r="W693" s="4" t="str">
        <f>IFERROR(__xludf.DUMMYFUNCTION("""COMPUTED_VALUE"""),"XXXX")</f>
        <v>XXXX</v>
      </c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</row>
    <row r="694">
      <c r="A694" s="4" t="str">
        <f>IFERROR(__xludf.DUMMYFUNCTION("""COMPUTED_VALUE"""),"OTHER:   TRIMMER POTENTIOMETER 50K OHM 0.5W PC PIN TOP   [3386F-1-503TLF] [TH]")</f>
        <v>OTHER:   TRIMMER POTENTIOMETER 50K OHM 0.5W PC PIN TOP   [3386F-1-503TLF] [TH]</v>
      </c>
      <c r="B694" s="4" t="str">
        <f>IFERROR(__xludf.DUMMYFUNCTION("""COMPUTED_VALUE"""),"OEPS100058")</f>
        <v>OEPS100058</v>
      </c>
      <c r="C694" s="4" t="str">
        <f>IFERROR(__xludf.DUMMYFUNCTION("""COMPUTED_VALUE"""),"TH")</f>
        <v>TH</v>
      </c>
      <c r="D694" s="4" t="str">
        <f>IFERROR(__xludf.DUMMYFUNCTION("""COMPUTED_VALUE"""),"3386F-1-503TLF")</f>
        <v>3386F-1-503TLF</v>
      </c>
      <c r="E694" s="4">
        <f>IFERROR(__xludf.DUMMYFUNCTION("""COMPUTED_VALUE"""),1.0)</f>
        <v>1</v>
      </c>
      <c r="F694" s="4" t="str">
        <f>IFERROR(__xludf.DUMMYFUNCTION("""COMPUTED_VALUE"""),"Digikey")</f>
        <v>Digikey</v>
      </c>
      <c r="G694" s="4" t="str">
        <f>IFERROR(__xludf.DUMMYFUNCTION("""COMPUTED_VALUE"""),"3386F-1-503TLF-ND")</f>
        <v>3386F-1-503TLF-ND</v>
      </c>
      <c r="H694" s="4"/>
      <c r="I694" s="4"/>
      <c r="J694" s="4"/>
      <c r="K694" s="4"/>
      <c r="L694" s="4"/>
      <c r="M694" s="4"/>
      <c r="N694" s="9" t="str">
        <f>IFERROR(__xludf.DUMMYFUNCTION("""COMPUTED_VALUE"""),"OEPS030024")</f>
        <v>OEPS030024</v>
      </c>
      <c r="O694" s="4" t="str">
        <f>IFERROR(__xludf.DUMMYFUNCTION("""COMPUTED_VALUE"""),"SFH 4050-Z")</f>
        <v>SFH 4050-Z</v>
      </c>
      <c r="P694" s="4" t="str">
        <f>IFERROR(__xludf.DUMMYFUNCTION("""COMPUTED_VALUE"""),"3 ")</f>
        <v>3 </v>
      </c>
      <c r="Q694" s="4">
        <f>IFERROR(__xludf.DUMMYFUNCTION("""COMPUTED_VALUE"""),3.0)</f>
        <v>3</v>
      </c>
      <c r="R694" s="4">
        <f>IFERROR(__xludf.DUMMYFUNCTION("""COMPUTED_VALUE"""),3.0)</f>
        <v>3</v>
      </c>
      <c r="S694" s="4" t="str">
        <f>IFERROR(__xludf.DUMMYFUNCTION("""COMPUTED_VALUE"""),"Bag")</f>
        <v>Bag</v>
      </c>
      <c r="T694" s="4" t="str">
        <f>IFERROR(__xludf.DUMMYFUNCTION("""COMPUTED_VALUE"""),"XXXX")</f>
        <v>XXXX</v>
      </c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</row>
    <row r="695">
      <c r="A695" s="4" t="str">
        <f>IFERROR(__xludf.DUMMYFUNCTION("""COMPUTED_VALUE"""),"OTHER:   TRRS 3.5mm Audio Jack Breakout   [BOB-11570] [Other]")</f>
        <v>OTHER:   TRRS 3.5mm Audio Jack Breakout   [BOB-11570] [Other]</v>
      </c>
      <c r="B695" s="4" t="str">
        <f>IFERROR(__xludf.DUMMYFUNCTION("""COMPUTED_VALUE"""),"OEPS100034")</f>
        <v>OEPS100034</v>
      </c>
      <c r="C695" s="4" t="str">
        <f>IFERROR(__xludf.DUMMYFUNCTION("""COMPUTED_VALUE"""),"Other")</f>
        <v>Other</v>
      </c>
      <c r="D695" s="4" t="str">
        <f>IFERROR(__xludf.DUMMYFUNCTION("""COMPUTED_VALUE"""),"BOB-11570")</f>
        <v>BOB-11570</v>
      </c>
      <c r="E695" s="4">
        <f>IFERROR(__xludf.DUMMYFUNCTION("""COMPUTED_VALUE"""),0.0)</f>
        <v>0</v>
      </c>
      <c r="F695" s="4" t="str">
        <f>IFERROR(__xludf.DUMMYFUNCTION("""COMPUTED_VALUE"""),"Sparkfun")</f>
        <v>Sparkfun</v>
      </c>
      <c r="G695" s="4" t="str">
        <f>IFERROR(__xludf.DUMMYFUNCTION("""COMPUTED_VALUE"""),"BOB-11570")</f>
        <v>BOB-11570</v>
      </c>
      <c r="H695" s="4"/>
      <c r="I695" s="4"/>
      <c r="J695" s="4"/>
      <c r="K695" s="4"/>
      <c r="L695" s="4"/>
      <c r="M695" s="4"/>
      <c r="N695" s="9" t="str">
        <f>IFERROR(__xludf.DUMMYFUNCTION("""COMPUTED_VALUE"""),"OEPS030025")</f>
        <v>OEPS030025</v>
      </c>
      <c r="O695" s="4" t="str">
        <f>IFERROR(__xludf.DUMMYFUNCTION("""COMPUTED_VALUE"""),"MMBZ5236BLT1G")</f>
        <v>MMBZ5236BLT1G</v>
      </c>
      <c r="P695" s="4" t="str">
        <f>IFERROR(__xludf.DUMMYFUNCTION("""COMPUTED_VALUE"""),"10(Tp) ")</f>
        <v>10(Tp) </v>
      </c>
      <c r="Q695" s="4">
        <f>IFERROR(__xludf.DUMMYFUNCTION("""COMPUTED_VALUE"""),10.0)</f>
        <v>10</v>
      </c>
      <c r="R695" s="4">
        <f>IFERROR(__xludf.DUMMYFUNCTION("""COMPUTED_VALUE"""),10.0)</f>
        <v>10</v>
      </c>
      <c r="S695" s="4" t="str">
        <f>IFERROR(__xludf.DUMMYFUNCTION("""COMPUTED_VALUE"""),"Tape")</f>
        <v>Tape</v>
      </c>
      <c r="T695" s="4" t="str">
        <f>IFERROR(__xludf.DUMMYFUNCTION("""COMPUTED_VALUE"""),"1123")</f>
        <v>1123</v>
      </c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</row>
    <row r="696">
      <c r="A696" s="4" t="str">
        <f>IFERROR(__xludf.DUMMYFUNCTION("""COMPUTED_VALUE"""),"OTHER:   Valve 12V SPDT   [LHDA1231115H.] [Other]")</f>
        <v>OTHER:   Valve 12V SPDT   [LHDA1231115H.] [Other]</v>
      </c>
      <c r="B696" s="4" t="str">
        <f>IFERROR(__xludf.DUMMYFUNCTION("""COMPUTED_VALUE"""),"OEPS100052")</f>
        <v>OEPS100052</v>
      </c>
      <c r="C696" s="4" t="str">
        <f>IFERROR(__xludf.DUMMYFUNCTION("""COMPUTED_VALUE"""),"Other")</f>
        <v>Other</v>
      </c>
      <c r="D696" s="4" t="str">
        <f>IFERROR(__xludf.DUMMYFUNCTION("""COMPUTED_VALUE"""),"LHDA1231115H.")</f>
        <v>LHDA1231115H.</v>
      </c>
      <c r="E696" s="4">
        <f>IFERROR(__xludf.DUMMYFUNCTION("""COMPUTED_VALUE"""),0.0)</f>
        <v>0</v>
      </c>
      <c r="F696" s="4" t="str">
        <f>IFERROR(__xludf.DUMMYFUNCTION("""COMPUTED_VALUE"""),"Lee Company")</f>
        <v>Lee Company</v>
      </c>
      <c r="G696" s="4" t="str">
        <f>IFERROR(__xludf.DUMMYFUNCTION("""COMPUTED_VALUE"""),"LHDA1231115H.")</f>
        <v>LHDA1231115H.</v>
      </c>
      <c r="H696" s="4"/>
      <c r="I696" s="4"/>
      <c r="J696" s="4"/>
      <c r="K696" s="4"/>
      <c r="L696" s="4"/>
      <c r="M696" s="4"/>
      <c r="N696" s="9" t="str">
        <f>IFERROR(__xludf.DUMMYFUNCTION("""COMPUTED_VALUE"""),"OEPS030026")</f>
        <v>OEPS030026</v>
      </c>
      <c r="O696" s="4" t="str">
        <f>IFERROR(__xludf.DUMMYFUNCTION("""COMPUTED_VALUE"""),"SMAZ7V5-F")</f>
        <v>SMAZ7V5-F</v>
      </c>
      <c r="P696" s="4" t="str">
        <f>IFERROR(__xludf.DUMMYFUNCTION("""COMPUTED_VALUE"""),"2(Tp) ")</f>
        <v>2(Tp) </v>
      </c>
      <c r="Q696" s="4">
        <f>IFERROR(__xludf.DUMMYFUNCTION("""COMPUTED_VALUE"""),2.0)</f>
        <v>2</v>
      </c>
      <c r="R696" s="4">
        <f>IFERROR(__xludf.DUMMYFUNCTION("""COMPUTED_VALUE"""),2.0)</f>
        <v>2</v>
      </c>
      <c r="S696" s="4" t="str">
        <f>IFERROR(__xludf.DUMMYFUNCTION("""COMPUTED_VALUE"""),"Tape")</f>
        <v>Tape</v>
      </c>
      <c r="T696" s="4" t="str">
        <f>IFERROR(__xludf.DUMMYFUNCTION("""COMPUTED_VALUE"""),"1123")</f>
        <v>1123</v>
      </c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</row>
    <row r="697">
      <c r="A697" s="4" t="str">
        <f>IFERROR(__xludf.DUMMYFUNCTION("""COMPUTED_VALUE"""),"OTHER:   Valve 12V SPDT   [LHDB1233418H] [Other]")</f>
        <v>OTHER:   Valve 12V SPDT   [LHDB1233418H] [Other]</v>
      </c>
      <c r="B697" s="4" t="str">
        <f>IFERROR(__xludf.DUMMYFUNCTION("""COMPUTED_VALUE"""),"OEPS100085")</f>
        <v>OEPS100085</v>
      </c>
      <c r="C697" s="4" t="str">
        <f>IFERROR(__xludf.DUMMYFUNCTION("""COMPUTED_VALUE"""),"Other")</f>
        <v>Other</v>
      </c>
      <c r="D697" s="4" t="str">
        <f>IFERROR(__xludf.DUMMYFUNCTION("""COMPUTED_VALUE"""),"LHDB1233418H")</f>
        <v>LHDB1233418H</v>
      </c>
      <c r="E697" s="4">
        <f>IFERROR(__xludf.DUMMYFUNCTION("""COMPUTED_VALUE"""),0.0)</f>
        <v>0</v>
      </c>
      <c r="F697" s="4" t="str">
        <f>IFERROR(__xludf.DUMMYFUNCTION("""COMPUTED_VALUE"""),"Lee Company")</f>
        <v>Lee Company</v>
      </c>
      <c r="G697" s="4" t="str">
        <f>IFERROR(__xludf.DUMMYFUNCTION("""COMPUTED_VALUE"""),"LHDB1233418H")</f>
        <v>LHDB1233418H</v>
      </c>
      <c r="H697" s="4"/>
      <c r="I697" s="4"/>
      <c r="J697" s="4"/>
      <c r="K697" s="4"/>
      <c r="L697" s="4"/>
      <c r="M697" s="4"/>
      <c r="N697" s="9" t="str">
        <f>IFERROR(__xludf.DUMMYFUNCTION("""COMPUTED_VALUE"""),"OEPS030027")</f>
        <v>OEPS030027</v>
      </c>
      <c r="O697" s="4" t="str">
        <f>IFERROR(__xludf.DUMMYFUNCTION("""COMPUTED_VALUE"""),"PMEG3020EP,115")</f>
        <v>PMEG3020EP,115</v>
      </c>
      <c r="P697" s="4" t="str">
        <f>IFERROR(__xludf.DUMMYFUNCTION("""COMPUTED_VALUE"""),"4(Tp) 129(Tp) 165(R) ")</f>
        <v>4(Tp) 129(Tp) 165(R) </v>
      </c>
      <c r="Q697" s="4">
        <f>IFERROR(__xludf.DUMMYFUNCTION("""COMPUTED_VALUE"""),298.0)</f>
        <v>298</v>
      </c>
      <c r="R697" s="4">
        <f>IFERROR(__xludf.DUMMYFUNCTION("""COMPUTED_VALUE"""),4.0)</f>
        <v>4</v>
      </c>
      <c r="S697" s="4" t="str">
        <f>IFERROR(__xludf.DUMMYFUNCTION("""COMPUTED_VALUE"""),"Tape")</f>
        <v>Tape</v>
      </c>
      <c r="T697" s="4" t="str">
        <f>IFERROR(__xludf.DUMMYFUNCTION("""COMPUTED_VALUE"""),"XXXX")</f>
        <v>XXXX</v>
      </c>
      <c r="U697" s="4">
        <f>IFERROR(__xludf.DUMMYFUNCTION("""COMPUTED_VALUE"""),129.0)</f>
        <v>129</v>
      </c>
      <c r="V697" s="4" t="str">
        <f>IFERROR(__xludf.DUMMYFUNCTION("""COMPUTED_VALUE"""),"Tape")</f>
        <v>Tape</v>
      </c>
      <c r="W697" s="4" t="str">
        <f>IFERROR(__xludf.DUMMYFUNCTION("""COMPUTED_VALUE"""),"XXXX")</f>
        <v>XXXX</v>
      </c>
      <c r="X697" s="4">
        <f>IFERROR(__xludf.DUMMYFUNCTION("""COMPUTED_VALUE"""),165.0)</f>
        <v>165</v>
      </c>
      <c r="Y697" s="4" t="str">
        <f>IFERROR(__xludf.DUMMYFUNCTION("""COMPUTED_VALUE"""),"Reel")</f>
        <v>Reel</v>
      </c>
      <c r="Z697" s="4" t="str">
        <f>IFERROR(__xludf.DUMMYFUNCTION("""COMPUTED_VALUE"""),"0524")</f>
        <v>0524</v>
      </c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</row>
    <row r="698">
      <c r="A698" s="4" t="str">
        <f>IFERROR(__xludf.DUMMYFUNCTION("""COMPUTED_VALUE"""),"OTHER:   VIVE Base Station   [BS1.0] [Other]")</f>
        <v>OTHER:   VIVE Base Station   [BS1.0] [Other]</v>
      </c>
      <c r="B698" s="4" t="str">
        <f>IFERROR(__xludf.DUMMYFUNCTION("""COMPUTED_VALUE"""),"OEPS100044")</f>
        <v>OEPS100044</v>
      </c>
      <c r="C698" s="4" t="str">
        <f>IFERROR(__xludf.DUMMYFUNCTION("""COMPUTED_VALUE"""),"Other")</f>
        <v>Other</v>
      </c>
      <c r="D698" s="4" t="str">
        <f>IFERROR(__xludf.DUMMYFUNCTION("""COMPUTED_VALUE"""),"BS1.0")</f>
        <v>BS1.0</v>
      </c>
      <c r="E698" s="4">
        <f>IFERROR(__xludf.DUMMYFUNCTION("""COMPUTED_VALUE"""),0.0)</f>
        <v>0</v>
      </c>
      <c r="F698" s="4" t="str">
        <f>IFERROR(__xludf.DUMMYFUNCTION("""COMPUTED_VALUE"""),"Vive")</f>
        <v>Vive</v>
      </c>
      <c r="G698" s="4" t="str">
        <f>IFERROR(__xludf.DUMMYFUNCTION("""COMPUTED_VALUE"""),"BS1.0")</f>
        <v>BS1.0</v>
      </c>
      <c r="H698" s="4"/>
      <c r="I698" s="4"/>
      <c r="J698" s="4"/>
      <c r="K698" s="4"/>
      <c r="L698" s="4"/>
      <c r="M698" s="4"/>
      <c r="N698" s="9" t="str">
        <f>IFERROR(__xludf.DUMMYFUNCTION("""COMPUTED_VALUE"""),"OEPS030029")</f>
        <v>OEPS030029</v>
      </c>
      <c r="O698" s="4" t="str">
        <f>IFERROR(__xludf.DUMMYFUNCTION("""COMPUTED_VALUE"""),"LTST-C191KEKT")</f>
        <v>LTST-C191KEKT</v>
      </c>
      <c r="P698" s="4" t="str">
        <f>IFERROR(__xludf.DUMMYFUNCTION("""COMPUTED_VALUE"""),"120(Tp) 2(Tp) 1 62(R) ")</f>
        <v>120(Tp) 2(Tp) 1 62(R) </v>
      </c>
      <c r="Q698" s="4">
        <f>IFERROR(__xludf.DUMMYFUNCTION("""COMPUTED_VALUE"""),185.0)</f>
        <v>185</v>
      </c>
      <c r="R698" s="4">
        <f>IFERROR(__xludf.DUMMYFUNCTION("""COMPUTED_VALUE"""),120.0)</f>
        <v>120</v>
      </c>
      <c r="S698" s="4" t="str">
        <f>IFERROR(__xludf.DUMMYFUNCTION("""COMPUTED_VALUE"""),"Tape")</f>
        <v>Tape</v>
      </c>
      <c r="T698" s="4" t="str">
        <f>IFERROR(__xludf.DUMMYFUNCTION("""COMPUTED_VALUE"""),"0325")</f>
        <v>0325</v>
      </c>
      <c r="U698" s="4">
        <f>IFERROR(__xludf.DUMMYFUNCTION("""COMPUTED_VALUE"""),2.0)</f>
        <v>2</v>
      </c>
      <c r="V698" s="4" t="str">
        <f>IFERROR(__xludf.DUMMYFUNCTION("""COMPUTED_VALUE"""),"Tape")</f>
        <v>Tape</v>
      </c>
      <c r="W698" s="4" t="str">
        <f>IFERROR(__xludf.DUMMYFUNCTION("""COMPUTED_VALUE"""),"0325")</f>
        <v>0325</v>
      </c>
      <c r="X698" s="4">
        <f>IFERROR(__xludf.DUMMYFUNCTION("""COMPUTED_VALUE"""),1.0)</f>
        <v>1</v>
      </c>
      <c r="Y698" s="4" t="str">
        <f>IFERROR(__xludf.DUMMYFUNCTION("""COMPUTED_VALUE"""),"Bag")</f>
        <v>Bag</v>
      </c>
      <c r="Z698" s="4" t="str">
        <f>IFERROR(__xludf.DUMMYFUNCTION("""COMPUTED_VALUE"""),"1124")</f>
        <v>1124</v>
      </c>
      <c r="AA698" s="4">
        <f>IFERROR(__xludf.DUMMYFUNCTION("""COMPUTED_VALUE"""),62.0)</f>
        <v>62</v>
      </c>
      <c r="AB698" s="4" t="str">
        <f>IFERROR(__xludf.DUMMYFUNCTION("""COMPUTED_VALUE"""),"Reel")</f>
        <v>Reel</v>
      </c>
      <c r="AC698" s="4" t="str">
        <f>IFERROR(__xludf.DUMMYFUNCTION("""COMPUTED_VALUE"""),"0425")</f>
        <v>0425</v>
      </c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</row>
    <row r="699">
      <c r="A699" s="4" t="str">
        <f>IFERROR(__xludf.DUMMYFUNCTION("""COMPUTED_VALUE"""),"PCB:   ecp5u85-bse-usb_io-tester [revA]   [Single]")</f>
        <v>PCB:   ecp5u85-bse-usb_io-tester [revA]   [Single]</v>
      </c>
      <c r="B699" s="4" t="str">
        <f>IFERROR(__xludf.DUMMYFUNCTION("""COMPUTED_VALUE"""),"OEPS990001")</f>
        <v>OEPS990001</v>
      </c>
      <c r="C699" s="4" t="str">
        <f>IFERROR(__xludf.DUMMYFUNCTION("""COMPUTED_VALUE"""),"Single")</f>
        <v>Single</v>
      </c>
      <c r="D699" s="4" t="str">
        <f>IFERROR(__xludf.DUMMYFUNCTION("""COMPUTED_VALUE"""),"W200899ASU252")</f>
        <v>W200899ASU252</v>
      </c>
      <c r="E699" s="4">
        <f>IFERROR(__xludf.DUMMYFUNCTION("""COMPUTED_VALUE"""),0.0)</f>
        <v>0</v>
      </c>
      <c r="F699" s="4" t="str">
        <f>IFERROR(__xludf.DUMMYFUNCTION("""COMPUTED_VALUE"""),"PCBWay")</f>
        <v>PCBWay</v>
      </c>
      <c r="G699" s="4" t="str">
        <f>IFERROR(__xludf.DUMMYFUNCTION("""COMPUTED_VALUE"""),"W200899ASU252")</f>
        <v>W200899ASU252</v>
      </c>
      <c r="H699" s="4"/>
      <c r="I699" s="4"/>
      <c r="J699" s="4"/>
      <c r="K699" s="4"/>
      <c r="L699" s="4"/>
      <c r="M699" s="4"/>
      <c r="N699" s="9" t="str">
        <f>IFERROR(__xludf.DUMMYFUNCTION("""COMPUTED_VALUE"""),"OEPS030030")</f>
        <v>OEPS030030</v>
      </c>
      <c r="O699" s="4" t="str">
        <f>IFERROR(__xludf.DUMMYFUNCTION("""COMPUTED_VALUE"""),"SM5817PL-TP")</f>
        <v>SM5817PL-TP</v>
      </c>
      <c r="P699" s="4" t="str">
        <f>IFERROR(__xludf.DUMMYFUNCTION("""COMPUTED_VALUE"""),"203(Tp) 5(Tp) 1(Tp) 197(R) ")</f>
        <v>203(Tp) 5(Tp) 1(Tp) 197(R) </v>
      </c>
      <c r="Q699" s="4">
        <f>IFERROR(__xludf.DUMMYFUNCTION("""COMPUTED_VALUE"""),406.0)</f>
        <v>406</v>
      </c>
      <c r="R699" s="4">
        <f>IFERROR(__xludf.DUMMYFUNCTION("""COMPUTED_VALUE"""),203.0)</f>
        <v>203</v>
      </c>
      <c r="S699" s="4" t="str">
        <f>IFERROR(__xludf.DUMMYFUNCTION("""COMPUTED_VALUE"""),"Tape")</f>
        <v>Tape</v>
      </c>
      <c r="T699" s="4" t="str">
        <f>IFERROR(__xludf.DUMMYFUNCTION("""COMPUTED_VALUE"""),"0325")</f>
        <v>0325</v>
      </c>
      <c r="U699" s="4">
        <f>IFERROR(__xludf.DUMMYFUNCTION("""COMPUTED_VALUE"""),5.0)</f>
        <v>5</v>
      </c>
      <c r="V699" s="4" t="str">
        <f>IFERROR(__xludf.DUMMYFUNCTION("""COMPUTED_VALUE"""),"Tape")</f>
        <v>Tape</v>
      </c>
      <c r="W699" s="4" t="str">
        <f>IFERROR(__xludf.DUMMYFUNCTION("""COMPUTED_VALUE"""),"1025")</f>
        <v>1025</v>
      </c>
      <c r="X699" s="4">
        <f>IFERROR(__xludf.DUMMYFUNCTION("""COMPUTED_VALUE"""),1.0)</f>
        <v>1</v>
      </c>
      <c r="Y699" s="4" t="str">
        <f>IFERROR(__xludf.DUMMYFUNCTION("""COMPUTED_VALUE"""),"Tape")</f>
        <v>Tape</v>
      </c>
      <c r="Z699" s="4" t="str">
        <f>IFERROR(__xludf.DUMMYFUNCTION("""COMPUTED_VALUE"""),"1124")</f>
        <v>1124</v>
      </c>
      <c r="AA699" s="4">
        <f>IFERROR(__xludf.DUMMYFUNCTION("""COMPUTED_VALUE"""),197.0)</f>
        <v>197</v>
      </c>
      <c r="AB699" s="4" t="str">
        <f>IFERROR(__xludf.DUMMYFUNCTION("""COMPUTED_VALUE"""),"Reel")</f>
        <v>Reel</v>
      </c>
      <c r="AC699" s="4" t="str">
        <f>IFERROR(__xludf.DUMMYFUNCTION("""COMPUTED_VALUE"""),"0425")</f>
        <v>0425</v>
      </c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</row>
    <row r="700">
      <c r="A700" s="4" t="str">
        <f>IFERROR(__xludf.DUMMYFUNCTION("""COMPUTED_VALUE"""),"PCB:   eib64flexSBMicro_v1 - panel [v1.0]   [Panel 5x5]")</f>
        <v>PCB:   eib64flexSBMicro_v1 - panel [v1.0]   [Panel 5x5]</v>
      </c>
      <c r="B700" s="4" t="str">
        <f>IFERROR(__xludf.DUMMYFUNCTION("""COMPUTED_VALUE"""),"OEPS990021")</f>
        <v>OEPS990021</v>
      </c>
      <c r="C700" s="4" t="str">
        <f>IFERROR(__xludf.DUMMYFUNCTION("""COMPUTED_VALUE"""),"5x5")</f>
        <v>5x5</v>
      </c>
      <c r="D700" s="29" t="str">
        <f>IFERROR(__xludf.DUMMYFUNCTION("""COMPUTED_VALUE"""),"https://drive.google.com/open?id=1Sz0oFLUyvNfDZSYuJwn1zTPsjktcliA-&amp;usp=drive_fs")</f>
        <v>https://drive.google.com/open?id=1Sz0oFLUyvNfDZSYuJwn1zTPsjktcliA-&amp;usp=drive_fs</v>
      </c>
      <c r="E700" s="4">
        <f>IFERROR(__xludf.DUMMYFUNCTION("""COMPUTED_VALUE"""),0.0)</f>
        <v>0</v>
      </c>
      <c r="F700" s="4" t="str">
        <f>IFERROR(__xludf.DUMMYFUNCTION("""COMPUTED_VALUE"""),"PCBWay")</f>
        <v>PCBWay</v>
      </c>
      <c r="G700" s="4" t="str">
        <f>IFERROR(__xludf.DUMMYFUNCTION("""COMPUTED_VALUE"""),"W200899ASU272")</f>
        <v>W200899ASU272</v>
      </c>
      <c r="H700" s="4"/>
      <c r="I700" s="4"/>
      <c r="J700" s="4"/>
      <c r="K700" s="4"/>
      <c r="L700" s="4"/>
      <c r="M700" s="4"/>
      <c r="N700" s="9" t="str">
        <f>IFERROR(__xludf.DUMMYFUNCTION("""COMPUTED_VALUE"""),"OEPS030032")</f>
        <v>OEPS030032</v>
      </c>
      <c r="O700" s="4" t="str">
        <f>IFERROR(__xludf.DUMMYFUNCTION("""COMPUTED_VALUE"""),"LSM0603453V")</f>
        <v>LSM0603453V</v>
      </c>
      <c r="P700" s="4" t="str">
        <f>IFERROR(__xludf.DUMMYFUNCTION("""COMPUTED_VALUE"""),"1 ")</f>
        <v>1 </v>
      </c>
      <c r="Q700" s="4">
        <f>IFERROR(__xludf.DUMMYFUNCTION("""COMPUTED_VALUE"""),1.0)</f>
        <v>1</v>
      </c>
      <c r="R700" s="4">
        <f>IFERROR(__xludf.DUMMYFUNCTION("""COMPUTED_VALUE"""),1.0)</f>
        <v>1</v>
      </c>
      <c r="S700" s="4" t="str">
        <f>IFERROR(__xludf.DUMMYFUNCTION("""COMPUTED_VALUE"""),"Bag")</f>
        <v>Bag</v>
      </c>
      <c r="T700" s="4" t="str">
        <f>IFERROR(__xludf.DUMMYFUNCTION("""COMPUTED_VALUE"""),"0925")</f>
        <v>0925</v>
      </c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</row>
    <row r="701">
      <c r="A701" s="4" t="str">
        <f>IFERROR(__xludf.DUMMYFUNCTION("""COMPUTED_VALUE"""),"PCB:   harp behavior encoder   [Panel v1.2]")</f>
        <v>PCB:   harp behavior encoder   [Panel v1.2]</v>
      </c>
      <c r="B701" s="4" t="str">
        <f>IFERROR(__xludf.DUMMYFUNCTION("""COMPUTED_VALUE"""),"OEPS990008")</f>
        <v>OEPS990008</v>
      </c>
      <c r="C701" s="4" t="str">
        <f>IFERROR(__xludf.DUMMYFUNCTION("""COMPUTED_VALUE"""),"v1.2")</f>
        <v>v1.2</v>
      </c>
      <c r="D701" s="4" t="str">
        <f>IFERROR(__xludf.DUMMYFUNCTION("""COMPUTED_VALUE"""),"W200899ASU273")</f>
        <v>W200899ASU273</v>
      </c>
      <c r="E701" s="4">
        <f>IFERROR(__xludf.DUMMYFUNCTION("""COMPUTED_VALUE"""),0.0)</f>
        <v>0</v>
      </c>
      <c r="F701" s="4" t="str">
        <f>IFERROR(__xludf.DUMMYFUNCTION("""COMPUTED_VALUE"""),"PCBWay")</f>
        <v>PCBWay</v>
      </c>
      <c r="G701" s="4" t="str">
        <f>IFERROR(__xludf.DUMMYFUNCTION("""COMPUTED_VALUE"""),"W200899ASU273")</f>
        <v>W200899ASU273</v>
      </c>
      <c r="H701" s="4"/>
      <c r="I701" s="4"/>
      <c r="J701" s="4"/>
      <c r="K701" s="4"/>
      <c r="L701" s="4"/>
      <c r="M701" s="4"/>
      <c r="N701" s="9" t="str">
        <f>IFERROR(__xludf.DUMMYFUNCTION("""COMPUTED_VALUE"""),"OEPS030033")</f>
        <v>OEPS030033</v>
      </c>
      <c r="O701" s="4" t="str">
        <f>IFERROR(__xludf.DUMMYFUNCTION("""COMPUTED_VALUE"""),"150060GS75000")</f>
        <v>150060GS75000</v>
      </c>
      <c r="P701" s="4" t="str">
        <f>IFERROR(__xludf.DUMMYFUNCTION("""COMPUTED_VALUE"""),"4 ")</f>
        <v>4 </v>
      </c>
      <c r="Q701" s="4">
        <f>IFERROR(__xludf.DUMMYFUNCTION("""COMPUTED_VALUE"""),4.0)</f>
        <v>4</v>
      </c>
      <c r="R701" s="4">
        <f>IFERROR(__xludf.DUMMYFUNCTION("""COMPUTED_VALUE"""),4.0)</f>
        <v>4</v>
      </c>
      <c r="S701" s="4" t="str">
        <f>IFERROR(__xludf.DUMMYFUNCTION("""COMPUTED_VALUE"""),"Bag")</f>
        <v>Bag</v>
      </c>
      <c r="T701" s="4" t="str">
        <f>IFERROR(__xludf.DUMMYFUNCTION("""COMPUTED_VALUE"""),"0525")</f>
        <v>0525</v>
      </c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</row>
    <row r="702">
      <c r="A702" s="4" t="str">
        <f>IFERROR(__xludf.DUMMYFUNCTION("""COMPUTED_VALUE"""),"PCB:   harp behavior encoder   [Panel v1.3]")</f>
        <v>PCB:   harp behavior encoder   [Panel v1.3]</v>
      </c>
      <c r="B702" s="4" t="str">
        <f>IFERROR(__xludf.DUMMYFUNCTION("""COMPUTED_VALUE"""),"OEPS990023")</f>
        <v>OEPS990023</v>
      </c>
      <c r="C702" s="4" t="str">
        <f>IFERROR(__xludf.DUMMYFUNCTION("""COMPUTED_VALUE"""),"v1.3")</f>
        <v>v1.3</v>
      </c>
      <c r="D702" s="4" t="str">
        <f>IFERROR(__xludf.DUMMYFUNCTION("""COMPUTED_VALUE"""),"E1522333")</f>
        <v>E1522333</v>
      </c>
      <c r="E702" s="4">
        <f>IFERROR(__xludf.DUMMYFUNCTION("""COMPUTED_VALUE"""),0.0)</f>
        <v>0</v>
      </c>
      <c r="F702" s="4" t="str">
        <f>IFERROR(__xludf.DUMMYFUNCTION("""COMPUTED_VALUE"""),"Eurocircuits")</f>
        <v>Eurocircuits</v>
      </c>
      <c r="G702" s="4" t="str">
        <f>IFERROR(__xludf.DUMMYFUNCTION("""COMPUTED_VALUE"""),"E1522333")</f>
        <v>E1522333</v>
      </c>
      <c r="H702" s="4"/>
      <c r="I702" s="4"/>
      <c r="J702" s="4"/>
      <c r="K702" s="4"/>
      <c r="L702" s="4"/>
      <c r="M702" s="4"/>
      <c r="N702" s="9" t="str">
        <f>IFERROR(__xludf.DUMMYFUNCTION("""COMPUTED_VALUE"""),"OEPS030034")</f>
        <v>OEPS030034</v>
      </c>
      <c r="O702" s="4" t="str">
        <f>IFERROR(__xludf.DUMMYFUNCTION("""COMPUTED_VALUE"""),"CDBW140-G")</f>
        <v>CDBW140-G</v>
      </c>
      <c r="P702" s="4" t="str">
        <f>IFERROR(__xludf.DUMMYFUNCTION("""COMPUTED_VALUE"""),"7(Tp) ")</f>
        <v>7(Tp) </v>
      </c>
      <c r="Q702" s="4">
        <f>IFERROR(__xludf.DUMMYFUNCTION("""COMPUTED_VALUE"""),7.0)</f>
        <v>7</v>
      </c>
      <c r="R702" s="4">
        <f>IFERROR(__xludf.DUMMYFUNCTION("""COMPUTED_VALUE"""),7.0)</f>
        <v>7</v>
      </c>
      <c r="S702" s="4" t="str">
        <f>IFERROR(__xludf.DUMMYFUNCTION("""COMPUTED_VALUE"""),"Tape")</f>
        <v>Tape</v>
      </c>
      <c r="T702" s="4" t="str">
        <f>IFERROR(__xludf.DUMMYFUNCTION("""COMPUTED_VALUE"""),"0425")</f>
        <v>0425</v>
      </c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</row>
    <row r="703">
      <c r="A703" s="4" t="str">
        <f>IFERROR(__xludf.DUMMYFUNCTION("""COMPUTED_VALUE"""),"PCB:   harp behavior poke port breakout   [Panel v2.1]")</f>
        <v>PCB:   harp behavior poke port breakout   [Panel v2.1]</v>
      </c>
      <c r="B703" s="4" t="str">
        <f>IFERROR(__xludf.DUMMYFUNCTION("""COMPUTED_VALUE"""),"OEPS990006")</f>
        <v>OEPS990006</v>
      </c>
      <c r="C703" s="4" t="str">
        <f>IFERROR(__xludf.DUMMYFUNCTION("""COMPUTED_VALUE"""),"v2.1")</f>
        <v>v2.1</v>
      </c>
      <c r="D703" s="4" t="str">
        <f>IFERROR(__xludf.DUMMYFUNCTION("""COMPUTED_VALUE"""),"E1477389")</f>
        <v>E1477389</v>
      </c>
      <c r="E703" s="4">
        <f>IFERROR(__xludf.DUMMYFUNCTION("""COMPUTED_VALUE"""),0.0)</f>
        <v>0</v>
      </c>
      <c r="F703" s="4" t="str">
        <f>IFERROR(__xludf.DUMMYFUNCTION("""COMPUTED_VALUE"""),"Eurocircuits")</f>
        <v>Eurocircuits</v>
      </c>
      <c r="G703" s="4" t="str">
        <f>IFERROR(__xludf.DUMMYFUNCTION("""COMPUTED_VALUE"""),"E1477389")</f>
        <v>E1477389</v>
      </c>
      <c r="H703" s="4"/>
      <c r="I703" s="4"/>
      <c r="J703" s="4"/>
      <c r="K703" s="4"/>
      <c r="L703" s="4"/>
      <c r="M703" s="4"/>
      <c r="N703" s="9" t="str">
        <f>IFERROR(__xludf.DUMMYFUNCTION("""COMPUTED_VALUE"""),"OEPS030035")</f>
        <v>OEPS030035</v>
      </c>
      <c r="O703" s="4" t="str">
        <f>IFERROR(__xludf.DUMMYFUNCTION("""COMPUTED_VALUE"""),"BAR43CFILM")</f>
        <v>BAR43CFILM</v>
      </c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</row>
    <row r="704">
      <c r="A704" s="4" t="str">
        <f>IFERROR(__xludf.DUMMYFUNCTION("""COMPUTED_VALUE"""),"PCB:   harp behavior speaker   [Panel v1.1]")</f>
        <v>PCB:   harp behavior speaker   [Panel v1.1]</v>
      </c>
      <c r="B704" s="4" t="str">
        <f>IFERROR(__xludf.DUMMYFUNCTION("""COMPUTED_VALUE"""),"OEPS990007")</f>
        <v>OEPS990007</v>
      </c>
      <c r="C704" s="4" t="str">
        <f>IFERROR(__xludf.DUMMYFUNCTION("""COMPUTED_VALUE"""),"v1.1")</f>
        <v>v1.1</v>
      </c>
      <c r="D704" s="4" t="str">
        <f>IFERROR(__xludf.DUMMYFUNCTION("""COMPUTED_VALUE"""),"W200899ASU274")</f>
        <v>W200899ASU274</v>
      </c>
      <c r="E704" s="4">
        <f>IFERROR(__xludf.DUMMYFUNCTION("""COMPUTED_VALUE"""),0.0)</f>
        <v>0</v>
      </c>
      <c r="F704" s="4" t="str">
        <f>IFERROR(__xludf.DUMMYFUNCTION("""COMPUTED_VALUE"""),"PCBWay")</f>
        <v>PCBWay</v>
      </c>
      <c r="G704" s="4" t="str">
        <f>IFERROR(__xludf.DUMMYFUNCTION("""COMPUTED_VALUE"""),"W200899ASU274")</f>
        <v>W200899ASU274</v>
      </c>
      <c r="H704" s="4"/>
      <c r="I704" s="4"/>
      <c r="J704" s="4"/>
      <c r="K704" s="4"/>
      <c r="L704" s="4"/>
      <c r="M704" s="4"/>
      <c r="N704" s="9" t="str">
        <f>IFERROR(__xludf.DUMMYFUNCTION("""COMPUTED_VALUE"""),"OEPS030036")</f>
        <v>OEPS030036</v>
      </c>
      <c r="O704" s="4" t="str">
        <f>IFERROR(__xludf.DUMMYFUNCTION("""COMPUTED_VALUE"""),"BAR43AFILM")</f>
        <v>BAR43AFILM</v>
      </c>
      <c r="P704" s="4" t="str">
        <f>IFERROR(__xludf.DUMMYFUNCTION("""COMPUTED_VALUE"""),"2(Tp) ")</f>
        <v>2(Tp) </v>
      </c>
      <c r="Q704" s="4">
        <f>IFERROR(__xludf.DUMMYFUNCTION("""COMPUTED_VALUE"""),2.0)</f>
        <v>2</v>
      </c>
      <c r="R704" s="4">
        <f>IFERROR(__xludf.DUMMYFUNCTION("""COMPUTED_VALUE"""),2.0)</f>
        <v>2</v>
      </c>
      <c r="S704" s="4" t="str">
        <f>IFERROR(__xludf.DUMMYFUNCTION("""COMPUTED_VALUE"""),"Tape")</f>
        <v>Tape</v>
      </c>
      <c r="T704" s="4" t="str">
        <f>IFERROR(__xludf.DUMMYFUNCTION("""COMPUTED_VALUE"""),"0425")</f>
        <v>0425</v>
      </c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</row>
    <row r="705">
      <c r="A705" s="4" t="str">
        <f>IFERROR(__xludf.DUMMYFUNCTION("""COMPUTED_VALUE"""),"PCB:   harp behavior speaker   [Panel v1.2]")</f>
        <v>PCB:   harp behavior speaker   [Panel v1.2]</v>
      </c>
      <c r="B705" s="4" t="str">
        <f>IFERROR(__xludf.DUMMYFUNCTION("""COMPUTED_VALUE"""),"OEPS990022")</f>
        <v>OEPS990022</v>
      </c>
      <c r="C705" s="4" t="str">
        <f>IFERROR(__xludf.DUMMYFUNCTION("""COMPUTED_VALUE"""),"v1.2")</f>
        <v>v1.2</v>
      </c>
      <c r="D705" s="4" t="str">
        <f>IFERROR(__xludf.DUMMYFUNCTION("""COMPUTED_VALUE"""),"E1522332")</f>
        <v>E1522332</v>
      </c>
      <c r="E705" s="4">
        <f>IFERROR(__xludf.DUMMYFUNCTION("""COMPUTED_VALUE"""),0.0)</f>
        <v>0</v>
      </c>
      <c r="F705" s="4" t="str">
        <f>IFERROR(__xludf.DUMMYFUNCTION("""COMPUTED_VALUE"""),"Eurocircuits")</f>
        <v>Eurocircuits</v>
      </c>
      <c r="G705" s="4" t="str">
        <f>IFERROR(__xludf.DUMMYFUNCTION("""COMPUTED_VALUE"""),"E1522332")</f>
        <v>E1522332</v>
      </c>
      <c r="H705" s="4"/>
      <c r="I705" s="4"/>
      <c r="J705" s="4"/>
      <c r="K705" s="4"/>
      <c r="L705" s="4"/>
      <c r="M705" s="4"/>
      <c r="N705" s="9" t="str">
        <f>IFERROR(__xludf.DUMMYFUNCTION("""COMPUTED_VALUE"""),"OEPS030037")</f>
        <v>OEPS030037</v>
      </c>
      <c r="O705" s="4" t="str">
        <f>IFERROR(__xludf.DUMMYFUNCTION("""COMPUTED_VALUE"""),"TPD4E05U06DQAR")</f>
        <v>TPD4E05U06DQAR</v>
      </c>
      <c r="P705" s="4" t="str">
        <f>IFERROR(__xludf.DUMMYFUNCTION("""COMPUTED_VALUE"""),"6(Tp) ")</f>
        <v>6(Tp) </v>
      </c>
      <c r="Q705" s="4">
        <f>IFERROR(__xludf.DUMMYFUNCTION("""COMPUTED_VALUE"""),6.0)</f>
        <v>6</v>
      </c>
      <c r="R705" s="4">
        <f>IFERROR(__xludf.DUMMYFUNCTION("""COMPUTED_VALUE"""),6.0)</f>
        <v>6</v>
      </c>
      <c r="S705" s="4" t="str">
        <f>IFERROR(__xludf.DUMMYFUNCTION("""COMPUTED_VALUE"""),"Tape")</f>
        <v>Tape</v>
      </c>
      <c r="T705" s="4" t="str">
        <f>IFERROR(__xludf.DUMMYFUNCTION("""COMPUTED_VALUE"""),"0425")</f>
        <v>0425</v>
      </c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</row>
    <row r="706">
      <c r="A706" s="4" t="str">
        <f>IFERROR(__xludf.DUMMYFUNCTION("""COMPUTED_VALUE"""),"PCB:   harp camera controller   [Panel v1.2]")</f>
        <v>PCB:   harp camera controller   [Panel v1.2]</v>
      </c>
      <c r="B706" s="4" t="str">
        <f>IFERROR(__xludf.DUMMYFUNCTION("""COMPUTED_VALUE"""),"OEPS990009")</f>
        <v>OEPS990009</v>
      </c>
      <c r="C706" s="4" t="str">
        <f>IFERROR(__xludf.DUMMYFUNCTION("""COMPUTED_VALUE"""),"v1.2")</f>
        <v>v1.2</v>
      </c>
      <c r="D706" s="4" t="str">
        <f>IFERROR(__xludf.DUMMYFUNCTION("""COMPUTED_VALUE"""),"W200899ASU224")</f>
        <v>W200899ASU224</v>
      </c>
      <c r="E706" s="4">
        <f>IFERROR(__xludf.DUMMYFUNCTION("""COMPUTED_VALUE"""),0.0)</f>
        <v>0</v>
      </c>
      <c r="F706" s="4" t="str">
        <f>IFERROR(__xludf.DUMMYFUNCTION("""COMPUTED_VALUE"""),"PCBWay")</f>
        <v>PCBWay</v>
      </c>
      <c r="G706" s="4" t="str">
        <f>IFERROR(__xludf.DUMMYFUNCTION("""COMPUTED_VALUE"""),"W200899ASU224")</f>
        <v>W200899ASU224</v>
      </c>
      <c r="H706" s="4"/>
      <c r="I706" s="4"/>
      <c r="J706" s="4"/>
      <c r="K706" s="4"/>
      <c r="L706" s="4"/>
      <c r="M706" s="4"/>
      <c r="N706" s="9" t="str">
        <f>IFERROR(__xludf.DUMMYFUNCTION("""COMPUTED_VALUE"""),"OEPS030038")</f>
        <v>OEPS030038</v>
      </c>
      <c r="O706" s="4" t="str">
        <f>IFERROR(__xludf.DUMMYFUNCTION("""COMPUTED_VALUE"""),"VFHR1116P-4C82A-TR")</f>
        <v>VFHR1116P-4C82A-TR</v>
      </c>
      <c r="P706" s="4" t="str">
        <f>IFERROR(__xludf.DUMMYFUNCTION("""COMPUTED_VALUE"""),"3 4 3 ")</f>
        <v>3 4 3 </v>
      </c>
      <c r="Q706" s="4">
        <f>IFERROR(__xludf.DUMMYFUNCTION("""COMPUTED_VALUE"""),10.0)</f>
        <v>10</v>
      </c>
      <c r="R706" s="4">
        <f>IFERROR(__xludf.DUMMYFUNCTION("""COMPUTED_VALUE"""),3.0)</f>
        <v>3</v>
      </c>
      <c r="S706" s="4" t="str">
        <f>IFERROR(__xludf.DUMMYFUNCTION("""COMPUTED_VALUE"""),"Bag")</f>
        <v>Bag</v>
      </c>
      <c r="T706" s="4" t="str">
        <f>IFERROR(__xludf.DUMMYFUNCTION("""COMPUTED_VALUE"""),"0226")</f>
        <v>0226</v>
      </c>
      <c r="U706" s="4">
        <f>IFERROR(__xludf.DUMMYFUNCTION("""COMPUTED_VALUE"""),4.0)</f>
        <v>4</v>
      </c>
      <c r="V706" s="4" t="str">
        <f>IFERROR(__xludf.DUMMYFUNCTION("""COMPUTED_VALUE"""),"Bag")</f>
        <v>Bag</v>
      </c>
      <c r="W706" s="4" t="str">
        <f>IFERROR(__xludf.DUMMYFUNCTION("""COMPUTED_VALUE"""),"XXXX")</f>
        <v>XXXX</v>
      </c>
      <c r="X706" s="4">
        <f>IFERROR(__xludf.DUMMYFUNCTION("""COMPUTED_VALUE"""),3.0)</f>
        <v>3</v>
      </c>
      <c r="Y706" s="4" t="str">
        <f>IFERROR(__xludf.DUMMYFUNCTION("""COMPUTED_VALUE"""),"Bag")</f>
        <v>Bag</v>
      </c>
      <c r="Z706" s="4" t="str">
        <f>IFERROR(__xludf.DUMMYFUNCTION("""COMPUTED_VALUE"""),"0825")</f>
        <v>0825</v>
      </c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</row>
    <row r="707">
      <c r="A707" s="4" t="str">
        <f>IFERROR(__xludf.DUMMYFUNCTION("""COMPUTED_VALUE"""),"PCB:   harp camera controller - front [v1.2]   [Single]")</f>
        <v>PCB:   harp camera controller - front [v1.2]   [Single]</v>
      </c>
      <c r="B707" s="4" t="str">
        <f>IFERROR(__xludf.DUMMYFUNCTION("""COMPUTED_VALUE"""),"OEPS990010")</f>
        <v>OEPS990010</v>
      </c>
      <c r="C707" s="4" t="str">
        <f>IFERROR(__xludf.DUMMYFUNCTION("""COMPUTED_VALUE"""),"Single")</f>
        <v>Single</v>
      </c>
      <c r="D707" s="4" t="str">
        <f>IFERROR(__xludf.DUMMYFUNCTION("""COMPUTED_VALUE"""),"W200899ASU225")</f>
        <v>W200899ASU225</v>
      </c>
      <c r="E707" s="4">
        <f>IFERROR(__xludf.DUMMYFUNCTION("""COMPUTED_VALUE"""),0.0)</f>
        <v>0</v>
      </c>
      <c r="F707" s="4" t="str">
        <f>IFERROR(__xludf.DUMMYFUNCTION("""COMPUTED_VALUE"""),"PCBWay")</f>
        <v>PCBWay</v>
      </c>
      <c r="G707" s="4" t="str">
        <f>IFERROR(__xludf.DUMMYFUNCTION("""COMPUTED_VALUE"""),"W200899ASU225")</f>
        <v>W200899ASU225</v>
      </c>
      <c r="H707" s="4"/>
      <c r="I707" s="4"/>
      <c r="J707" s="4"/>
      <c r="K707" s="4"/>
      <c r="L707" s="4"/>
      <c r="M707" s="4"/>
      <c r="N707" s="9" t="str">
        <f>IFERROR(__xludf.DUMMYFUNCTION("""COMPUTED_VALUE"""),"OEPS030039")</f>
        <v>OEPS030039</v>
      </c>
      <c r="O707" s="4" t="str">
        <f>IFERROR(__xludf.DUMMYFUNCTION("""COMPUTED_VALUE"""),"ESD9B3.3ST5G")</f>
        <v>ESD9B3.3ST5G</v>
      </c>
      <c r="P707" s="4" t="str">
        <f>IFERROR(__xludf.DUMMYFUNCTION("""COMPUTED_VALUE"""),"90(Tp) ")</f>
        <v>90(Tp) </v>
      </c>
      <c r="Q707" s="4">
        <f>IFERROR(__xludf.DUMMYFUNCTION("""COMPUTED_VALUE"""),90.0)</f>
        <v>90</v>
      </c>
      <c r="R707" s="4">
        <f>IFERROR(__xludf.DUMMYFUNCTION("""COMPUTED_VALUE"""),90.0)</f>
        <v>90</v>
      </c>
      <c r="S707" s="4" t="str">
        <f>IFERROR(__xludf.DUMMYFUNCTION("""COMPUTED_VALUE"""),"Tape")</f>
        <v>Tape</v>
      </c>
      <c r="T707" s="4" t="str">
        <f>IFERROR(__xludf.DUMMYFUNCTION("""COMPUTED_VALUE"""),"XXXX")</f>
        <v>XXXX</v>
      </c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</row>
    <row r="708">
      <c r="A708" s="4" t="str">
        <f>IFERROR(__xludf.DUMMYFUNCTION("""COMPUTED_VALUE"""),"PCB:   harp camera controller - rear [v1.2]   [Single]")</f>
        <v>PCB:   harp camera controller - rear [v1.2]   [Single]</v>
      </c>
      <c r="B708" s="4" t="str">
        <f>IFERROR(__xludf.DUMMYFUNCTION("""COMPUTED_VALUE"""),"OEPS990011")</f>
        <v>OEPS990011</v>
      </c>
      <c r="C708" s="4" t="str">
        <f>IFERROR(__xludf.DUMMYFUNCTION("""COMPUTED_VALUE"""),"Single")</f>
        <v>Single</v>
      </c>
      <c r="D708" s="4" t="str">
        <f>IFERROR(__xludf.DUMMYFUNCTION("""COMPUTED_VALUE"""),"W200899ASU226")</f>
        <v>W200899ASU226</v>
      </c>
      <c r="E708" s="4">
        <f>IFERROR(__xludf.DUMMYFUNCTION("""COMPUTED_VALUE"""),0.0)</f>
        <v>0</v>
      </c>
      <c r="F708" s="4" t="str">
        <f>IFERROR(__xludf.DUMMYFUNCTION("""COMPUTED_VALUE"""),"PCBWay")</f>
        <v>PCBWay</v>
      </c>
      <c r="G708" s="4" t="str">
        <f>IFERROR(__xludf.DUMMYFUNCTION("""COMPUTED_VALUE"""),"W200899ASU226")</f>
        <v>W200899ASU226</v>
      </c>
      <c r="H708" s="4"/>
      <c r="I708" s="4"/>
      <c r="J708" s="4"/>
      <c r="K708" s="4"/>
      <c r="L708" s="4"/>
      <c r="M708" s="4"/>
      <c r="N708" s="9" t="str">
        <f>IFERROR(__xludf.DUMMYFUNCTION("""COMPUTED_VALUE"""),"OEPS030042")</f>
        <v>OEPS030042</v>
      </c>
      <c r="O708" s="4" t="str">
        <f>IFERROR(__xludf.DUMMYFUNCTION("""COMPUTED_VALUE"""),"5988D90107F")</f>
        <v>5988D90107F</v>
      </c>
      <c r="P708" s="4" t="str">
        <f>IFERROR(__xludf.DUMMYFUNCTION("""COMPUTED_VALUE"""),"1 ")</f>
        <v>1 </v>
      </c>
      <c r="Q708" s="4">
        <f>IFERROR(__xludf.DUMMYFUNCTION("""COMPUTED_VALUE"""),1.0)</f>
        <v>1</v>
      </c>
      <c r="R708" s="4">
        <f>IFERROR(__xludf.DUMMYFUNCTION("""COMPUTED_VALUE"""),1.0)</f>
        <v>1</v>
      </c>
      <c r="S708" s="4" t="str">
        <f>IFERROR(__xludf.DUMMYFUNCTION("""COMPUTED_VALUE"""),"Bag")</f>
        <v>Bag</v>
      </c>
      <c r="T708" s="4" t="str">
        <f>IFERROR(__xludf.DUMMYFUNCTION("""COMPUTED_VALUE"""),"0925")</f>
        <v>0925</v>
      </c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</row>
    <row r="709">
      <c r="A709" s="4" t="str">
        <f>IFERROR(__xludf.DUMMYFUNCTION("""COMPUTED_VALUE"""),"PCB:   harp camera controller breakout   [Panel v1.0]")</f>
        <v>PCB:   harp camera controller breakout   [Panel v1.0]</v>
      </c>
      <c r="B709" s="4" t="str">
        <f>IFERROR(__xludf.DUMMYFUNCTION("""COMPUTED_VALUE"""),"OEPS990004")</f>
        <v>OEPS990004</v>
      </c>
      <c r="C709" s="4" t="str">
        <f>IFERROR(__xludf.DUMMYFUNCTION("""COMPUTED_VALUE"""),"v1.0")</f>
        <v>v1.0</v>
      </c>
      <c r="D709" s="4" t="str">
        <f>IFERROR(__xludf.DUMMYFUNCTION("""COMPUTED_VALUE"""),"W200899ASU223")</f>
        <v>W200899ASU223</v>
      </c>
      <c r="E709" s="4">
        <f>IFERROR(__xludf.DUMMYFUNCTION("""COMPUTED_VALUE"""),0.0)</f>
        <v>0</v>
      </c>
      <c r="F709" s="4" t="str">
        <f>IFERROR(__xludf.DUMMYFUNCTION("""COMPUTED_VALUE"""),"PCBWay")</f>
        <v>PCBWay</v>
      </c>
      <c r="G709" s="4" t="str">
        <f>IFERROR(__xludf.DUMMYFUNCTION("""COMPUTED_VALUE"""),"W200899ASU223")</f>
        <v>W200899ASU223</v>
      </c>
      <c r="H709" s="4"/>
      <c r="I709" s="4"/>
      <c r="J709" s="4"/>
      <c r="K709" s="4"/>
      <c r="L709" s="4"/>
      <c r="M709" s="4"/>
      <c r="N709" s="9" t="str">
        <f>IFERROR(__xludf.DUMMYFUNCTION("""COMPUTED_VALUE"""),"OEPS030043")</f>
        <v>OEPS030043</v>
      </c>
      <c r="O709" s="4" t="str">
        <f>IFERROR(__xludf.DUMMYFUNCTION("""COMPUTED_VALUE"""),"5990040007F")</f>
        <v>5990040007F</v>
      </c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</row>
    <row r="710">
      <c r="A710" s="4" t="str">
        <f>IFERROR(__xludf.DUMMYFUNCTION("""COMPUTED_VALUE"""),"PCB:   harp expander   [Panel v1.2]")</f>
        <v>PCB:   harp expander   [Panel v1.2]</v>
      </c>
      <c r="B710" s="4" t="str">
        <f>IFERROR(__xludf.DUMMYFUNCTION("""COMPUTED_VALUE"""),"OEPS990015")</f>
        <v>OEPS990015</v>
      </c>
      <c r="C710" s="4" t="str">
        <f>IFERROR(__xludf.DUMMYFUNCTION("""COMPUTED_VALUE"""),"v1.2")</f>
        <v>v1.2</v>
      </c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9" t="str">
        <f>IFERROR(__xludf.DUMMYFUNCTION("""COMPUTED_VALUE"""),"OEPS030044")</f>
        <v>OEPS030044</v>
      </c>
      <c r="O710" s="4" t="str">
        <f>IFERROR(__xludf.DUMMYFUNCTION("""COMPUTED_VALUE"""),"5990010007F")</f>
        <v>5990010007F</v>
      </c>
      <c r="P710" s="4" t="str">
        <f>IFERROR(__xludf.DUMMYFUNCTION("""COMPUTED_VALUE"""),"1 ")</f>
        <v>1 </v>
      </c>
      <c r="Q710" s="4">
        <f>IFERROR(__xludf.DUMMYFUNCTION("""COMPUTED_VALUE"""),1.0)</f>
        <v>1</v>
      </c>
      <c r="R710" s="4">
        <f>IFERROR(__xludf.DUMMYFUNCTION("""COMPUTED_VALUE"""),1.0)</f>
        <v>1</v>
      </c>
      <c r="S710" s="4" t="str">
        <f>IFERROR(__xludf.DUMMYFUNCTION("""COMPUTED_VALUE"""),"Bag")</f>
        <v>Bag</v>
      </c>
      <c r="T710" s="4" t="str">
        <f>IFERROR(__xludf.DUMMYFUNCTION("""COMPUTED_VALUE"""),"0925")</f>
        <v>0925</v>
      </c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</row>
    <row r="711">
      <c r="A711" s="4" t="str">
        <f>IFERROR(__xludf.DUMMYFUNCTION("""COMPUTED_VALUE"""),"PCB:   harp expander - front - input [v1.2]   [Single]")</f>
        <v>PCB:   harp expander - front - input [v1.2]   [Single]</v>
      </c>
      <c r="B711" s="4" t="str">
        <f>IFERROR(__xludf.DUMMYFUNCTION("""COMPUTED_VALUE"""),"OEPS990016")</f>
        <v>OEPS990016</v>
      </c>
      <c r="C711" s="4" t="str">
        <f>IFERROR(__xludf.DUMMYFUNCTION("""COMPUTED_VALUE"""),"Single")</f>
        <v>Single</v>
      </c>
      <c r="D711" s="4" t="str">
        <f>IFERROR(__xludf.DUMMYFUNCTION("""COMPUTED_VALUE"""),"W200899ASU278")</f>
        <v>W200899ASU278</v>
      </c>
      <c r="E711" s="4">
        <f>IFERROR(__xludf.DUMMYFUNCTION("""COMPUTED_VALUE"""),0.0)</f>
        <v>0</v>
      </c>
      <c r="F711" s="4" t="str">
        <f>IFERROR(__xludf.DUMMYFUNCTION("""COMPUTED_VALUE"""),"PCBWay")</f>
        <v>PCBWay</v>
      </c>
      <c r="G711" s="4" t="str">
        <f>IFERROR(__xludf.DUMMYFUNCTION("""COMPUTED_VALUE"""),"W200899ASU278")</f>
        <v>W200899ASU278</v>
      </c>
      <c r="H711" s="4"/>
      <c r="I711" s="4"/>
      <c r="J711" s="4"/>
      <c r="K711" s="4"/>
      <c r="L711" s="4"/>
      <c r="M711" s="4"/>
      <c r="N711" s="9" t="str">
        <f>IFERROR(__xludf.DUMMYFUNCTION("""COMPUTED_VALUE"""),"OEPS030046")</f>
        <v>OEPS030046</v>
      </c>
      <c r="O711" s="4" t="str">
        <f>IFERROR(__xludf.DUMMYFUNCTION("""COMPUTED_VALUE"""),"MBR120VLSFT3G")</f>
        <v>MBR120VLSFT3G</v>
      </c>
      <c r="P711" s="4" t="str">
        <f>IFERROR(__xludf.DUMMYFUNCTION("""COMPUTED_VALUE"""),"3(Tp) ")</f>
        <v>3(Tp) </v>
      </c>
      <c r="Q711" s="4">
        <f>IFERROR(__xludf.DUMMYFUNCTION("""COMPUTED_VALUE"""),3.0)</f>
        <v>3</v>
      </c>
      <c r="R711" s="4">
        <f>IFERROR(__xludf.DUMMYFUNCTION("""COMPUTED_VALUE"""),3.0)</f>
        <v>3</v>
      </c>
      <c r="S711" s="4" t="str">
        <f>IFERROR(__xludf.DUMMYFUNCTION("""COMPUTED_VALUE"""),"Tape")</f>
        <v>Tape</v>
      </c>
      <c r="T711" s="4" t="str">
        <f>IFERROR(__xludf.DUMMYFUNCTION("""COMPUTED_VALUE"""),"0126")</f>
        <v>0126</v>
      </c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</row>
    <row r="712">
      <c r="A712" s="4" t="str">
        <f>IFERROR(__xludf.DUMMYFUNCTION("""COMPUTED_VALUE"""),"PCB:   harp expander - front - output [v1.2]   [Single]")</f>
        <v>PCB:   harp expander - front - output [v1.2]   [Single]</v>
      </c>
      <c r="B712" s="4" t="str">
        <f>IFERROR(__xludf.DUMMYFUNCTION("""COMPUTED_VALUE"""),"OEPS990017")</f>
        <v>OEPS990017</v>
      </c>
      <c r="C712" s="4" t="str">
        <f>IFERROR(__xludf.DUMMYFUNCTION("""COMPUTED_VALUE"""),"Single")</f>
        <v>Single</v>
      </c>
      <c r="D712" s="4" t="str">
        <f>IFERROR(__xludf.DUMMYFUNCTION("""COMPUTED_VALUE"""),"W200899ASU279")</f>
        <v>W200899ASU279</v>
      </c>
      <c r="E712" s="4">
        <f>IFERROR(__xludf.DUMMYFUNCTION("""COMPUTED_VALUE"""),0.0)</f>
        <v>0</v>
      </c>
      <c r="F712" s="4" t="str">
        <f>IFERROR(__xludf.DUMMYFUNCTION("""COMPUTED_VALUE"""),"PCBWay")</f>
        <v>PCBWay</v>
      </c>
      <c r="G712" s="4" t="str">
        <f>IFERROR(__xludf.DUMMYFUNCTION("""COMPUTED_VALUE"""),"W200899ASU279")</f>
        <v>W200899ASU279</v>
      </c>
      <c r="H712" s="4"/>
      <c r="I712" s="4"/>
      <c r="J712" s="4"/>
      <c r="K712" s="4"/>
      <c r="L712" s="4"/>
      <c r="M712" s="4"/>
      <c r="N712" s="9" t="str">
        <f>IFERROR(__xludf.DUMMYFUNCTION("""COMPUTED_VALUE"""),"OEPS030047")</f>
        <v>OEPS030047</v>
      </c>
      <c r="O712" s="4" t="str">
        <f>IFERROR(__xludf.DUMMYFUNCTION("""COMPUTED_VALUE"""),"HIR19-21C/L11/TR8")</f>
        <v>HIR19-21C/L11/TR8</v>
      </c>
      <c r="P712" s="4" t="str">
        <f>IFERROR(__xludf.DUMMYFUNCTION("""COMPUTED_VALUE"""),"3 ")</f>
        <v>3 </v>
      </c>
      <c r="Q712" s="4">
        <f>IFERROR(__xludf.DUMMYFUNCTION("""COMPUTED_VALUE"""),3.0)</f>
        <v>3</v>
      </c>
      <c r="R712" s="4">
        <f>IFERROR(__xludf.DUMMYFUNCTION("""COMPUTED_VALUE"""),3.0)</f>
        <v>3</v>
      </c>
      <c r="S712" s="4" t="str">
        <f>IFERROR(__xludf.DUMMYFUNCTION("""COMPUTED_VALUE"""),"Bag")</f>
        <v>Bag</v>
      </c>
      <c r="T712" s="4" t="str">
        <f>IFERROR(__xludf.DUMMYFUNCTION("""COMPUTED_VALUE"""),"1225")</f>
        <v>1225</v>
      </c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</row>
    <row r="713">
      <c r="A713" s="4" t="str">
        <f>IFERROR(__xludf.DUMMYFUNCTION("""COMPUTED_VALUE"""),"PCB:   harp expander - rear [v1.2]   [Single]")</f>
        <v>PCB:   harp expander - rear [v1.2]   [Single]</v>
      </c>
      <c r="B713" s="4" t="str">
        <f>IFERROR(__xludf.DUMMYFUNCTION("""COMPUTED_VALUE"""),"OEPS990018")</f>
        <v>OEPS990018</v>
      </c>
      <c r="C713" s="4" t="str">
        <f>IFERROR(__xludf.DUMMYFUNCTION("""COMPUTED_VALUE"""),"Single")</f>
        <v>Single</v>
      </c>
      <c r="D713" s="4" t="str">
        <f>IFERROR(__xludf.DUMMYFUNCTION("""COMPUTED_VALUE"""),"W200899ASN154")</f>
        <v>W200899ASN154</v>
      </c>
      <c r="E713" s="4">
        <f>IFERROR(__xludf.DUMMYFUNCTION("""COMPUTED_VALUE"""),0.0)</f>
        <v>0</v>
      </c>
      <c r="F713" s="4" t="str">
        <f>IFERROR(__xludf.DUMMYFUNCTION("""COMPUTED_VALUE"""),"PCBWay")</f>
        <v>PCBWay</v>
      </c>
      <c r="G713" s="4" t="str">
        <f>IFERROR(__xludf.DUMMYFUNCTION("""COMPUTED_VALUE"""),"W200899ASN154")</f>
        <v>W200899ASN154</v>
      </c>
      <c r="H713" s="4"/>
      <c r="I713" s="4"/>
      <c r="J713" s="4"/>
      <c r="K713" s="4"/>
      <c r="L713" s="4"/>
      <c r="M713" s="4"/>
      <c r="N713" s="9" t="str">
        <f>IFERROR(__xludf.DUMMYFUNCTION("""COMPUTED_VALUE"""),"OEPS030048")</f>
        <v>OEPS030048</v>
      </c>
      <c r="O713" s="4" t="str">
        <f>IFERROR(__xludf.DUMMYFUNCTION("""COMPUTED_VALUE"""),"MM3Z3V6B")</f>
        <v>MM3Z3V6B</v>
      </c>
      <c r="P713" s="4" t="str">
        <f>IFERROR(__xludf.DUMMYFUNCTION("""COMPUTED_VALUE"""),"24(Tp) ")</f>
        <v>24(Tp) </v>
      </c>
      <c r="Q713" s="4">
        <f>IFERROR(__xludf.DUMMYFUNCTION("""COMPUTED_VALUE"""),24.0)</f>
        <v>24</v>
      </c>
      <c r="R713" s="4">
        <f>IFERROR(__xludf.DUMMYFUNCTION("""COMPUTED_VALUE"""),24.0)</f>
        <v>24</v>
      </c>
      <c r="S713" s="4" t="str">
        <f>IFERROR(__xludf.DUMMYFUNCTION("""COMPUTED_VALUE"""),"Tape")</f>
        <v>Tape</v>
      </c>
      <c r="T713" s="4" t="str">
        <f>IFERROR(__xludf.DUMMYFUNCTION("""COMPUTED_VALUE"""),"0426")</f>
        <v>0426</v>
      </c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</row>
    <row r="714">
      <c r="A714" s="4" t="str">
        <f>IFERROR(__xludf.DUMMYFUNCTION("""COMPUTED_VALUE"""),"PCB:   harp expander breakout [v1.0]   [Single]")</f>
        <v>PCB:   harp expander breakout [v1.0]   [Single]</v>
      </c>
      <c r="B714" s="4" t="str">
        <f>IFERROR(__xludf.DUMMYFUNCTION("""COMPUTED_VALUE"""),"OEPS990005")</f>
        <v>OEPS990005</v>
      </c>
      <c r="C714" s="4" t="str">
        <f>IFERROR(__xludf.DUMMYFUNCTION("""COMPUTED_VALUE"""),"Single")</f>
        <v>Single</v>
      </c>
      <c r="D714" s="4" t="str">
        <f>IFERROR(__xludf.DUMMYFUNCTION("""COMPUTED_VALUE"""),"W200899ASU255")</f>
        <v>W200899ASU255</v>
      </c>
      <c r="E714" s="4">
        <f>IFERROR(__xludf.DUMMYFUNCTION("""COMPUTED_VALUE"""),0.0)</f>
        <v>0</v>
      </c>
      <c r="F714" s="4" t="str">
        <f>IFERROR(__xludf.DUMMYFUNCTION("""COMPUTED_VALUE"""),"PCBWay")</f>
        <v>PCBWay</v>
      </c>
      <c r="G714" s="4" t="str">
        <f>IFERROR(__xludf.DUMMYFUNCTION("""COMPUTED_VALUE"""),"W200899ASU255")</f>
        <v>W200899ASU255</v>
      </c>
      <c r="H714" s="4"/>
      <c r="I714" s="4"/>
      <c r="J714" s="4"/>
      <c r="K714" s="4"/>
      <c r="L714" s="4"/>
      <c r="M714" s="4"/>
      <c r="N714" s="9" t="str">
        <f>IFERROR(__xludf.DUMMYFUNCTION("""COMPUTED_VALUE"""),"OEPS040001")</f>
        <v>OEPS040001</v>
      </c>
      <c r="O714" s="4" t="str">
        <f>IFERROR(__xludf.DUMMYFUNCTION("""COMPUTED_VALUE"""),"MH1608-601Y")</f>
        <v>MH1608-601Y</v>
      </c>
      <c r="P714" s="4" t="str">
        <f>IFERROR(__xludf.DUMMYFUNCTION("""COMPUTED_VALUE"""),"2(Tp) ")</f>
        <v>2(Tp) </v>
      </c>
      <c r="Q714" s="4">
        <f>IFERROR(__xludf.DUMMYFUNCTION("""COMPUTED_VALUE"""),2.0)</f>
        <v>2</v>
      </c>
      <c r="R714" s="4">
        <f>IFERROR(__xludf.DUMMYFUNCTION("""COMPUTED_VALUE"""),2.0)</f>
        <v>2</v>
      </c>
      <c r="S714" s="4" t="str">
        <f>IFERROR(__xludf.DUMMYFUNCTION("""COMPUTED_VALUE"""),"Tape")</f>
        <v>Tape</v>
      </c>
      <c r="T714" s="4" t="str">
        <f>IFERROR(__xludf.DUMMYFUNCTION("""COMPUTED_VALUE"""),"1022")</f>
        <v>1022</v>
      </c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</row>
    <row r="715">
      <c r="A715" s="4" t="str">
        <f>IFERROR(__xludf.DUMMYFUNCTION("""COMPUTED_VALUE"""),"PCB:   harp expander magnetic encoder   [Panel v1.1]")</f>
        <v>PCB:   harp expander magnetic encoder   [Panel v1.1]</v>
      </c>
      <c r="B715" s="4" t="str">
        <f>IFERROR(__xludf.DUMMYFUNCTION("""COMPUTED_VALUE"""),"OEPS990019")</f>
        <v>OEPS990019</v>
      </c>
      <c r="C715" s="4" t="str">
        <f>IFERROR(__xludf.DUMMYFUNCTION("""COMPUTED_VALUE"""),"v1.1")</f>
        <v>v1.1</v>
      </c>
      <c r="D715" s="4" t="str">
        <f>IFERROR(__xludf.DUMMYFUNCTION("""COMPUTED_VALUE"""),"E1374314")</f>
        <v>E1374314</v>
      </c>
      <c r="E715" s="4">
        <f>IFERROR(__xludf.DUMMYFUNCTION("""COMPUTED_VALUE"""),0.0)</f>
        <v>0</v>
      </c>
      <c r="F715" s="4" t="str">
        <f>IFERROR(__xludf.DUMMYFUNCTION("""COMPUTED_VALUE"""),"Eurocircuits")</f>
        <v>Eurocircuits</v>
      </c>
      <c r="G715" s="4" t="str">
        <f>IFERROR(__xludf.DUMMYFUNCTION("""COMPUTED_VALUE"""),"E1374314")</f>
        <v>E1374314</v>
      </c>
      <c r="H715" s="4"/>
      <c r="I715" s="4"/>
      <c r="J715" s="4"/>
      <c r="K715" s="4"/>
      <c r="L715" s="4"/>
      <c r="M715" s="4"/>
      <c r="N715" s="9" t="str">
        <f>IFERROR(__xludf.DUMMYFUNCTION("""COMPUTED_VALUE"""),"OEPS040002")</f>
        <v>OEPS040002</v>
      </c>
      <c r="O715" s="4" t="str">
        <f>IFERROR(__xludf.DUMMYFUNCTION("""COMPUTED_VALUE"""),"FBMH3216HM221NTV")</f>
        <v>FBMH3216HM221NTV</v>
      </c>
      <c r="P715" s="4" t="str">
        <f>IFERROR(__xludf.DUMMYFUNCTION("""COMPUTED_VALUE"""),"2(Tp) ")</f>
        <v>2(Tp) </v>
      </c>
      <c r="Q715" s="4">
        <f>IFERROR(__xludf.DUMMYFUNCTION("""COMPUTED_VALUE"""),2.0)</f>
        <v>2</v>
      </c>
      <c r="R715" s="4">
        <f>IFERROR(__xludf.DUMMYFUNCTION("""COMPUTED_VALUE"""),2.0)</f>
        <v>2</v>
      </c>
      <c r="S715" s="4" t="str">
        <f>IFERROR(__xludf.DUMMYFUNCTION("""COMPUTED_VALUE"""),"Tape")</f>
        <v>Tape</v>
      </c>
      <c r="T715" s="4" t="str">
        <f>IFERROR(__xludf.DUMMYFUNCTION("""COMPUTED_VALUE"""),"1022")</f>
        <v>1022</v>
      </c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</row>
    <row r="716">
      <c r="A716" s="4" t="str">
        <f>IFERROR(__xludf.DUMMYFUNCTION("""COMPUTED_VALUE"""),"PCB:   harp rfid reader [v1.1]   [Single]")</f>
        <v>PCB:   harp rfid reader [v1.1]   [Single]</v>
      </c>
      <c r="B716" s="4" t="str">
        <f>IFERROR(__xludf.DUMMYFUNCTION("""COMPUTED_VALUE"""),"OEPS990002")</f>
        <v>OEPS990002</v>
      </c>
      <c r="C716" s="4" t="str">
        <f>IFERROR(__xludf.DUMMYFUNCTION("""COMPUTED_VALUE"""),"Single")</f>
        <v>Single</v>
      </c>
      <c r="D716" s="4" t="str">
        <f>IFERROR(__xludf.DUMMYFUNCTION("""COMPUTED_VALUE"""),"-")</f>
        <v>-</v>
      </c>
      <c r="E716" s="4">
        <f>IFERROR(__xludf.DUMMYFUNCTION("""COMPUTED_VALUE"""),0.0)</f>
        <v>0</v>
      </c>
      <c r="F716" s="4" t="str">
        <f>IFERROR(__xludf.DUMMYFUNCTION("""COMPUTED_VALUE"""),"Eurocircuits")</f>
        <v>Eurocircuits</v>
      </c>
      <c r="G716" s="4" t="str">
        <f>IFERROR(__xludf.DUMMYFUNCTION("""COMPUTED_VALUE"""),"E1409481")</f>
        <v>E1409481</v>
      </c>
      <c r="H716" s="4"/>
      <c r="I716" s="4"/>
      <c r="J716" s="4"/>
      <c r="K716" s="4"/>
      <c r="L716" s="4"/>
      <c r="M716" s="4"/>
      <c r="N716" s="9" t="str">
        <f>IFERROR(__xludf.DUMMYFUNCTION("""COMPUTED_VALUE"""),"OEPS040003")</f>
        <v>OEPS040003</v>
      </c>
      <c r="O716" s="4" t="str">
        <f>IFERROR(__xludf.DUMMYFUNCTION("""COMPUTED_VALUE"""),"MI0805K400R-10")</f>
        <v>MI0805K400R-10</v>
      </c>
      <c r="P716" s="4" t="str">
        <f>IFERROR(__xludf.DUMMYFUNCTION("""COMPUTED_VALUE"""),"2(Tp) ")</f>
        <v>2(Tp) </v>
      </c>
      <c r="Q716" s="4">
        <f>IFERROR(__xludf.DUMMYFUNCTION("""COMPUTED_VALUE"""),2.0)</f>
        <v>2</v>
      </c>
      <c r="R716" s="4">
        <f>IFERROR(__xludf.DUMMYFUNCTION("""COMPUTED_VALUE"""),2.0)</f>
        <v>2</v>
      </c>
      <c r="S716" s="4" t="str">
        <f>IFERROR(__xludf.DUMMYFUNCTION("""COMPUTED_VALUE"""),"Tape")</f>
        <v>Tape</v>
      </c>
      <c r="T716" s="4" t="str">
        <f>IFERROR(__xludf.DUMMYFUNCTION("""COMPUTED_VALUE"""),"1022")</f>
        <v>1022</v>
      </c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</row>
    <row r="717">
      <c r="A717" s="4" t="str">
        <f>IFERROR(__xludf.DUMMYFUNCTION("""COMPUTED_VALUE"""),"PCB:   harp rfid reader [v1.2]   [Single]")</f>
        <v>PCB:   harp rfid reader [v1.2]   [Single]</v>
      </c>
      <c r="B717" s="4" t="str">
        <f>IFERROR(__xludf.DUMMYFUNCTION("""COMPUTED_VALUE"""),"OEPS990003")</f>
        <v>OEPS990003</v>
      </c>
      <c r="C717" s="4" t="str">
        <f>IFERROR(__xludf.DUMMYFUNCTION("""COMPUTED_VALUE"""),"Single")</f>
        <v>Single</v>
      </c>
      <c r="D717" s="29" t="str">
        <f>IFERROR(__xludf.DUMMYFUNCTION("""COMPUTED_VALUE"""),"https://drive.google.com/open?id=11_hlpdM-Cua6IiwqgFWyVFcwz1bMgFKl&amp;usp=drive_fs")</f>
        <v>https://drive.google.com/open?id=11_hlpdM-Cua6IiwqgFWyVFcwz1bMgFKl&amp;usp=drive_fs</v>
      </c>
      <c r="E717" s="4">
        <f>IFERROR(__xludf.DUMMYFUNCTION("""COMPUTED_VALUE"""),0.0)</f>
        <v>0</v>
      </c>
      <c r="F717" s="4" t="str">
        <f>IFERROR(__xludf.DUMMYFUNCTION("""COMPUTED_VALUE"""),"Eurocircuits")</f>
        <v>Eurocircuits</v>
      </c>
      <c r="G717" s="4" t="str">
        <f>IFERROR(__xludf.DUMMYFUNCTION("""COMPUTED_VALUE"""),"E1418287")</f>
        <v>E1418287</v>
      </c>
      <c r="H717" s="4"/>
      <c r="I717" s="4"/>
      <c r="J717" s="4"/>
      <c r="K717" s="4"/>
      <c r="L717" s="4"/>
      <c r="M717" s="4"/>
      <c r="N717" s="9" t="str">
        <f>IFERROR(__xludf.DUMMYFUNCTION("""COMPUTED_VALUE"""),"OEPS040004")</f>
        <v>OEPS040004</v>
      </c>
      <c r="O717" s="4" t="str">
        <f>IFERROR(__xludf.DUMMYFUNCTION("""COMPUTED_VALUE"""),"BLM18SG331TN1D")</f>
        <v>BLM18SG331TN1D</v>
      </c>
      <c r="P717" s="4" t="str">
        <f>IFERROR(__xludf.DUMMYFUNCTION("""COMPUTED_VALUE"""),"19(Tp) ")</f>
        <v>19(Tp) </v>
      </c>
      <c r="Q717" s="4">
        <f>IFERROR(__xludf.DUMMYFUNCTION("""COMPUTED_VALUE"""),19.0)</f>
        <v>19</v>
      </c>
      <c r="R717" s="4">
        <f>IFERROR(__xludf.DUMMYFUNCTION("""COMPUTED_VALUE"""),19.0)</f>
        <v>19</v>
      </c>
      <c r="S717" s="4" t="str">
        <f>IFERROR(__xludf.DUMMYFUNCTION("""COMPUTED_VALUE"""),"Tape")</f>
        <v>Tape</v>
      </c>
      <c r="T717" s="4" t="str">
        <f>IFERROR(__xludf.DUMMYFUNCTION("""COMPUTED_VALUE"""),"XXXX")</f>
        <v>XXXX</v>
      </c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</row>
    <row r="718">
      <c r="A718" s="4" t="str">
        <f>IFERROR(__xludf.DUMMYFUNCTION("""COMPUTED_VALUE"""),"PCB:   harp timestamp generator gen1   [Panel v1.0]")</f>
        <v>PCB:   harp timestamp generator gen1   [Panel v1.0]</v>
      </c>
      <c r="B718" s="4" t="str">
        <f>IFERROR(__xludf.DUMMYFUNCTION("""COMPUTED_VALUE"""),"OEPS990020")</f>
        <v>OEPS990020</v>
      </c>
      <c r="C718" s="4" t="str">
        <f>IFERROR(__xludf.DUMMYFUNCTION("""COMPUTED_VALUE"""),"v1.0")</f>
        <v>v1.0</v>
      </c>
      <c r="D718" s="4" t="str">
        <f>IFERROR(__xludf.DUMMYFUNCTION("""COMPUTED_VALUE"""),"E1278408")</f>
        <v>E1278408</v>
      </c>
      <c r="E718" s="4">
        <f>IFERROR(__xludf.DUMMYFUNCTION("""COMPUTED_VALUE"""),0.0)</f>
        <v>0</v>
      </c>
      <c r="F718" s="4" t="str">
        <f>IFERROR(__xludf.DUMMYFUNCTION("""COMPUTED_VALUE"""),"Eurocircuits")</f>
        <v>Eurocircuits</v>
      </c>
      <c r="G718" s="4" t="str">
        <f>IFERROR(__xludf.DUMMYFUNCTION("""COMPUTED_VALUE"""),"E1278408")</f>
        <v>E1278408</v>
      </c>
      <c r="H718" s="4"/>
      <c r="I718" s="4"/>
      <c r="J718" s="4"/>
      <c r="K718" s="4"/>
      <c r="L718" s="4"/>
      <c r="M718" s="4"/>
      <c r="N718" s="9" t="str">
        <f>IFERROR(__xludf.DUMMYFUNCTION("""COMPUTED_VALUE"""),"OEPS040005")</f>
        <v>OEPS040005</v>
      </c>
      <c r="O718" s="4" t="str">
        <f>IFERROR(__xludf.DUMMYFUNCTION("""COMPUTED_VALUE"""),"IHLP2525CZER100M01")</f>
        <v>IHLP2525CZER100M01</v>
      </c>
      <c r="P718" s="4" t="str">
        <f>IFERROR(__xludf.DUMMYFUNCTION("""COMPUTED_VALUE"""),"5(Tp) 5(Tp) 2(Tp) ")</f>
        <v>5(Tp) 5(Tp) 2(Tp) </v>
      </c>
      <c r="Q718" s="4">
        <f>IFERROR(__xludf.DUMMYFUNCTION("""COMPUTED_VALUE"""),12.0)</f>
        <v>12</v>
      </c>
      <c r="R718" s="4">
        <f>IFERROR(__xludf.DUMMYFUNCTION("""COMPUTED_VALUE"""),5.0)</f>
        <v>5</v>
      </c>
      <c r="S718" s="4" t="str">
        <f>IFERROR(__xludf.DUMMYFUNCTION("""COMPUTED_VALUE"""),"Tape")</f>
        <v>Tape</v>
      </c>
      <c r="T718" s="4" t="str">
        <f>IFERROR(__xludf.DUMMYFUNCTION("""COMPUTED_VALUE"""),"XXXX")</f>
        <v>XXXX</v>
      </c>
      <c r="U718" s="4">
        <f>IFERROR(__xludf.DUMMYFUNCTION("""COMPUTED_VALUE"""),5.0)</f>
        <v>5</v>
      </c>
      <c r="V718" s="4" t="str">
        <f>IFERROR(__xludf.DUMMYFUNCTION("""COMPUTED_VALUE"""),"Tape")</f>
        <v>Tape</v>
      </c>
      <c r="W718" s="4" t="str">
        <f>IFERROR(__xludf.DUMMYFUNCTION("""COMPUTED_VALUE"""),"0321")</f>
        <v>0321</v>
      </c>
      <c r="X718" s="4">
        <f>IFERROR(__xludf.DUMMYFUNCTION("""COMPUTED_VALUE"""),2.0)</f>
        <v>2</v>
      </c>
      <c r="Y718" s="4" t="str">
        <f>IFERROR(__xludf.DUMMYFUNCTION("""COMPUTED_VALUE"""),"Tape")</f>
        <v>Tape</v>
      </c>
      <c r="Z718" s="4" t="str">
        <f>IFERROR(__xludf.DUMMYFUNCTION("""COMPUTED_VALUE"""),"XXXX")</f>
        <v>XXXX</v>
      </c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</row>
    <row r="719">
      <c r="A719" s="4" t="str">
        <f>IFERROR(__xludf.DUMMYFUNCTION("""COMPUTED_VALUE"""),"PCB:   harp timestamp generator Gen3   [Panel v1.2]")</f>
        <v>PCB:   harp timestamp generator Gen3   [Panel v1.2]</v>
      </c>
      <c r="B719" s="4" t="str">
        <f>IFERROR(__xludf.DUMMYFUNCTION("""COMPUTED_VALUE"""),"OEPS990012")</f>
        <v>OEPS990012</v>
      </c>
      <c r="C719" s="4" t="str">
        <f>IFERROR(__xludf.DUMMYFUNCTION("""COMPUTED_VALUE"""),"v1.2")</f>
        <v>v1.2</v>
      </c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9" t="str">
        <f>IFERROR(__xludf.DUMMYFUNCTION("""COMPUTED_VALUE"""),"OEPS040006")</f>
        <v>OEPS040006</v>
      </c>
      <c r="O719" s="4" t="str">
        <f>IFERROR(__xludf.DUMMYFUNCTION("""COMPUTED_VALUE"""),"BLF03RD501GZED")</f>
        <v>BLF03RD501GZED</v>
      </c>
      <c r="P719" s="4" t="str">
        <f>IFERROR(__xludf.DUMMYFUNCTION("""COMPUTED_VALUE"""),"21(Tp) ")</f>
        <v>21(Tp) </v>
      </c>
      <c r="Q719" s="4">
        <f>IFERROR(__xludf.DUMMYFUNCTION("""COMPUTED_VALUE"""),21.0)</f>
        <v>21</v>
      </c>
      <c r="R719" s="4">
        <f>IFERROR(__xludf.DUMMYFUNCTION("""COMPUTED_VALUE"""),21.0)</f>
        <v>21</v>
      </c>
      <c r="S719" s="4" t="str">
        <f>IFERROR(__xludf.DUMMYFUNCTION("""COMPUTED_VALUE"""),"Tape")</f>
        <v>Tape</v>
      </c>
      <c r="T719" s="4" t="str">
        <f>IFERROR(__xludf.DUMMYFUNCTION("""COMPUTED_VALUE"""),"0923")</f>
        <v>0923</v>
      </c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</row>
    <row r="720">
      <c r="A720" s="4" t="str">
        <f>IFERROR(__xludf.DUMMYFUNCTION("""COMPUTED_VALUE"""),"PCB:   harp timestamp generator Gen3 - back [v1.2]   [Single]")</f>
        <v>PCB:   harp timestamp generator Gen3 - back [v1.2]   [Single]</v>
      </c>
      <c r="B720" s="4" t="str">
        <f>IFERROR(__xludf.DUMMYFUNCTION("""COMPUTED_VALUE"""),"OEPS990014")</f>
        <v>OEPS990014</v>
      </c>
      <c r="C720" s="4" t="str">
        <f>IFERROR(__xludf.DUMMYFUNCTION("""COMPUTED_VALUE"""),"Single")</f>
        <v>Single</v>
      </c>
      <c r="D720" s="4" t="str">
        <f>IFERROR(__xludf.DUMMYFUNCTION("""COMPUTED_VALUE"""),"W200899ASU220")</f>
        <v>W200899ASU220</v>
      </c>
      <c r="E720" s="4">
        <f>IFERROR(__xludf.DUMMYFUNCTION("""COMPUTED_VALUE"""),0.0)</f>
        <v>0</v>
      </c>
      <c r="F720" s="4" t="str">
        <f>IFERROR(__xludf.DUMMYFUNCTION("""COMPUTED_VALUE"""),"PCBWay")</f>
        <v>PCBWay</v>
      </c>
      <c r="G720" s="4" t="str">
        <f>IFERROR(__xludf.DUMMYFUNCTION("""COMPUTED_VALUE"""),"W200899ASU220")</f>
        <v>W200899ASU220</v>
      </c>
      <c r="H720" s="4"/>
      <c r="I720" s="4"/>
      <c r="J720" s="4"/>
      <c r="K720" s="4"/>
      <c r="L720" s="4"/>
      <c r="M720" s="4"/>
      <c r="N720" s="9" t="str">
        <f>IFERROR(__xludf.DUMMYFUNCTION("""COMPUTED_VALUE"""),"OEPS040007")</f>
        <v>OEPS040007</v>
      </c>
      <c r="O720" s="4" t="str">
        <f>IFERROR(__xludf.DUMMYFUNCTION("""COMPUTED_VALUE"""),"ASMPH-0805-4R7M-T")</f>
        <v>ASMPH-0805-4R7M-T</v>
      </c>
      <c r="P720" s="4" t="str">
        <f>IFERROR(__xludf.DUMMYFUNCTION("""COMPUTED_VALUE"""),"13 ")</f>
        <v>13 </v>
      </c>
      <c r="Q720" s="4">
        <f>IFERROR(__xludf.DUMMYFUNCTION("""COMPUTED_VALUE"""),13.0)</f>
        <v>13</v>
      </c>
      <c r="R720" s="4">
        <f>IFERROR(__xludf.DUMMYFUNCTION("""COMPUTED_VALUE"""),13.0)</f>
        <v>13</v>
      </c>
      <c r="S720" s="4" t="str">
        <f>IFERROR(__xludf.DUMMYFUNCTION("""COMPUTED_VALUE"""),"Bag")</f>
        <v>Bag</v>
      </c>
      <c r="T720" s="4" t="str">
        <f>IFERROR(__xludf.DUMMYFUNCTION("""COMPUTED_VALUE"""),"0923")</f>
        <v>0923</v>
      </c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</row>
    <row r="721">
      <c r="A721" s="4" t="str">
        <f>IFERROR(__xludf.DUMMYFUNCTION("""COMPUTED_VALUE"""),"PCB:   harp timestamp generator Gen3 - front [v1.2]   [Single]")</f>
        <v>PCB:   harp timestamp generator Gen3 - front [v1.2]   [Single]</v>
      </c>
      <c r="B721" s="4" t="str">
        <f>IFERROR(__xludf.DUMMYFUNCTION("""COMPUTED_VALUE"""),"OEPS990013")</f>
        <v>OEPS990013</v>
      </c>
      <c r="C721" s="4" t="str">
        <f>IFERROR(__xludf.DUMMYFUNCTION("""COMPUTED_VALUE"""),"Single")</f>
        <v>Single</v>
      </c>
      <c r="D721" s="4" t="str">
        <f>IFERROR(__xludf.DUMMYFUNCTION("""COMPUTED_VALUE"""),"W200899ASU227")</f>
        <v>W200899ASU227</v>
      </c>
      <c r="E721" s="4">
        <f>IFERROR(__xludf.DUMMYFUNCTION("""COMPUTED_VALUE"""),0.0)</f>
        <v>0</v>
      </c>
      <c r="F721" s="4" t="str">
        <f>IFERROR(__xludf.DUMMYFUNCTION("""COMPUTED_VALUE"""),"PCBWay")</f>
        <v>PCBWay</v>
      </c>
      <c r="G721" s="4" t="str">
        <f>IFERROR(__xludf.DUMMYFUNCTION("""COMPUTED_VALUE"""),"W200899ASU227")</f>
        <v>W200899ASU227</v>
      </c>
      <c r="H721" s="4"/>
      <c r="I721" s="4"/>
      <c r="J721" s="4"/>
      <c r="K721" s="4"/>
      <c r="L721" s="4"/>
      <c r="M721" s="4"/>
      <c r="N721" s="9" t="str">
        <f>IFERROR(__xludf.DUMMYFUNCTION("""COMPUTED_VALUE"""),"OEPS040008")</f>
        <v>OEPS040008</v>
      </c>
      <c r="O721" s="4" t="str">
        <f>IFERROR(__xludf.DUMMYFUNCTION("""COMPUTED_VALUE"""),"BLM18PG300SN1D")</f>
        <v>BLM18PG300SN1D</v>
      </c>
      <c r="P721" s="4" t="str">
        <f>IFERROR(__xludf.DUMMYFUNCTION("""COMPUTED_VALUE"""),"50(Tp) ")</f>
        <v>50(Tp) </v>
      </c>
      <c r="Q721" s="4">
        <f>IFERROR(__xludf.DUMMYFUNCTION("""COMPUTED_VALUE"""),50.0)</f>
        <v>50</v>
      </c>
      <c r="R721" s="4">
        <f>IFERROR(__xludf.DUMMYFUNCTION("""COMPUTED_VALUE"""),50.0)</f>
        <v>50</v>
      </c>
      <c r="S721" s="4" t="str">
        <f>IFERROR(__xludf.DUMMYFUNCTION("""COMPUTED_VALUE"""),"Tape")</f>
        <v>Tape</v>
      </c>
      <c r="T721" s="4" t="str">
        <f>IFERROR(__xludf.DUMMYFUNCTION("""COMPUTED_VALUE"""),"0723")</f>
        <v>0723</v>
      </c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</row>
    <row r="722">
      <c r="A722" s="4" t="str">
        <f>IFERROR(__xludf.DUMMYFUNCTION("""COMPUTED_VALUE"""),"PCB:   overvoltage protection [v1.1]   [Single]")</f>
        <v>PCB:   overvoltage protection [v1.1]   [Single]</v>
      </c>
      <c r="B722" s="4" t="str">
        <f>IFERROR(__xludf.DUMMYFUNCTION("""COMPUTED_VALUE"""),"OEPS990025")</f>
        <v>OEPS990025</v>
      </c>
      <c r="C722" s="4" t="str">
        <f>IFERROR(__xludf.DUMMYFUNCTION("""COMPUTED_VALUE"""),"Single")</f>
        <v>Single</v>
      </c>
      <c r="D722" s="4" t="str">
        <f>IFERROR(__xludf.DUMMYFUNCTION("""COMPUTED_VALUE"""),"E1194493")</f>
        <v>E1194493</v>
      </c>
      <c r="E722" s="4">
        <f>IFERROR(__xludf.DUMMYFUNCTION("""COMPUTED_VALUE"""),0.0)</f>
        <v>0</v>
      </c>
      <c r="F722" s="4" t="str">
        <f>IFERROR(__xludf.DUMMYFUNCTION("""COMPUTED_VALUE"""),"Eurocircuits")</f>
        <v>Eurocircuits</v>
      </c>
      <c r="G722" s="4" t="str">
        <f>IFERROR(__xludf.DUMMYFUNCTION("""COMPUTED_VALUE"""),"E1194493")</f>
        <v>E1194493</v>
      </c>
      <c r="H722" s="4"/>
      <c r="I722" s="4"/>
      <c r="J722" s="4"/>
      <c r="K722" s="4"/>
      <c r="L722" s="4"/>
      <c r="M722" s="4"/>
      <c r="N722" s="9" t="str">
        <f>IFERROR(__xludf.DUMMYFUNCTION("""COMPUTED_VALUE"""),"OEPS040009")</f>
        <v>OEPS040009</v>
      </c>
      <c r="O722" s="4" t="str">
        <f>IFERROR(__xludf.DUMMYFUNCTION("""COMPUTED_VALUE"""),"_states_.timestamp_tx.port2")</f>
        <v>_states_.timestamp_tx.port2</v>
      </c>
      <c r="P722" s="4" t="str">
        <f>IFERROR(__xludf.DUMMYFUNCTION("""COMPUTED_VALUE"""),"8(Tp) ")</f>
        <v>8(Tp) </v>
      </c>
      <c r="Q722" s="4">
        <f>IFERROR(__xludf.DUMMYFUNCTION("""COMPUTED_VALUE"""),8.0)</f>
        <v>8</v>
      </c>
      <c r="R722" s="4">
        <f>IFERROR(__xludf.DUMMYFUNCTION("""COMPUTED_VALUE"""),8.0)</f>
        <v>8</v>
      </c>
      <c r="S722" s="4" t="str">
        <f>IFERROR(__xludf.DUMMYFUNCTION("""COMPUTED_VALUE"""),"Tape")</f>
        <v>Tape</v>
      </c>
      <c r="T722" s="4" t="str">
        <f>IFERROR(__xludf.DUMMYFUNCTION("""COMPUTED_VALUE"""),"XXXX")</f>
        <v>XXXX</v>
      </c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</row>
    <row r="723">
      <c r="A723" s="4" t="str">
        <f>IFERROR(__xludf.DUMMYFUNCTION("""COMPUTED_VALUE"""),"PCB:   twister3-controller - cover   [Panel v1.2]")</f>
        <v>PCB:   twister3-controller - cover   [Panel v1.2]</v>
      </c>
      <c r="B723" s="4" t="str">
        <f>IFERROR(__xludf.DUMMYFUNCTION("""COMPUTED_VALUE"""),"OEPS990024")</f>
        <v>OEPS990024</v>
      </c>
      <c r="C723" s="4" t="str">
        <f>IFERROR(__xludf.DUMMYFUNCTION("""COMPUTED_VALUE"""),"v1.2")</f>
        <v>v1.2</v>
      </c>
      <c r="D723" s="4" t="str">
        <f>IFERROR(__xludf.DUMMYFUNCTION("""COMPUTED_VALUE"""),"W200899ASU271")</f>
        <v>W200899ASU271</v>
      </c>
      <c r="E723" s="4">
        <f>IFERROR(__xludf.DUMMYFUNCTION("""COMPUTED_VALUE"""),0.0)</f>
        <v>0</v>
      </c>
      <c r="F723" s="4" t="str">
        <f>IFERROR(__xludf.DUMMYFUNCTION("""COMPUTED_VALUE"""),"PCBWay")</f>
        <v>PCBWay</v>
      </c>
      <c r="G723" s="4" t="str">
        <f>IFERROR(__xludf.DUMMYFUNCTION("""COMPUTED_VALUE"""),"W200899ASU271")</f>
        <v>W200899ASU271</v>
      </c>
      <c r="H723" s="4"/>
      <c r="I723" s="4"/>
      <c r="J723" s="4"/>
      <c r="K723" s="4"/>
      <c r="L723" s="4"/>
      <c r="M723" s="4"/>
      <c r="N723" s="9" t="str">
        <f>IFERROR(__xludf.DUMMYFUNCTION("""COMPUTED_VALUE"""),"OEPS040010")</f>
        <v>OEPS040010</v>
      </c>
      <c r="O723" s="4" t="str">
        <f>IFERROR(__xludf.DUMMYFUNCTION("""COMPUTED_VALUE"""),"CBC3225T101MR")</f>
        <v>CBC3225T101MR</v>
      </c>
      <c r="P723" s="4" t="str">
        <f>IFERROR(__xludf.DUMMYFUNCTION("""COMPUTED_VALUE"""),"4(R) 13(Tp) ")</f>
        <v>4(R) 13(Tp) </v>
      </c>
      <c r="Q723" s="4">
        <f>IFERROR(__xludf.DUMMYFUNCTION("""COMPUTED_VALUE"""),17.0)</f>
        <v>17</v>
      </c>
      <c r="R723" s="4">
        <f>IFERROR(__xludf.DUMMYFUNCTION("""COMPUTED_VALUE"""),4.0)</f>
        <v>4</v>
      </c>
      <c r="S723" s="4" t="str">
        <f>IFERROR(__xludf.DUMMYFUNCTION("""COMPUTED_VALUE"""),"Reel")</f>
        <v>Reel</v>
      </c>
      <c r="T723" s="4" t="str">
        <f>IFERROR(__xludf.DUMMYFUNCTION("""COMPUTED_VALUE"""),"0421")</f>
        <v>0421</v>
      </c>
      <c r="U723" s="4">
        <f>IFERROR(__xludf.DUMMYFUNCTION("""COMPUTED_VALUE"""),13.0)</f>
        <v>13</v>
      </c>
      <c r="V723" s="4" t="str">
        <f>IFERROR(__xludf.DUMMYFUNCTION("""COMPUTED_VALUE"""),"Tape")</f>
        <v>Tape</v>
      </c>
      <c r="W723" s="4" t="str">
        <f>IFERROR(__xludf.DUMMYFUNCTION("""COMPUTED_VALUE"""),"0923")</f>
        <v>0923</v>
      </c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</row>
    <row r="724">
      <c r="A724" s="4" t="str">
        <f>IFERROR(__xludf.DUMMYFUNCTION("""COMPUTED_VALUE"""),"RESISTOR:   SMD 01005 100Ω ±1% 0.03W   [RC0100FR-07100RL] [SMD]")</f>
        <v>RESISTOR:   SMD 01005 100Ω ±1% 0.03W   [RC0100FR-07100RL] [SMD]</v>
      </c>
      <c r="B724" s="4" t="str">
        <f>IFERROR(__xludf.DUMMYFUNCTION("""COMPUTED_VALUE"""),"OEPS020250")</f>
        <v>OEPS020250</v>
      </c>
      <c r="C724" s="4" t="str">
        <f>IFERROR(__xludf.DUMMYFUNCTION("""COMPUTED_VALUE"""),"SMD")</f>
        <v>SMD</v>
      </c>
      <c r="D724" s="4" t="str">
        <f>IFERROR(__xludf.DUMMYFUNCTION("""COMPUTED_VALUE"""),"RC0100FR-07100RL")</f>
        <v>RC0100FR-07100RL</v>
      </c>
      <c r="E724" s="4">
        <f>IFERROR(__xludf.DUMMYFUNCTION("""COMPUTED_VALUE"""),30.0)</f>
        <v>30</v>
      </c>
      <c r="F724" s="4" t="str">
        <f>IFERROR(__xludf.DUMMYFUNCTION("""COMPUTED_VALUE"""),"DigiKey")</f>
        <v>DigiKey</v>
      </c>
      <c r="G724" s="4" t="str">
        <f>IFERROR(__xludf.DUMMYFUNCTION("""COMPUTED_VALUE"""),"311-100DGDKR-ND")</f>
        <v>311-100DGDKR-ND</v>
      </c>
      <c r="H724" s="4"/>
      <c r="I724" s="4"/>
      <c r="J724" s="4"/>
      <c r="K724" s="4"/>
      <c r="L724" s="4"/>
      <c r="M724" s="4"/>
      <c r="N724" s="9" t="str">
        <f>IFERROR(__xludf.DUMMYFUNCTION("""COMPUTED_VALUE"""),"OEPS040011")</f>
        <v>OEPS040011</v>
      </c>
      <c r="O724" s="4" t="str">
        <f>IFERROR(__xludf.DUMMYFUNCTION("""COMPUTED_VALUE"""),"SRN8040TA-560M")</f>
        <v>SRN8040TA-560M</v>
      </c>
      <c r="P724" s="4" t="str">
        <f>IFERROR(__xludf.DUMMYFUNCTION("""COMPUTED_VALUE"""),"1 ")</f>
        <v>1 </v>
      </c>
      <c r="Q724" s="4">
        <f>IFERROR(__xludf.DUMMYFUNCTION("""COMPUTED_VALUE"""),1.0)</f>
        <v>1</v>
      </c>
      <c r="R724" s="4">
        <f>IFERROR(__xludf.DUMMYFUNCTION("""COMPUTED_VALUE"""),1.0)</f>
        <v>1</v>
      </c>
      <c r="S724" s="4" t="str">
        <f>IFERROR(__xludf.DUMMYFUNCTION("""COMPUTED_VALUE"""),"Bag")</f>
        <v>Bag</v>
      </c>
      <c r="T724" s="4" t="str">
        <f>IFERROR(__xludf.DUMMYFUNCTION("""COMPUTED_VALUE"""),"0923")</f>
        <v>0923</v>
      </c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</row>
    <row r="725">
      <c r="A725" s="4" t="str">
        <f>IFERROR(__xludf.DUMMYFUNCTION("""COMPUTED_VALUE"""),"RESISTOR:   SMD 01005 10kΩ ±1% 0.03W   [RC0100FR-0710KL] [SMD]")</f>
        <v>RESISTOR:   SMD 01005 10kΩ ±1% 0.03W   [RC0100FR-0710KL] [SMD]</v>
      </c>
      <c r="B725" s="4" t="str">
        <f>IFERROR(__xludf.DUMMYFUNCTION("""COMPUTED_VALUE"""),"OEPS020247")</f>
        <v>OEPS020247</v>
      </c>
      <c r="C725" s="4" t="str">
        <f>IFERROR(__xludf.DUMMYFUNCTION("""COMPUTED_VALUE"""),"SMD")</f>
        <v>SMD</v>
      </c>
      <c r="D725" s="4" t="str">
        <f>IFERROR(__xludf.DUMMYFUNCTION("""COMPUTED_VALUE"""),"RC0100FR-0710KL")</f>
        <v>RC0100FR-0710KL</v>
      </c>
      <c r="E725" s="4">
        <f>IFERROR(__xludf.DUMMYFUNCTION("""COMPUTED_VALUE"""),30.0)</f>
        <v>30</v>
      </c>
      <c r="F725" s="4" t="str">
        <f>IFERROR(__xludf.DUMMYFUNCTION("""COMPUTED_VALUE"""),"DigiKey")</f>
        <v>DigiKey</v>
      </c>
      <c r="G725" s="4" t="str">
        <f>IFERROR(__xludf.DUMMYFUNCTION("""COMPUTED_VALUE"""),"YAG5715DKR-ND")</f>
        <v>YAG5715DKR-ND</v>
      </c>
      <c r="H725" s="4"/>
      <c r="I725" s="4"/>
      <c r="J725" s="4"/>
      <c r="K725" s="4"/>
      <c r="L725" s="4"/>
      <c r="M725" s="4"/>
      <c r="N725" s="9" t="str">
        <f>IFERROR(__xludf.DUMMYFUNCTION("""COMPUTED_VALUE"""),"OEPS040012")</f>
        <v>OEPS040012</v>
      </c>
      <c r="O725" s="4" t="str">
        <f>IFERROR(__xludf.DUMMYFUNCTION("""COMPUTED_VALUE"""),"ADL3225V-470MT-TL000")</f>
        <v>ADL3225V-470MT-TL000</v>
      </c>
      <c r="P725" s="4" t="str">
        <f>IFERROR(__xludf.DUMMYFUNCTION("""COMPUTED_VALUE"""),"8(Tp) ")</f>
        <v>8(Tp) </v>
      </c>
      <c r="Q725" s="4">
        <f>IFERROR(__xludf.DUMMYFUNCTION("""COMPUTED_VALUE"""),8.0)</f>
        <v>8</v>
      </c>
      <c r="R725" s="4">
        <f>IFERROR(__xludf.DUMMYFUNCTION("""COMPUTED_VALUE"""),8.0)</f>
        <v>8</v>
      </c>
      <c r="S725" s="4" t="str">
        <f>IFERROR(__xludf.DUMMYFUNCTION("""COMPUTED_VALUE"""),"Tape")</f>
        <v>Tape</v>
      </c>
      <c r="T725" s="4" t="str">
        <f>IFERROR(__xludf.DUMMYFUNCTION("""COMPUTED_VALUE"""),"0224")</f>
        <v>0224</v>
      </c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</row>
    <row r="726">
      <c r="A726" s="4" t="str">
        <f>IFERROR(__xludf.DUMMYFUNCTION("""COMPUTED_VALUE"""),"RESISTOR:   SMD 01005 120Ω ±1% 0.03W   [ERJ-XGNF1200Y] [SMD]")</f>
        <v>RESISTOR:   SMD 01005 120Ω ±1% 0.03W   [ERJ-XGNF1200Y] [SMD]</v>
      </c>
      <c r="B726" s="4" t="str">
        <f>IFERROR(__xludf.DUMMYFUNCTION("""COMPUTED_VALUE"""),"OEPS020249")</f>
        <v>OEPS020249</v>
      </c>
      <c r="C726" s="4" t="str">
        <f>IFERROR(__xludf.DUMMYFUNCTION("""COMPUTED_VALUE"""),"SMD")</f>
        <v>SMD</v>
      </c>
      <c r="D726" s="4" t="str">
        <f>IFERROR(__xludf.DUMMYFUNCTION("""COMPUTED_VALUE"""),"ERJ-XGNF1200Y")</f>
        <v>ERJ-XGNF1200Y</v>
      </c>
      <c r="E726" s="4">
        <f>IFERROR(__xludf.DUMMYFUNCTION("""COMPUTED_VALUE"""),30.0)</f>
        <v>30</v>
      </c>
      <c r="F726" s="4" t="str">
        <f>IFERROR(__xludf.DUMMYFUNCTION("""COMPUTED_VALUE"""),"DigiKey")</f>
        <v>DigiKey</v>
      </c>
      <c r="G726" s="4" t="str">
        <f>IFERROR(__xludf.DUMMYFUNCTION("""COMPUTED_VALUE"""),"10-ERJ-XGNF1200YDKR-ND")</f>
        <v>10-ERJ-XGNF1200YDKR-ND</v>
      </c>
      <c r="H726" s="4"/>
      <c r="I726" s="4"/>
      <c r="J726" s="4"/>
      <c r="K726" s="4"/>
      <c r="L726" s="4"/>
      <c r="M726" s="4"/>
      <c r="N726" s="9" t="str">
        <f>IFERROR(__xludf.DUMMYFUNCTION("""COMPUTED_VALUE"""),"OEPS040013")</f>
        <v>OEPS040013</v>
      </c>
      <c r="O726" s="4" t="str">
        <f>IFERROR(__xludf.DUMMYFUNCTION("""COMPUTED_VALUE"""),"BLM15HD102SN1D")</f>
        <v>BLM15HD102SN1D</v>
      </c>
      <c r="P726" s="4" t="str">
        <f>IFERROR(__xludf.DUMMYFUNCTION("""COMPUTED_VALUE"""),"15(Tp) ")</f>
        <v>15(Tp) </v>
      </c>
      <c r="Q726" s="4">
        <f>IFERROR(__xludf.DUMMYFUNCTION("""COMPUTED_VALUE"""),15.0)</f>
        <v>15</v>
      </c>
      <c r="R726" s="4">
        <f>IFERROR(__xludf.DUMMYFUNCTION("""COMPUTED_VALUE"""),15.0)</f>
        <v>15</v>
      </c>
      <c r="S726" s="4" t="str">
        <f>IFERROR(__xludf.DUMMYFUNCTION("""COMPUTED_VALUE"""),"Tape")</f>
        <v>Tape</v>
      </c>
      <c r="T726" s="4" t="str">
        <f>IFERROR(__xludf.DUMMYFUNCTION("""COMPUTED_VALUE"""),"0224")</f>
        <v>0224</v>
      </c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</row>
    <row r="727">
      <c r="A727" s="4" t="str">
        <f>IFERROR(__xludf.DUMMYFUNCTION("""COMPUTED_VALUE"""),"RESISTOR:   SMD 01005 150Ω ±1% 0.03W   [RC0100FR-07150RL] [SMD]")</f>
        <v>RESISTOR:   SMD 01005 150Ω ±1% 0.03W   [RC0100FR-07150RL] [SMD]</v>
      </c>
      <c r="B727" s="4" t="str">
        <f>IFERROR(__xludf.DUMMYFUNCTION("""COMPUTED_VALUE"""),"OEPS020248")</f>
        <v>OEPS020248</v>
      </c>
      <c r="C727" s="4" t="str">
        <f>IFERROR(__xludf.DUMMYFUNCTION("""COMPUTED_VALUE"""),"SMD")</f>
        <v>SMD</v>
      </c>
      <c r="D727" s="4" t="str">
        <f>IFERROR(__xludf.DUMMYFUNCTION("""COMPUTED_VALUE"""),"RC0100FR-07150RL")</f>
        <v>RC0100FR-07150RL</v>
      </c>
      <c r="E727" s="4">
        <f>IFERROR(__xludf.DUMMYFUNCTION("""COMPUTED_VALUE"""),30.0)</f>
        <v>30</v>
      </c>
      <c r="F727" s="4" t="str">
        <f>IFERROR(__xludf.DUMMYFUNCTION("""COMPUTED_VALUE"""),"DigiKey")</f>
        <v>DigiKey</v>
      </c>
      <c r="G727" s="4" t="str">
        <f>IFERROR(__xludf.DUMMYFUNCTION("""COMPUTED_VALUE"""),"311-150DGDKR-ND")</f>
        <v>311-150DGDKR-ND</v>
      </c>
      <c r="H727" s="4"/>
      <c r="I727" s="4"/>
      <c r="J727" s="4"/>
      <c r="K727" s="4"/>
      <c r="L727" s="4"/>
      <c r="M727" s="4"/>
      <c r="N727" s="9" t="str">
        <f>IFERROR(__xludf.DUMMYFUNCTION("""COMPUTED_VALUE"""),"OEPS040014")</f>
        <v>OEPS040014</v>
      </c>
      <c r="O727" s="4" t="str">
        <f>IFERROR(__xludf.DUMMYFUNCTION("""COMPUTED_VALUE"""),"BLM18PG471SN1D")</f>
        <v>BLM18PG471SN1D</v>
      </c>
      <c r="P727" s="4" t="str">
        <f>IFERROR(__xludf.DUMMYFUNCTION("""COMPUTED_VALUE"""),"211(R) ")</f>
        <v>211(R) </v>
      </c>
      <c r="Q727" s="4">
        <f>IFERROR(__xludf.DUMMYFUNCTION("""COMPUTED_VALUE"""),211.0)</f>
        <v>211</v>
      </c>
      <c r="R727" s="4">
        <f>IFERROR(__xludf.DUMMYFUNCTION("""COMPUTED_VALUE"""),211.0)</f>
        <v>211</v>
      </c>
      <c r="S727" s="4" t="str">
        <f>IFERROR(__xludf.DUMMYFUNCTION("""COMPUTED_VALUE"""),"Reel")</f>
        <v>Reel</v>
      </c>
      <c r="T727" s="4" t="str">
        <f>IFERROR(__xludf.DUMMYFUNCTION("""COMPUTED_VALUE"""),"0221")</f>
        <v>0221</v>
      </c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</row>
    <row r="728">
      <c r="A728" s="4" t="str">
        <f>IFERROR(__xludf.DUMMYFUNCTION("""COMPUTED_VALUE"""),"RESISTOR:   SMD 01005 2.2kΩ ±1% 0.03W   [RC0100FR-072K2P] [SMD]")</f>
        <v>RESISTOR:   SMD 01005 2.2kΩ ±1% 0.03W   [RC0100FR-072K2P] [SMD]</v>
      </c>
      <c r="B728" s="4" t="str">
        <f>IFERROR(__xludf.DUMMYFUNCTION("""COMPUTED_VALUE"""),"OEPS020245")</f>
        <v>OEPS020245</v>
      </c>
      <c r="C728" s="4" t="str">
        <f>IFERROR(__xludf.DUMMYFUNCTION("""COMPUTED_VALUE"""),"SMD")</f>
        <v>SMD</v>
      </c>
      <c r="D728" s="4" t="str">
        <f>IFERROR(__xludf.DUMMYFUNCTION("""COMPUTED_VALUE"""),"RC0100FR-072K2P")</f>
        <v>RC0100FR-072K2P</v>
      </c>
      <c r="E728" s="4">
        <f>IFERROR(__xludf.DUMMYFUNCTION("""COMPUTED_VALUE"""),30.0)</f>
        <v>30</v>
      </c>
      <c r="F728" s="4" t="str">
        <f>IFERROR(__xludf.DUMMYFUNCTION("""COMPUTED_VALUE"""),"DigiKey")</f>
        <v>DigiKey</v>
      </c>
      <c r="G728" s="4" t="str">
        <f>IFERROR(__xludf.DUMMYFUNCTION("""COMPUTED_VALUE"""),"13-RC0100FR-072K2PDKR-ND")</f>
        <v>13-RC0100FR-072K2PDKR-ND</v>
      </c>
      <c r="H728" s="4"/>
      <c r="I728" s="4"/>
      <c r="J728" s="4"/>
      <c r="K728" s="4"/>
      <c r="L728" s="4"/>
      <c r="M728" s="4"/>
      <c r="N728" s="9" t="str">
        <f>IFERROR(__xludf.DUMMYFUNCTION("""COMPUTED_VALUE"""),"OEPS040015")</f>
        <v>OEPS040015</v>
      </c>
      <c r="O728" s="4" t="str">
        <f>IFERROR(__xludf.DUMMYFUNCTION("""COMPUTED_VALUE"""),"MBKK1608T3R3M")</f>
        <v>MBKK1608T3R3M</v>
      </c>
      <c r="P728" s="4" t="str">
        <f>IFERROR(__xludf.DUMMYFUNCTION("""COMPUTED_VALUE"""),"499(R) 8(Tp) ")</f>
        <v>499(R) 8(Tp) </v>
      </c>
      <c r="Q728" s="4">
        <f>IFERROR(__xludf.DUMMYFUNCTION("""COMPUTED_VALUE"""),507.0)</f>
        <v>507</v>
      </c>
      <c r="R728" s="4">
        <f>IFERROR(__xludf.DUMMYFUNCTION("""COMPUTED_VALUE"""),499.0)</f>
        <v>499</v>
      </c>
      <c r="S728" s="4" t="str">
        <f>IFERROR(__xludf.DUMMYFUNCTION("""COMPUTED_VALUE"""),"Reel")</f>
        <v>Reel</v>
      </c>
      <c r="T728" s="4" t="str">
        <f>IFERROR(__xludf.DUMMYFUNCTION("""COMPUTED_VALUE"""),"0921")</f>
        <v>0921</v>
      </c>
      <c r="U728" s="4">
        <f>IFERROR(__xludf.DUMMYFUNCTION("""COMPUTED_VALUE"""),8.0)</f>
        <v>8</v>
      </c>
      <c r="V728" s="4" t="str">
        <f>IFERROR(__xludf.DUMMYFUNCTION("""COMPUTED_VALUE"""),"Tape")</f>
        <v>Tape</v>
      </c>
      <c r="W728" s="4" t="str">
        <f>IFERROR(__xludf.DUMMYFUNCTION("""COMPUTED_VALUE"""),"0224")</f>
        <v>0224</v>
      </c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</row>
    <row r="729">
      <c r="A729" s="4" t="str">
        <f>IFERROR(__xludf.DUMMYFUNCTION("""COMPUTED_VALUE"""),"RESISTOR:   SMD 01005 2kΩ ±1% 0.03W   [RC0100FR-072KL] [SMD]")</f>
        <v>RESISTOR:   SMD 01005 2kΩ ±1% 0.03W   [RC0100FR-072KL] [SMD]</v>
      </c>
      <c r="B729" s="4" t="str">
        <f>IFERROR(__xludf.DUMMYFUNCTION("""COMPUTED_VALUE"""),"OEPS020246")</f>
        <v>OEPS020246</v>
      </c>
      <c r="C729" s="4" t="str">
        <f>IFERROR(__xludf.DUMMYFUNCTION("""COMPUTED_VALUE"""),"SMD")</f>
        <v>SMD</v>
      </c>
      <c r="D729" s="4" t="str">
        <f>IFERROR(__xludf.DUMMYFUNCTION("""COMPUTED_VALUE"""),"RC0100FR-072KL")</f>
        <v>RC0100FR-072KL</v>
      </c>
      <c r="E729" s="4">
        <f>IFERROR(__xludf.DUMMYFUNCTION("""COMPUTED_VALUE"""),30.0)</f>
        <v>30</v>
      </c>
      <c r="F729" s="4" t="str">
        <f>IFERROR(__xludf.DUMMYFUNCTION("""COMPUTED_VALUE"""),"DigiKey")</f>
        <v>DigiKey</v>
      </c>
      <c r="G729" s="4" t="str">
        <f>IFERROR(__xludf.DUMMYFUNCTION("""COMPUTED_VALUE"""),"YAG6305DKR-ND")</f>
        <v>YAG6305DKR-ND</v>
      </c>
      <c r="H729" s="4"/>
      <c r="I729" s="4"/>
      <c r="J729" s="4"/>
      <c r="K729" s="4"/>
      <c r="L729" s="4"/>
      <c r="M729" s="4"/>
      <c r="N729" s="9" t="str">
        <f>IFERROR(__xludf.DUMMYFUNCTION("""COMPUTED_VALUE"""),"OEPS040016")</f>
        <v>OEPS040016</v>
      </c>
      <c r="O729" s="4" t="str">
        <f>IFERROR(__xludf.DUMMYFUNCTION("""COMPUTED_VALUE"""),"BLM15AX102SN1D")</f>
        <v>BLM15AX102SN1D</v>
      </c>
      <c r="P729" s="4" t="str">
        <f>IFERROR(__xludf.DUMMYFUNCTION("""COMPUTED_VALUE"""),"31(Tp) ")</f>
        <v>31(Tp) </v>
      </c>
      <c r="Q729" s="4">
        <f>IFERROR(__xludf.DUMMYFUNCTION("""COMPUTED_VALUE"""),31.0)</f>
        <v>31</v>
      </c>
      <c r="R729" s="4">
        <f>IFERROR(__xludf.DUMMYFUNCTION("""COMPUTED_VALUE"""),31.0)</f>
        <v>31</v>
      </c>
      <c r="S729" s="4" t="str">
        <f>IFERROR(__xludf.DUMMYFUNCTION("""COMPUTED_VALUE"""),"Tape")</f>
        <v>Tape</v>
      </c>
      <c r="T729" s="4" t="str">
        <f>IFERROR(__xludf.DUMMYFUNCTION("""COMPUTED_VALUE"""),"XXXX")</f>
        <v>XXXX</v>
      </c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</row>
    <row r="730">
      <c r="A730" s="4" t="str">
        <f>IFERROR(__xludf.DUMMYFUNCTION("""COMPUTED_VALUE"""),"RESISTOR:   SMD 01005 37.4kΩ ±1% 0.03W   [RC0100FR-0737K4L] [SMD]")</f>
        <v>RESISTOR:   SMD 01005 37.4kΩ ±1% 0.03W   [RC0100FR-0737K4L] [SMD]</v>
      </c>
      <c r="B730" s="4" t="str">
        <f>IFERROR(__xludf.DUMMYFUNCTION("""COMPUTED_VALUE"""),"OEPS020253")</f>
        <v>OEPS020253</v>
      </c>
      <c r="C730" s="4" t="str">
        <f>IFERROR(__xludf.DUMMYFUNCTION("""COMPUTED_VALUE"""),"SMD")</f>
        <v>SMD</v>
      </c>
      <c r="D730" s="4" t="str">
        <f>IFERROR(__xludf.DUMMYFUNCTION("""COMPUTED_VALUE"""),"RC0100FR-0737K4L")</f>
        <v>RC0100FR-0737K4L</v>
      </c>
      <c r="E730" s="4">
        <f>IFERROR(__xludf.DUMMYFUNCTION("""COMPUTED_VALUE"""),30.0)</f>
        <v>30</v>
      </c>
      <c r="F730" s="4" t="str">
        <f>IFERROR(__xludf.DUMMYFUNCTION("""COMPUTED_VALUE"""),"DigiKey")</f>
        <v>DigiKey</v>
      </c>
      <c r="G730" s="4" t="str">
        <f>IFERROR(__xludf.DUMMYFUNCTION("""COMPUTED_VALUE"""),"YAG6328DKR-ND")</f>
        <v>YAG6328DKR-ND</v>
      </c>
      <c r="H730" s="4"/>
      <c r="I730" s="4"/>
      <c r="J730" s="4"/>
      <c r="K730" s="4"/>
      <c r="L730" s="4"/>
      <c r="M730" s="4"/>
      <c r="N730" s="9" t="str">
        <f>IFERROR(__xludf.DUMMYFUNCTION("""COMPUTED_VALUE"""),"OEPS040024")</f>
        <v>OEPS040024</v>
      </c>
      <c r="O730" s="4" t="str">
        <f>IFERROR(__xludf.DUMMYFUNCTION("""COMPUTED_VALUE"""),"NRS5030T100MMGJ")</f>
        <v>NRS5030T100MMGJ</v>
      </c>
      <c r="P730" s="4" t="str">
        <f>IFERROR(__xludf.DUMMYFUNCTION("""COMPUTED_VALUE"""),"2(Tp) 4(Tp) ")</f>
        <v>2(Tp) 4(Tp) </v>
      </c>
      <c r="Q730" s="4">
        <f>IFERROR(__xludf.DUMMYFUNCTION("""COMPUTED_VALUE"""),6.0)</f>
        <v>6</v>
      </c>
      <c r="R730" s="4">
        <f>IFERROR(__xludf.DUMMYFUNCTION("""COMPUTED_VALUE"""),2.0)</f>
        <v>2</v>
      </c>
      <c r="S730" s="4" t="str">
        <f>IFERROR(__xludf.DUMMYFUNCTION("""COMPUTED_VALUE"""),"Tape")</f>
        <v>Tape</v>
      </c>
      <c r="T730" s="4" t="str">
        <f>IFERROR(__xludf.DUMMYFUNCTION("""COMPUTED_VALUE"""),"XXXX")</f>
        <v>XXXX</v>
      </c>
      <c r="U730" s="4">
        <f>IFERROR(__xludf.DUMMYFUNCTION("""COMPUTED_VALUE"""),4.0)</f>
        <v>4</v>
      </c>
      <c r="V730" s="4" t="str">
        <f>IFERROR(__xludf.DUMMYFUNCTION("""COMPUTED_VALUE"""),"Tape")</f>
        <v>Tape</v>
      </c>
      <c r="W730" s="4" t="str">
        <f>IFERROR(__xludf.DUMMYFUNCTION("""COMPUTED_VALUE"""),"1124")</f>
        <v>1124</v>
      </c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</row>
    <row r="731">
      <c r="A731" s="4" t="str">
        <f>IFERROR(__xludf.DUMMYFUNCTION("""COMPUTED_VALUE"""),"RESISTOR:   SMD 01005 4.7kΩ ±1% 0.03W   [RC0100FR-074K7P] [SMD]")</f>
        <v>RESISTOR:   SMD 01005 4.7kΩ ±1% 0.03W   [RC0100FR-074K7P] [SMD]</v>
      </c>
      <c r="B731" s="4" t="str">
        <f>IFERROR(__xludf.DUMMYFUNCTION("""COMPUTED_VALUE"""),"OEPS020252")</f>
        <v>OEPS020252</v>
      </c>
      <c r="C731" s="4" t="str">
        <f>IFERROR(__xludf.DUMMYFUNCTION("""COMPUTED_VALUE"""),"SMD")</f>
        <v>SMD</v>
      </c>
      <c r="D731" s="4" t="str">
        <f>IFERROR(__xludf.DUMMYFUNCTION("""COMPUTED_VALUE"""),"RC0100FR-074K7P")</f>
        <v>RC0100FR-074K7P</v>
      </c>
      <c r="E731" s="4">
        <f>IFERROR(__xludf.DUMMYFUNCTION("""COMPUTED_VALUE"""),30.0)</f>
        <v>30</v>
      </c>
      <c r="F731" s="4" t="str">
        <f>IFERROR(__xludf.DUMMYFUNCTION("""COMPUTED_VALUE"""),"DigiKey")</f>
        <v>DigiKey</v>
      </c>
      <c r="G731" s="4" t="str">
        <f>IFERROR(__xludf.DUMMYFUNCTION("""COMPUTED_VALUE"""),"13-RC0100FR-074K7PDKR-ND")</f>
        <v>13-RC0100FR-074K7PDKR-ND</v>
      </c>
      <c r="H731" s="4"/>
      <c r="I731" s="4"/>
      <c r="J731" s="4"/>
      <c r="K731" s="4"/>
      <c r="L731" s="4"/>
      <c r="M731" s="4"/>
      <c r="N731" s="9" t="str">
        <f>IFERROR(__xludf.DUMMYFUNCTION("""COMPUTED_VALUE"""),"OEPS040025")</f>
        <v>OEPS040025</v>
      </c>
      <c r="O731" s="4" t="str">
        <f>IFERROR(__xludf.DUMMYFUNCTION("""COMPUTED_VALUE"""),"NRS4018T2R2MDGJ")</f>
        <v>NRS4018T2R2MDGJ</v>
      </c>
      <c r="P731" s="4" t="str">
        <f>IFERROR(__xludf.DUMMYFUNCTION("""COMPUTED_VALUE"""),"2(Tp) 2(Tp) 103(Tp) ")</f>
        <v>2(Tp) 2(Tp) 103(Tp) </v>
      </c>
      <c r="Q731" s="4">
        <f>IFERROR(__xludf.DUMMYFUNCTION("""COMPUTED_VALUE"""),107.0)</f>
        <v>107</v>
      </c>
      <c r="R731" s="4">
        <f>IFERROR(__xludf.DUMMYFUNCTION("""COMPUTED_VALUE"""),2.0)</f>
        <v>2</v>
      </c>
      <c r="S731" s="4" t="str">
        <f>IFERROR(__xludf.DUMMYFUNCTION("""COMPUTED_VALUE"""),"Tape")</f>
        <v>Tape</v>
      </c>
      <c r="T731" s="4" t="str">
        <f>IFERROR(__xludf.DUMMYFUNCTION("""COMPUTED_VALUE"""),"0325")</f>
        <v>0325</v>
      </c>
      <c r="U731" s="4">
        <f>IFERROR(__xludf.DUMMYFUNCTION("""COMPUTED_VALUE"""),2.0)</f>
        <v>2</v>
      </c>
      <c r="V731" s="4" t="str">
        <f>IFERROR(__xludf.DUMMYFUNCTION("""COMPUTED_VALUE"""),"Tape")</f>
        <v>Tape</v>
      </c>
      <c r="W731" s="4" t="str">
        <f>IFERROR(__xludf.DUMMYFUNCTION("""COMPUTED_VALUE"""),"1124")</f>
        <v>1124</v>
      </c>
      <c r="X731" s="4">
        <f>IFERROR(__xludf.DUMMYFUNCTION("""COMPUTED_VALUE"""),103.0)</f>
        <v>103</v>
      </c>
      <c r="Y731" s="4" t="str">
        <f>IFERROR(__xludf.DUMMYFUNCTION("""COMPUTED_VALUE"""),"Tape")</f>
        <v>Tape</v>
      </c>
      <c r="Z731" s="4" t="str">
        <f>IFERROR(__xludf.DUMMYFUNCTION("""COMPUTED_VALUE"""),"0325")</f>
        <v>0325</v>
      </c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</row>
    <row r="732">
      <c r="A732" s="4" t="str">
        <f>IFERROR(__xludf.DUMMYFUNCTION("""COMPUTED_VALUE"""),"RESISTOR:   SMD 01005 6.2kΩ ±1% 0.03W   [RMCF01005FT6K20] [SMD]")</f>
        <v>RESISTOR:   SMD 01005 6.2kΩ ±1% 0.03W   [RMCF01005FT6K20] [SMD]</v>
      </c>
      <c r="B732" s="4" t="str">
        <f>IFERROR(__xludf.DUMMYFUNCTION("""COMPUTED_VALUE"""),"OEPS020251")</f>
        <v>OEPS020251</v>
      </c>
      <c r="C732" s="4" t="str">
        <f>IFERROR(__xludf.DUMMYFUNCTION("""COMPUTED_VALUE"""),"SMD")</f>
        <v>SMD</v>
      </c>
      <c r="D732" s="4" t="str">
        <f>IFERROR(__xludf.DUMMYFUNCTION("""COMPUTED_VALUE"""),"RMCF01005FT6K20")</f>
        <v>RMCF01005FT6K20</v>
      </c>
      <c r="E732" s="4">
        <f>IFERROR(__xludf.DUMMYFUNCTION("""COMPUTED_VALUE"""),30.0)</f>
        <v>30</v>
      </c>
      <c r="F732" s="4" t="str">
        <f>IFERROR(__xludf.DUMMYFUNCTION("""COMPUTED_VALUE"""),"DigiKey")</f>
        <v>DigiKey</v>
      </c>
      <c r="G732" s="4" t="str">
        <f>IFERROR(__xludf.DUMMYFUNCTION("""COMPUTED_VALUE"""),"738-RMCF01005FT6K20DKR-ND")</f>
        <v>738-RMCF01005FT6K20DKR-ND</v>
      </c>
      <c r="H732" s="4"/>
      <c r="I732" s="4"/>
      <c r="J732" s="4"/>
      <c r="K732" s="4"/>
      <c r="L732" s="4"/>
      <c r="M732" s="4"/>
      <c r="N732" s="9" t="str">
        <f>IFERROR(__xludf.DUMMYFUNCTION("""COMPUTED_VALUE"""),"OEPS040030")</f>
        <v>OEPS040030</v>
      </c>
      <c r="O732" s="4" t="str">
        <f>IFERROR(__xludf.DUMMYFUNCTION("""COMPUTED_VALUE"""),"DLW21HN900SQ2L")</f>
        <v>DLW21HN900SQ2L</v>
      </c>
      <c r="P732" s="4" t="str">
        <f>IFERROR(__xludf.DUMMYFUNCTION("""COMPUTED_VALUE"""),"8(Tp) ")</f>
        <v>8(Tp) </v>
      </c>
      <c r="Q732" s="4">
        <f>IFERROR(__xludf.DUMMYFUNCTION("""COMPUTED_VALUE"""),8.0)</f>
        <v>8</v>
      </c>
      <c r="R732" s="4">
        <f>IFERROR(__xludf.DUMMYFUNCTION("""COMPUTED_VALUE"""),8.0)</f>
        <v>8</v>
      </c>
      <c r="S732" s="4" t="str">
        <f>IFERROR(__xludf.DUMMYFUNCTION("""COMPUTED_VALUE"""),"Tape")</f>
        <v>Tape</v>
      </c>
      <c r="T732" s="4" t="str">
        <f>IFERROR(__xludf.DUMMYFUNCTION("""COMPUTED_VALUE"""),"0725")</f>
        <v>0725</v>
      </c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</row>
    <row r="733">
      <c r="A733" s="4" t="str">
        <f>IFERROR(__xludf.DUMMYFUNCTION("""COMPUTED_VALUE"""),"RESISTOR:   SMD 0201 0Ω 0.050W (OEPS M01 016)   [ERJ-1GN0R00C] [SMD]")</f>
        <v>RESISTOR:   SMD 0201 0Ω 0.050W (OEPS M01 016)   [ERJ-1GN0R00C] [SMD]</v>
      </c>
      <c r="B733" s="4" t="str">
        <f>IFERROR(__xludf.DUMMYFUNCTION("""COMPUTED_VALUE"""),"OEPS020121")</f>
        <v>OEPS020121</v>
      </c>
      <c r="C733" s="4" t="str">
        <f>IFERROR(__xludf.DUMMYFUNCTION("""COMPUTED_VALUE"""),"SMD")</f>
        <v>SMD</v>
      </c>
      <c r="D733" s="4" t="str">
        <f>IFERROR(__xludf.DUMMYFUNCTION("""COMPUTED_VALUE"""),"ERJ-1GN0R00C")</f>
        <v>ERJ-1GN0R00C</v>
      </c>
      <c r="E733" s="4">
        <f>IFERROR(__xludf.DUMMYFUNCTION("""COMPUTED_VALUE"""),30.0)</f>
        <v>30</v>
      </c>
      <c r="F733" s="4" t="str">
        <f>IFERROR(__xludf.DUMMYFUNCTION("""COMPUTED_VALUE"""),"Digikey")</f>
        <v>Digikey</v>
      </c>
      <c r="G733" s="4" t="str">
        <f>IFERROR(__xludf.DUMMYFUNCTION("""COMPUTED_VALUE"""),"P15979DKR-ND")</f>
        <v>P15979DKR-ND</v>
      </c>
      <c r="H733" s="4"/>
      <c r="I733" s="4"/>
      <c r="J733" s="4"/>
      <c r="K733" s="4"/>
      <c r="L733" s="4"/>
      <c r="M733" s="4"/>
      <c r="N733" s="9" t="str">
        <f>IFERROR(__xludf.DUMMYFUNCTION("""COMPUTED_VALUE"""),"OEPS040031")</f>
        <v>OEPS040031</v>
      </c>
      <c r="O733" s="4" t="str">
        <f>IFERROR(__xludf.DUMMYFUNCTION("""COMPUTED_VALUE"""),"SRN6045-330M")</f>
        <v>SRN6045-330M</v>
      </c>
      <c r="P733" s="4" t="str">
        <f>IFERROR(__xludf.DUMMYFUNCTION("""COMPUTED_VALUE"""),"4(Tp) ")</f>
        <v>4(Tp) </v>
      </c>
      <c r="Q733" s="4">
        <f>IFERROR(__xludf.DUMMYFUNCTION("""COMPUTED_VALUE"""),4.0)</f>
        <v>4</v>
      </c>
      <c r="R733" s="4">
        <f>IFERROR(__xludf.DUMMYFUNCTION("""COMPUTED_VALUE"""),4.0)</f>
        <v>4</v>
      </c>
      <c r="S733" s="4" t="str">
        <f>IFERROR(__xludf.DUMMYFUNCTION("""COMPUTED_VALUE"""),"Tape")</f>
        <v>Tape</v>
      </c>
      <c r="T733" s="4" t="str">
        <f>IFERROR(__xludf.DUMMYFUNCTION("""COMPUTED_VALUE"""),"0126")</f>
        <v>0126</v>
      </c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</row>
    <row r="734">
      <c r="A734" s="4" t="str">
        <f>IFERROR(__xludf.DUMMYFUNCTION("""COMPUTED_VALUE"""),"RESISTOR:   SMD 0201 0Ω 0.5A   [RC0201JR-070RL] [SMD]")</f>
        <v>RESISTOR:   SMD 0201 0Ω 0.5A   [RC0201JR-070RL] [SMD]</v>
      </c>
      <c r="B734" s="4" t="str">
        <f>IFERROR(__xludf.DUMMYFUNCTION("""COMPUTED_VALUE"""),"OEPS020095")</f>
        <v>OEPS020095</v>
      </c>
      <c r="C734" s="4" t="str">
        <f>IFERROR(__xludf.DUMMYFUNCTION("""COMPUTED_VALUE"""),"SMD")</f>
        <v>SMD</v>
      </c>
      <c r="D734" s="4" t="str">
        <f>IFERROR(__xludf.DUMMYFUNCTION("""COMPUTED_VALUE"""),"RC0201JR-070RL")</f>
        <v>RC0201JR-070RL</v>
      </c>
      <c r="E734" s="4">
        <f>IFERROR(__xludf.DUMMYFUNCTION("""COMPUTED_VALUE"""),30.0)</f>
        <v>30</v>
      </c>
      <c r="F734" s="4" t="str">
        <f>IFERROR(__xludf.DUMMYFUNCTION("""COMPUTED_VALUE"""),"DigiKey")</f>
        <v>DigiKey</v>
      </c>
      <c r="G734" s="4" t="str">
        <f>IFERROR(__xludf.DUMMYFUNCTION("""COMPUTED_VALUE"""),"311-0.0NDKR-ND")</f>
        <v>311-0.0NDKR-ND</v>
      </c>
      <c r="H734" s="4"/>
      <c r="I734" s="4"/>
      <c r="J734" s="4"/>
      <c r="K734" s="4"/>
      <c r="L734" s="4"/>
      <c r="M734" s="4"/>
      <c r="N734" s="9" t="str">
        <f>IFERROR(__xludf.DUMMYFUNCTION("""COMPUTED_VALUE"""),"OEPS060001")</f>
        <v>OEPS060001</v>
      </c>
      <c r="O734" s="4" t="str">
        <f>IFERROR(__xludf.DUMMYFUNCTION("""COMPUTED_VALUE"""),"SI1012R-T1-GE3")</f>
        <v>SI1012R-T1-GE3</v>
      </c>
      <c r="P734" s="4" t="str">
        <f>IFERROR(__xludf.DUMMYFUNCTION("""COMPUTED_VALUE"""),"100(R) ")</f>
        <v>100(R) </v>
      </c>
      <c r="Q734" s="4">
        <f>IFERROR(__xludf.DUMMYFUNCTION("""COMPUTED_VALUE"""),100.0)</f>
        <v>100</v>
      </c>
      <c r="R734" s="4">
        <f>IFERROR(__xludf.DUMMYFUNCTION("""COMPUTED_VALUE"""),100.0)</f>
        <v>100</v>
      </c>
      <c r="S734" s="4" t="str">
        <f>IFERROR(__xludf.DUMMYFUNCTION("""COMPUTED_VALUE"""),"Reel")</f>
        <v>Reel</v>
      </c>
      <c r="T734" s="4" t="str">
        <f>IFERROR(__xludf.DUMMYFUNCTION("""COMPUTED_VALUE"""),"0621")</f>
        <v>0621</v>
      </c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</row>
    <row r="735">
      <c r="A735" s="4" t="str">
        <f>IFERROR(__xludf.DUMMYFUNCTION("""COMPUTED_VALUE"""),"RESISTOR:   SMD 0201 0Ω 0.5A (OEPS H02 005)   [ERJ-1GN0R00C] [SMD]")</f>
        <v>RESISTOR:   SMD 0201 0Ω 0.5A (OEPS H02 005)   [ERJ-1GN0R00C] [SMD]</v>
      </c>
      <c r="B735" s="4" t="str">
        <f>IFERROR(__xludf.DUMMYFUNCTION("""COMPUTED_VALUE"""),"OEPS020085")</f>
        <v>OEPS020085</v>
      </c>
      <c r="C735" s="4" t="str">
        <f>IFERROR(__xludf.DUMMYFUNCTION("""COMPUTED_VALUE"""),"SMD")</f>
        <v>SMD</v>
      </c>
      <c r="D735" s="4" t="str">
        <f>IFERROR(__xludf.DUMMYFUNCTION("""COMPUTED_VALUE"""),"ERJ-1GN0R00C")</f>
        <v>ERJ-1GN0R00C</v>
      </c>
      <c r="E735" s="4">
        <f>IFERROR(__xludf.DUMMYFUNCTION("""COMPUTED_VALUE"""),30.0)</f>
        <v>30</v>
      </c>
      <c r="F735" s="4" t="str">
        <f>IFERROR(__xludf.DUMMYFUNCTION("""COMPUTED_VALUE"""),"DigiKey")</f>
        <v>DigiKey</v>
      </c>
      <c r="G735" s="4" t="str">
        <f>IFERROR(__xludf.DUMMYFUNCTION("""COMPUTED_VALUE"""),"P15979DKR-ND")</f>
        <v>P15979DKR-ND</v>
      </c>
      <c r="H735" s="4"/>
      <c r="I735" s="4"/>
      <c r="J735" s="4"/>
      <c r="K735" s="4"/>
      <c r="L735" s="4"/>
      <c r="M735" s="4"/>
      <c r="N735" s="9" t="str">
        <f>IFERROR(__xludf.DUMMYFUNCTION("""COMPUTED_VALUE"""),"OEPS060002")</f>
        <v>OEPS060002</v>
      </c>
      <c r="O735" s="4" t="str">
        <f>IFERROR(__xludf.DUMMYFUNCTION("""COMPUTED_VALUE"""),"SI1416EDH-T1-GE3")</f>
        <v>SI1416EDH-T1-GE3</v>
      </c>
      <c r="P735" s="4" t="str">
        <f>IFERROR(__xludf.DUMMYFUNCTION("""COMPUTED_VALUE"""),"49(Tp) ")</f>
        <v>49(Tp) </v>
      </c>
      <c r="Q735" s="4">
        <f>IFERROR(__xludf.DUMMYFUNCTION("""COMPUTED_VALUE"""),49.0)</f>
        <v>49</v>
      </c>
      <c r="R735" s="4">
        <f>IFERROR(__xludf.DUMMYFUNCTION("""COMPUTED_VALUE"""),49.0)</f>
        <v>49</v>
      </c>
      <c r="S735" s="4" t="str">
        <f>IFERROR(__xludf.DUMMYFUNCTION("""COMPUTED_VALUE"""),"Tape")</f>
        <v>Tape</v>
      </c>
      <c r="T735" s="4" t="str">
        <f>IFERROR(__xludf.DUMMYFUNCTION("""COMPUTED_VALUE"""),"0320")</f>
        <v>0320</v>
      </c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</row>
    <row r="736">
      <c r="A736" s="4" t="str">
        <f>IFERROR(__xludf.DUMMYFUNCTION("""COMPUTED_VALUE"""),"RESISTOR:   SMD 0201 1.27MΩ ±1% 0.050W   [CRCW02011M27FNED] [SMD]")</f>
        <v>RESISTOR:   SMD 0201 1.27MΩ ±1% 0.050W   [CRCW02011M27FNED] [SMD]</v>
      </c>
      <c r="B736" s="4" t="str">
        <f>IFERROR(__xludf.DUMMYFUNCTION("""COMPUTED_VALUE"""),"OEPS020106")</f>
        <v>OEPS020106</v>
      </c>
      <c r="C736" s="4" t="str">
        <f>IFERROR(__xludf.DUMMYFUNCTION("""COMPUTED_VALUE"""),"SMD")</f>
        <v>SMD</v>
      </c>
      <c r="D736" s="4" t="str">
        <f>IFERROR(__xludf.DUMMYFUNCTION("""COMPUTED_VALUE"""),"CRCW02011M27FNED")</f>
        <v>CRCW02011M27FNED</v>
      </c>
      <c r="E736" s="4">
        <f>IFERROR(__xludf.DUMMYFUNCTION("""COMPUTED_VALUE"""),30.0)</f>
        <v>30</v>
      </c>
      <c r="F736" s="4" t="str">
        <f>IFERROR(__xludf.DUMMYFUNCTION("""COMPUTED_VALUE"""),"DigiKey")</f>
        <v>DigiKey</v>
      </c>
      <c r="G736" s="4" t="str">
        <f>IFERROR(__xludf.DUMMYFUNCTION("""COMPUTED_VALUE"""),"541-CRCW02011M27FNEDDKR-ND")</f>
        <v>541-CRCW02011M27FNEDDKR-ND</v>
      </c>
      <c r="H736" s="4"/>
      <c r="I736" s="4"/>
      <c r="J736" s="4"/>
      <c r="K736" s="4"/>
      <c r="L736" s="4"/>
      <c r="M736" s="4"/>
      <c r="N736" s="9" t="str">
        <f>IFERROR(__xludf.DUMMYFUNCTION("""COMPUTED_VALUE"""),"OEPS060003")</f>
        <v>OEPS060003</v>
      </c>
      <c r="O736" s="4" t="str">
        <f>IFERROR(__xludf.DUMMYFUNCTION("""COMPUTED_VALUE"""),"IRFML8244TRPBF")</f>
        <v>IRFML8244TRPBF</v>
      </c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</row>
    <row r="737">
      <c r="A737" s="4" t="str">
        <f>IFERROR(__xludf.DUMMYFUNCTION("""COMPUTED_VALUE"""),"RESISTOR:   SMD 0201 1.8kΩ ±1% 0.050W   [ERJ-1GNF1801C] [SMD]")</f>
        <v>RESISTOR:   SMD 0201 1.8kΩ ±1% 0.050W   [ERJ-1GNF1801C] [SMD]</v>
      </c>
      <c r="B737" s="4" t="str">
        <f>IFERROR(__xludf.DUMMYFUNCTION("""COMPUTED_VALUE"""),"OEPS020114")</f>
        <v>OEPS020114</v>
      </c>
      <c r="C737" s="4" t="str">
        <f>IFERROR(__xludf.DUMMYFUNCTION("""COMPUTED_VALUE"""),"SMD")</f>
        <v>SMD</v>
      </c>
      <c r="D737" s="4" t="str">
        <f>IFERROR(__xludf.DUMMYFUNCTION("""COMPUTED_VALUE"""),"ERJ-1GNF1801C")</f>
        <v>ERJ-1GNF1801C</v>
      </c>
      <c r="E737" s="4">
        <f>IFERROR(__xludf.DUMMYFUNCTION("""COMPUTED_VALUE"""),30.0)</f>
        <v>30</v>
      </c>
      <c r="F737" s="4" t="str">
        <f>IFERROR(__xludf.DUMMYFUNCTION("""COMPUTED_VALUE"""),"DigiKey")</f>
        <v>DigiKey</v>
      </c>
      <c r="G737" s="4" t="str">
        <f>IFERROR(__xludf.DUMMYFUNCTION("""COMPUTED_VALUE"""),"P122788DKR-ND")</f>
        <v>P122788DKR-ND</v>
      </c>
      <c r="H737" s="4"/>
      <c r="I737" s="4"/>
      <c r="J737" s="4"/>
      <c r="K737" s="4"/>
      <c r="L737" s="4"/>
      <c r="M737" s="4"/>
      <c r="N737" s="9" t="str">
        <f>IFERROR(__xludf.DUMMYFUNCTION("""COMPUTED_VALUE"""),"OEPS060004")</f>
        <v>OEPS060004</v>
      </c>
      <c r="O737" s="4" t="str">
        <f>IFERROR(__xludf.DUMMYFUNCTION("""COMPUTED_VALUE"""),"NTF2955T1G")</f>
        <v>NTF2955T1G</v>
      </c>
      <c r="P737" s="4" t="str">
        <f>IFERROR(__xludf.DUMMYFUNCTION("""COMPUTED_VALUE"""),"10 ")</f>
        <v>10 </v>
      </c>
      <c r="Q737" s="4">
        <f>IFERROR(__xludf.DUMMYFUNCTION("""COMPUTED_VALUE"""),10.0)</f>
        <v>10</v>
      </c>
      <c r="R737" s="4">
        <f>IFERROR(__xludf.DUMMYFUNCTION("""COMPUTED_VALUE"""),10.0)</f>
        <v>10</v>
      </c>
      <c r="S737" s="4" t="str">
        <f>IFERROR(__xludf.DUMMYFUNCTION("""COMPUTED_VALUE"""),"Bag")</f>
        <v>Bag</v>
      </c>
      <c r="T737" s="4" t="str">
        <f>IFERROR(__xludf.DUMMYFUNCTION("""COMPUTED_VALUE"""),"1022")</f>
        <v>1022</v>
      </c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</row>
    <row r="738">
      <c r="A738" s="4" t="str">
        <f>IFERROR(__xludf.DUMMYFUNCTION("""COMPUTED_VALUE"""),"RESISTOR:   SMD 0201 1.8kΩ ±1% 0.050W (OEPS J05 024)   [ERJ-1GNF1801C] [SMD]")</f>
        <v>RESISTOR:   SMD 0201 1.8kΩ ±1% 0.050W (OEPS J05 024)   [ERJ-1GNF1801C] [SMD]</v>
      </c>
      <c r="B738" s="4" t="str">
        <f>IFERROR(__xludf.DUMMYFUNCTION("""COMPUTED_VALUE"""),"OEPS020074")</f>
        <v>OEPS020074</v>
      </c>
      <c r="C738" s="4" t="str">
        <f>IFERROR(__xludf.DUMMYFUNCTION("""COMPUTED_VALUE"""),"SMD")</f>
        <v>SMD</v>
      </c>
      <c r="D738" s="4" t="str">
        <f>IFERROR(__xludf.DUMMYFUNCTION("""COMPUTED_VALUE"""),"ERJ-1GNF1801C")</f>
        <v>ERJ-1GNF1801C</v>
      </c>
      <c r="E738" s="4">
        <f>IFERROR(__xludf.DUMMYFUNCTION("""COMPUTED_VALUE"""),30.0)</f>
        <v>30</v>
      </c>
      <c r="F738" s="4" t="str">
        <f>IFERROR(__xludf.DUMMYFUNCTION("""COMPUTED_VALUE"""),"DigiKey")</f>
        <v>DigiKey</v>
      </c>
      <c r="G738" s="4" t="str">
        <f>IFERROR(__xludf.DUMMYFUNCTION("""COMPUTED_VALUE"""),"P122788DKR-ND")</f>
        <v>P122788DKR-ND</v>
      </c>
      <c r="H738" s="4"/>
      <c r="I738" s="4"/>
      <c r="J738" s="4"/>
      <c r="K738" s="4"/>
      <c r="L738" s="4"/>
      <c r="M738" s="4"/>
      <c r="N738" s="9" t="str">
        <f>IFERROR(__xludf.DUMMYFUNCTION("""COMPUTED_VALUE"""),"OEPS060005")</f>
        <v>OEPS060005</v>
      </c>
      <c r="O738" s="4" t="str">
        <f>IFERROR(__xludf.DUMMYFUNCTION("""COMPUTED_VALUE"""),"BC817-40W-7")</f>
        <v>BC817-40W-7</v>
      </c>
      <c r="P738" s="4" t="str">
        <f>IFERROR(__xludf.DUMMYFUNCTION("""COMPUTED_VALUE"""),"3(Tp) ")</f>
        <v>3(Tp) </v>
      </c>
      <c r="Q738" s="4">
        <f>IFERROR(__xludf.DUMMYFUNCTION("""COMPUTED_VALUE"""),3.0)</f>
        <v>3</v>
      </c>
      <c r="R738" s="4">
        <f>IFERROR(__xludf.DUMMYFUNCTION("""COMPUTED_VALUE"""),3.0)</f>
        <v>3</v>
      </c>
      <c r="S738" s="4" t="str">
        <f>IFERROR(__xludf.DUMMYFUNCTION("""COMPUTED_VALUE"""),"Tape")</f>
        <v>Tape</v>
      </c>
      <c r="T738" s="4" t="str">
        <f>IFERROR(__xludf.DUMMYFUNCTION("""COMPUTED_VALUE"""),"1022")</f>
        <v>1022</v>
      </c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</row>
    <row r="739">
      <c r="A739" s="4" t="str">
        <f>IFERROR(__xludf.DUMMYFUNCTION("""COMPUTED_VALUE"""),"RESISTOR:   SMD 0201 10.2kΩ ±1% 0.050W (OEPS J05 023)   [ERJ-1GNF1022C] [SMD]")</f>
        <v>RESISTOR:   SMD 0201 10.2kΩ ±1% 0.050W (OEPS J05 023)   [ERJ-1GNF1022C] [SMD]</v>
      </c>
      <c r="B739" s="4" t="str">
        <f>IFERROR(__xludf.DUMMYFUNCTION("""COMPUTED_VALUE"""),"OEPS020073")</f>
        <v>OEPS020073</v>
      </c>
      <c r="C739" s="4" t="str">
        <f>IFERROR(__xludf.DUMMYFUNCTION("""COMPUTED_VALUE"""),"SMD")</f>
        <v>SMD</v>
      </c>
      <c r="D739" s="4" t="str">
        <f>IFERROR(__xludf.DUMMYFUNCTION("""COMPUTED_VALUE"""),"ERJ-1GNF1022C")</f>
        <v>ERJ-1GNF1022C</v>
      </c>
      <c r="E739" s="4">
        <f>IFERROR(__xludf.DUMMYFUNCTION("""COMPUTED_VALUE"""),30.0)</f>
        <v>30</v>
      </c>
      <c r="F739" s="4" t="str">
        <f>IFERROR(__xludf.DUMMYFUNCTION("""COMPUTED_VALUE"""),"DigiKey")</f>
        <v>DigiKey</v>
      </c>
      <c r="G739" s="4" t="str">
        <f>IFERROR(__xludf.DUMMYFUNCTION("""COMPUTED_VALUE"""),"P122659DKR-ND")</f>
        <v>P122659DKR-ND</v>
      </c>
      <c r="H739" s="4"/>
      <c r="I739" s="4"/>
      <c r="J739" s="4"/>
      <c r="K739" s="4"/>
      <c r="L739" s="4"/>
      <c r="M739" s="4"/>
      <c r="N739" s="9" t="str">
        <f>IFERROR(__xludf.DUMMYFUNCTION("""COMPUTED_VALUE"""),"OEPS060006")</f>
        <v>OEPS060006</v>
      </c>
      <c r="O739" s="4" t="str">
        <f>IFERROR(__xludf.DUMMYFUNCTION("""COMPUTED_VALUE"""),"BC850C,215")</f>
        <v>BC850C,215</v>
      </c>
      <c r="P739" s="4" t="str">
        <f>IFERROR(__xludf.DUMMYFUNCTION("""COMPUTED_VALUE"""),"5(Tp) 94(Tp) ")</f>
        <v>5(Tp) 94(Tp) </v>
      </c>
      <c r="Q739" s="4">
        <f>IFERROR(__xludf.DUMMYFUNCTION("""COMPUTED_VALUE"""),99.0)</f>
        <v>99</v>
      </c>
      <c r="R739" s="4">
        <f>IFERROR(__xludf.DUMMYFUNCTION("""COMPUTED_VALUE"""),5.0)</f>
        <v>5</v>
      </c>
      <c r="S739" s="4" t="str">
        <f>IFERROR(__xludf.DUMMYFUNCTION("""COMPUTED_VALUE"""),"Tape")</f>
        <v>Tape</v>
      </c>
      <c r="T739" s="4" t="str">
        <f>IFERROR(__xludf.DUMMYFUNCTION("""COMPUTED_VALUE"""),"XXXX")</f>
        <v>XXXX</v>
      </c>
      <c r="U739" s="4"/>
      <c r="V739" s="4"/>
      <c r="W739" s="4"/>
      <c r="X739" s="4">
        <f>IFERROR(__xludf.DUMMYFUNCTION("""COMPUTED_VALUE"""),94.0)</f>
        <v>94</v>
      </c>
      <c r="Y739" s="4" t="str">
        <f>IFERROR(__xludf.DUMMYFUNCTION("""COMPUTED_VALUE"""),"Tape")</f>
        <v>Tape</v>
      </c>
      <c r="Z739" s="4" t="str">
        <f>IFERROR(__xludf.DUMMYFUNCTION("""COMPUTED_VALUE"""),"0221")</f>
        <v>0221</v>
      </c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</row>
    <row r="740">
      <c r="A740" s="4" t="str">
        <f>IFERROR(__xludf.DUMMYFUNCTION("""COMPUTED_VALUE"""),"RESISTOR:   SMD 0201 100kΩ ±1% 0.050W (OEPS J05 022)   [ERJ-1GNF1003C] [SMD]")</f>
        <v>RESISTOR:   SMD 0201 100kΩ ±1% 0.050W (OEPS J05 022)   [ERJ-1GNF1003C] [SMD]</v>
      </c>
      <c r="B740" s="4" t="str">
        <f>IFERROR(__xludf.DUMMYFUNCTION("""COMPUTED_VALUE"""),"OEPS020072")</f>
        <v>OEPS020072</v>
      </c>
      <c r="C740" s="4" t="str">
        <f>IFERROR(__xludf.DUMMYFUNCTION("""COMPUTED_VALUE"""),"SMD")</f>
        <v>SMD</v>
      </c>
      <c r="D740" s="4" t="str">
        <f>IFERROR(__xludf.DUMMYFUNCTION("""COMPUTED_VALUE"""),"ERJ-1GNF1003C")</f>
        <v>ERJ-1GNF1003C</v>
      </c>
      <c r="E740" s="4">
        <f>IFERROR(__xludf.DUMMYFUNCTION("""COMPUTED_VALUE"""),30.0)</f>
        <v>30</v>
      </c>
      <c r="F740" s="4" t="str">
        <f>IFERROR(__xludf.DUMMYFUNCTION("""COMPUTED_VALUE"""),"DigiKey")</f>
        <v>DigiKey</v>
      </c>
      <c r="G740" s="4" t="str">
        <f>IFERROR(__xludf.DUMMYFUNCTION("""COMPUTED_VALUE"""),"P122655DKR-ND")</f>
        <v>P122655DKR-ND</v>
      </c>
      <c r="H740" s="4"/>
      <c r="I740" s="4"/>
      <c r="J740" s="4"/>
      <c r="K740" s="4"/>
      <c r="L740" s="4"/>
      <c r="M740" s="4"/>
      <c r="N740" s="9" t="str">
        <f>IFERROR(__xludf.DUMMYFUNCTION("""COMPUTED_VALUE"""),"OEPS060007")</f>
        <v>OEPS060007</v>
      </c>
      <c r="O740" s="4" t="str">
        <f>IFERROR(__xludf.DUMMYFUNCTION("""COMPUTED_VALUE"""),"BC817-40W,135")</f>
        <v>BC817-40W,135</v>
      </c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</row>
    <row r="741">
      <c r="A741" s="4" t="str">
        <f>IFERROR(__xludf.DUMMYFUNCTION("""COMPUTED_VALUE"""),"RESISTOR:   SMD 0201 100Ω ±1% 0.050W (OEPS M01 018A)   [CRCW0201100RFKED] [SMD]")</f>
        <v>RESISTOR:   SMD 0201 100Ω ±1% 0.050W (OEPS M01 018A)   [CRCW0201100RFKED] [SMD]</v>
      </c>
      <c r="B741" s="4" t="str">
        <f>IFERROR(__xludf.DUMMYFUNCTION("""COMPUTED_VALUE"""),"OEPS020120")</f>
        <v>OEPS020120</v>
      </c>
      <c r="C741" s="4" t="str">
        <f>IFERROR(__xludf.DUMMYFUNCTION("""COMPUTED_VALUE"""),"SMD")</f>
        <v>SMD</v>
      </c>
      <c r="D741" s="4" t="str">
        <f>IFERROR(__xludf.DUMMYFUNCTION("""COMPUTED_VALUE"""),"CRCW0201100RFKED")</f>
        <v>CRCW0201100RFKED</v>
      </c>
      <c r="E741" s="4">
        <f>IFERROR(__xludf.DUMMYFUNCTION("""COMPUTED_VALUE"""),30.0)</f>
        <v>30</v>
      </c>
      <c r="F741" s="4" t="str">
        <f>IFERROR(__xludf.DUMMYFUNCTION("""COMPUTED_VALUE"""),"Digikey")</f>
        <v>Digikey</v>
      </c>
      <c r="G741" s="4" t="str">
        <f>IFERROR(__xludf.DUMMYFUNCTION("""COMPUTED_VALUE"""),"541-100AABDKR-ND")</f>
        <v>541-100AABDKR-ND</v>
      </c>
      <c r="H741" s="4"/>
      <c r="I741" s="4"/>
      <c r="J741" s="4"/>
      <c r="K741" s="4"/>
      <c r="L741" s="4"/>
      <c r="M741" s="4"/>
      <c r="N741" s="9" t="str">
        <f>IFERROR(__xludf.DUMMYFUNCTION("""COMPUTED_VALUE"""),"OEPS060008")</f>
        <v>OEPS060008</v>
      </c>
      <c r="O741" s="4" t="str">
        <f>IFERROR(__xludf.DUMMYFUNCTION("""COMPUTED_VALUE"""),"SBC817-40LT1G")</f>
        <v>SBC817-40LT1G</v>
      </c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</row>
    <row r="742">
      <c r="A742" s="4" t="str">
        <f>IFERROR(__xludf.DUMMYFUNCTION("""COMPUTED_VALUE"""),"RESISTOR:   SMD 0201 10kΩ ±1% 0.050W (OEPS J05 021)   [ERJ-1GNF1002C] [SMD]")</f>
        <v>RESISTOR:   SMD 0201 10kΩ ±1% 0.050W (OEPS J05 021)   [ERJ-1GNF1002C] [SMD]</v>
      </c>
      <c r="B742" s="4" t="str">
        <f>IFERROR(__xludf.DUMMYFUNCTION("""COMPUTED_VALUE"""),"OEPS020071")</f>
        <v>OEPS020071</v>
      </c>
      <c r="C742" s="4" t="str">
        <f>IFERROR(__xludf.DUMMYFUNCTION("""COMPUTED_VALUE"""),"SMD")</f>
        <v>SMD</v>
      </c>
      <c r="D742" s="4" t="str">
        <f>IFERROR(__xludf.DUMMYFUNCTION("""COMPUTED_VALUE"""),"ERJ-1GNF1002C")</f>
        <v>ERJ-1GNF1002C</v>
      </c>
      <c r="E742" s="4">
        <f>IFERROR(__xludf.DUMMYFUNCTION("""COMPUTED_VALUE"""),30.0)</f>
        <v>30</v>
      </c>
      <c r="F742" s="4" t="str">
        <f>IFERROR(__xludf.DUMMYFUNCTION("""COMPUTED_VALUE"""),"DigiKey")</f>
        <v>DigiKey</v>
      </c>
      <c r="G742" s="4" t="str">
        <f>IFERROR(__xludf.DUMMYFUNCTION("""COMPUTED_VALUE"""),"P122414DKR-ND")</f>
        <v>P122414DKR-ND</v>
      </c>
      <c r="H742" s="4"/>
      <c r="I742" s="4"/>
      <c r="J742" s="4"/>
      <c r="K742" s="4"/>
      <c r="L742" s="4"/>
      <c r="M742" s="4"/>
      <c r="N742" s="9" t="str">
        <f>IFERROR(__xludf.DUMMYFUNCTION("""COMPUTED_VALUE"""),"OEPS060009")</f>
        <v>OEPS060009</v>
      </c>
      <c r="O742" s="4" t="str">
        <f>IFERROR(__xludf.DUMMYFUNCTION("""COMPUTED_VALUE"""),"RTU002P02T106")</f>
        <v>RTU002P02T106</v>
      </c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</row>
    <row r="743">
      <c r="A743" s="4" t="str">
        <f>IFERROR(__xludf.DUMMYFUNCTION("""COMPUTED_VALUE"""),"RESISTOR:   SMD 0201 10kΩ ±1% 0.050W (OEPS Q20 007)   [CRCW020110K0FNED] [SMD]")</f>
        <v>RESISTOR:   SMD 0201 10kΩ ±1% 0.050W (OEPS Q20 007)   [CRCW020110K0FNED] [SMD]</v>
      </c>
      <c r="B743" s="4" t="str">
        <f>IFERROR(__xludf.DUMMYFUNCTION("""COMPUTED_VALUE"""),"OEPS020066")</f>
        <v>OEPS020066</v>
      </c>
      <c r="C743" s="4" t="str">
        <f>IFERROR(__xludf.DUMMYFUNCTION("""COMPUTED_VALUE"""),"SMD")</f>
        <v>SMD</v>
      </c>
      <c r="D743" s="4" t="str">
        <f>IFERROR(__xludf.DUMMYFUNCTION("""COMPUTED_VALUE"""),"CRCW020110K0FNED")</f>
        <v>CRCW020110K0FNED</v>
      </c>
      <c r="E743" s="4">
        <f>IFERROR(__xludf.DUMMYFUNCTION("""COMPUTED_VALUE"""),30.0)</f>
        <v>30</v>
      </c>
      <c r="F743" s="4" t="str">
        <f>IFERROR(__xludf.DUMMYFUNCTION("""COMPUTED_VALUE"""),"DigiKey")</f>
        <v>DigiKey</v>
      </c>
      <c r="G743" s="4" t="str">
        <f>IFERROR(__xludf.DUMMYFUNCTION("""COMPUTED_VALUE"""),"541-10.0KABDKR-ND")</f>
        <v>541-10.0KABDKR-ND</v>
      </c>
      <c r="H743" s="4"/>
      <c r="I743" s="4"/>
      <c r="J743" s="4"/>
      <c r="K743" s="4"/>
      <c r="L743" s="4"/>
      <c r="M743" s="4"/>
      <c r="N743" s="9" t="str">
        <f>IFERROR(__xludf.DUMMYFUNCTION("""COMPUTED_VALUE"""),"OEPS060010")</f>
        <v>OEPS060010</v>
      </c>
      <c r="O743" s="4" t="str">
        <f>IFERROR(__xludf.DUMMYFUNCTION("""COMPUTED_VALUE"""),"DMG1012UW-7")</f>
        <v>DMG1012UW-7</v>
      </c>
      <c r="P743" s="4" t="str">
        <f>IFERROR(__xludf.DUMMYFUNCTION("""COMPUTED_VALUE"""),"6(Tp) 5(Tp) ")</f>
        <v>6(Tp) 5(Tp) </v>
      </c>
      <c r="Q743" s="4">
        <f>IFERROR(__xludf.DUMMYFUNCTION("""COMPUTED_VALUE"""),11.0)</f>
        <v>11</v>
      </c>
      <c r="R743" s="4">
        <f>IFERROR(__xludf.DUMMYFUNCTION("""COMPUTED_VALUE"""),6.0)</f>
        <v>6</v>
      </c>
      <c r="S743" s="4" t="str">
        <f>IFERROR(__xludf.DUMMYFUNCTION("""COMPUTED_VALUE"""),"Tape")</f>
        <v>Tape</v>
      </c>
      <c r="T743" s="4" t="str">
        <f>IFERROR(__xludf.DUMMYFUNCTION("""COMPUTED_VALUE"""),"0221")</f>
        <v>0221</v>
      </c>
      <c r="U743" s="4"/>
      <c r="V743" s="4"/>
      <c r="W743" s="4"/>
      <c r="X743" s="4">
        <f>IFERROR(__xludf.DUMMYFUNCTION("""COMPUTED_VALUE"""),5.0)</f>
        <v>5</v>
      </c>
      <c r="Y743" s="4" t="str">
        <f>IFERROR(__xludf.DUMMYFUNCTION("""COMPUTED_VALUE"""),"Tape")</f>
        <v>Tape</v>
      </c>
      <c r="Z743" s="4" t="str">
        <f>IFERROR(__xludf.DUMMYFUNCTION("""COMPUTED_VALUE"""),"1123")</f>
        <v>1123</v>
      </c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</row>
    <row r="744">
      <c r="A744" s="4" t="str">
        <f>IFERROR(__xludf.DUMMYFUNCTION("""COMPUTED_VALUE"""),"RESISTOR:   SMD 0201 10Ω ±1% 0.050W   [RC0201FR-0710RL] [SMD]")</f>
        <v>RESISTOR:   SMD 0201 10Ω ±1% 0.050W   [RC0201FR-0710RL] [SMD]</v>
      </c>
      <c r="B744" s="4" t="str">
        <f>IFERROR(__xludf.DUMMYFUNCTION("""COMPUTED_VALUE"""),"OEPS020084")</f>
        <v>OEPS020084</v>
      </c>
      <c r="C744" s="4" t="str">
        <f>IFERROR(__xludf.DUMMYFUNCTION("""COMPUTED_VALUE"""),"SMD")</f>
        <v>SMD</v>
      </c>
      <c r="D744" s="4" t="str">
        <f>IFERROR(__xludf.DUMMYFUNCTION("""COMPUTED_VALUE"""),"RC0201FR-0710RL")</f>
        <v>RC0201FR-0710RL</v>
      </c>
      <c r="E744" s="4">
        <f>IFERROR(__xludf.DUMMYFUNCTION("""COMPUTED_VALUE"""),30.0)</f>
        <v>30</v>
      </c>
      <c r="F744" s="4" t="str">
        <f>IFERROR(__xludf.DUMMYFUNCTION("""COMPUTED_VALUE"""),"DigiKey")</f>
        <v>DigiKey</v>
      </c>
      <c r="G744" s="4" t="str">
        <f>IFERROR(__xludf.DUMMYFUNCTION("""COMPUTED_VALUE"""),"311-10.0MDKR-ND")</f>
        <v>311-10.0MDKR-ND</v>
      </c>
      <c r="H744" s="4"/>
      <c r="I744" s="4"/>
      <c r="J744" s="4"/>
      <c r="K744" s="4"/>
      <c r="L744" s="4"/>
      <c r="M744" s="4"/>
      <c r="N744" s="9" t="str">
        <f>IFERROR(__xludf.DUMMYFUNCTION("""COMPUTED_VALUE"""),"OEPS060011")</f>
        <v>OEPS060011</v>
      </c>
      <c r="O744" s="4" t="str">
        <f>IFERROR(__xludf.DUMMYFUNCTION("""COMPUTED_VALUE"""),"DMP2035U-7")</f>
        <v>DMP2035U-7</v>
      </c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</row>
    <row r="745">
      <c r="A745" s="4" t="str">
        <f>IFERROR(__xludf.DUMMYFUNCTION("""COMPUTED_VALUE"""),"RESISTOR:   SMD 0201 124kΩ ±1% 0.050W   [RC0201FR-07124KL] [SMD]")</f>
        <v>RESISTOR:   SMD 0201 124kΩ ±1% 0.050W   [RC0201FR-07124KL] [SMD]</v>
      </c>
      <c r="B745" s="4" t="str">
        <f>IFERROR(__xludf.DUMMYFUNCTION("""COMPUTED_VALUE"""),"OEPS020094")</f>
        <v>OEPS020094</v>
      </c>
      <c r="C745" s="4" t="str">
        <f>IFERROR(__xludf.DUMMYFUNCTION("""COMPUTED_VALUE"""),"SMD")</f>
        <v>SMD</v>
      </c>
      <c r="D745" s="4" t="str">
        <f>IFERROR(__xludf.DUMMYFUNCTION("""COMPUTED_VALUE"""),"RC0201FR-07124KL")</f>
        <v>RC0201FR-07124KL</v>
      </c>
      <c r="E745" s="4">
        <f>IFERROR(__xludf.DUMMYFUNCTION("""COMPUTED_VALUE"""),30.0)</f>
        <v>30</v>
      </c>
      <c r="F745" s="4" t="str">
        <f>IFERROR(__xludf.DUMMYFUNCTION("""COMPUTED_VALUE"""),"DigiKey")</f>
        <v>DigiKey</v>
      </c>
      <c r="G745" s="4" t="str">
        <f>IFERROR(__xludf.DUMMYFUNCTION("""COMPUTED_VALUE"""),"311-124KMDKR-ND")</f>
        <v>311-124KMDKR-ND</v>
      </c>
      <c r="H745" s="4"/>
      <c r="I745" s="4"/>
      <c r="J745" s="4"/>
      <c r="K745" s="4"/>
      <c r="L745" s="4"/>
      <c r="M745" s="4"/>
      <c r="N745" s="9" t="str">
        <f>IFERROR(__xludf.DUMMYFUNCTION("""COMPUTED_VALUE"""),"OEPS060012")</f>
        <v>OEPS060012</v>
      </c>
      <c r="O745" s="4" t="str">
        <f>IFERROR(__xludf.DUMMYFUNCTION("""COMPUTED_VALUE"""),"PMF170XP,115")</f>
        <v>PMF170XP,115</v>
      </c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</row>
    <row r="746">
      <c r="A746" s="4" t="str">
        <f>IFERROR(__xludf.DUMMYFUNCTION("""COMPUTED_VALUE"""),"RESISTOR:   SMD 0201 1kΩ ±0.1% 0.050W   [ERA-1AEB102C] [SMD]")</f>
        <v>RESISTOR:   SMD 0201 1kΩ ±0.1% 0.050W   [ERA-1AEB102C] [SMD]</v>
      </c>
      <c r="B746" s="4" t="str">
        <f>IFERROR(__xludf.DUMMYFUNCTION("""COMPUTED_VALUE"""),"OEPS020189")</f>
        <v>OEPS020189</v>
      </c>
      <c r="C746" s="4" t="str">
        <f>IFERROR(__xludf.DUMMYFUNCTION("""COMPUTED_VALUE"""),"SMD")</f>
        <v>SMD</v>
      </c>
      <c r="D746" s="4" t="str">
        <f>IFERROR(__xludf.DUMMYFUNCTION("""COMPUTED_VALUE"""),"ERA-1AEB102C")</f>
        <v>ERA-1AEB102C</v>
      </c>
      <c r="E746" s="4">
        <f>IFERROR(__xludf.DUMMYFUNCTION("""COMPUTED_VALUE"""),30.0)</f>
        <v>30</v>
      </c>
      <c r="F746" s="4" t="str">
        <f>IFERROR(__xludf.DUMMYFUNCTION("""COMPUTED_VALUE"""),"DigiKey")</f>
        <v>DigiKey</v>
      </c>
      <c r="G746" s="4" t="str">
        <f>IFERROR(__xludf.DUMMYFUNCTION("""COMPUTED_VALUE"""),"P1.0KBXDKR-ND")</f>
        <v>P1.0KBXDKR-ND</v>
      </c>
      <c r="H746" s="4"/>
      <c r="I746" s="4"/>
      <c r="J746" s="4"/>
      <c r="K746" s="4"/>
      <c r="L746" s="4"/>
      <c r="M746" s="4"/>
      <c r="N746" s="9" t="str">
        <f>IFERROR(__xludf.DUMMYFUNCTION("""COMPUTED_VALUE"""),"OEPS060013")</f>
        <v>OEPS060013</v>
      </c>
      <c r="O746" s="4" t="str">
        <f>IFERROR(__xludf.DUMMYFUNCTION("""COMPUTED_VALUE"""),"DMN63D8L-7")</f>
        <v>DMN63D8L-7</v>
      </c>
      <c r="P746" s="4" t="str">
        <f>IFERROR(__xludf.DUMMYFUNCTION("""COMPUTED_VALUE"""),"105(Tp) 1(Tp) ")</f>
        <v>105(Tp) 1(Tp) </v>
      </c>
      <c r="Q746" s="4">
        <f>IFERROR(__xludf.DUMMYFUNCTION("""COMPUTED_VALUE"""),106.0)</f>
        <v>106</v>
      </c>
      <c r="R746" s="4"/>
      <c r="S746" s="4"/>
      <c r="T746" s="4"/>
      <c r="U746" s="4">
        <f>IFERROR(__xludf.DUMMYFUNCTION("""COMPUTED_VALUE"""),105.0)</f>
        <v>105</v>
      </c>
      <c r="V746" s="4" t="str">
        <f>IFERROR(__xludf.DUMMYFUNCTION("""COMPUTED_VALUE"""),"Tape")</f>
        <v>Tape</v>
      </c>
      <c r="W746" s="4" t="str">
        <f>IFERROR(__xludf.DUMMYFUNCTION("""COMPUTED_VALUE"""),"0325")</f>
        <v>0325</v>
      </c>
      <c r="X746" s="4">
        <f>IFERROR(__xludf.DUMMYFUNCTION("""COMPUTED_VALUE"""),1.0)</f>
        <v>1</v>
      </c>
      <c r="Y746" s="4" t="str">
        <f>IFERROR(__xludf.DUMMYFUNCTION("""COMPUTED_VALUE"""),"Tape")</f>
        <v>Tape</v>
      </c>
      <c r="Z746" s="4" t="str">
        <f>IFERROR(__xludf.DUMMYFUNCTION("""COMPUTED_VALUE"""),"0325")</f>
        <v>0325</v>
      </c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</row>
    <row r="747">
      <c r="A747" s="4" t="str">
        <f>IFERROR(__xludf.DUMMYFUNCTION("""COMPUTED_VALUE"""),"RESISTOR:   SMD 0201 1kΩ ±1% 0.050W (OEPS J05 020)   [ERJ-1GNF1001C] [SMD]")</f>
        <v>RESISTOR:   SMD 0201 1kΩ ±1% 0.050W (OEPS J05 020)   [ERJ-1GNF1001C] [SMD]</v>
      </c>
      <c r="B747" s="4" t="str">
        <f>IFERROR(__xludf.DUMMYFUNCTION("""COMPUTED_VALUE"""),"OEPS020070")</f>
        <v>OEPS020070</v>
      </c>
      <c r="C747" s="4" t="str">
        <f>IFERROR(__xludf.DUMMYFUNCTION("""COMPUTED_VALUE"""),"SMD")</f>
        <v>SMD</v>
      </c>
      <c r="D747" s="4" t="str">
        <f>IFERROR(__xludf.DUMMYFUNCTION("""COMPUTED_VALUE"""),"ERJ-1GNF1001C")</f>
        <v>ERJ-1GNF1001C</v>
      </c>
      <c r="E747" s="4">
        <f>IFERROR(__xludf.DUMMYFUNCTION("""COMPUTED_VALUE"""),30.0)</f>
        <v>30</v>
      </c>
      <c r="F747" s="4" t="str">
        <f>IFERROR(__xludf.DUMMYFUNCTION("""COMPUTED_VALUE"""),"DigiKey")</f>
        <v>DigiKey</v>
      </c>
      <c r="G747" s="4" t="str">
        <f>IFERROR(__xludf.DUMMYFUNCTION("""COMPUTED_VALUE"""),"P122413DKR-ND")</f>
        <v>P122413DKR-ND</v>
      </c>
      <c r="H747" s="4"/>
      <c r="I747" s="4"/>
      <c r="J747" s="4"/>
      <c r="K747" s="4"/>
      <c r="L747" s="4"/>
      <c r="M747" s="4"/>
      <c r="N747" s="9" t="str">
        <f>IFERROR(__xludf.DUMMYFUNCTION("""COMPUTED_VALUE"""),"OEPS060014")</f>
        <v>OEPS060014</v>
      </c>
      <c r="O747" s="4" t="str">
        <f>IFERROR(__xludf.DUMMYFUNCTION("""COMPUTED_VALUE"""),"MMBT3904LP-7B")</f>
        <v>MMBT3904LP-7B</v>
      </c>
      <c r="P747" s="4" t="str">
        <f>IFERROR(__xludf.DUMMYFUNCTION("""COMPUTED_VALUE"""),"8(Tp) ")</f>
        <v>8(Tp) </v>
      </c>
      <c r="Q747" s="4">
        <f>IFERROR(__xludf.DUMMYFUNCTION("""COMPUTED_VALUE"""),8.0)</f>
        <v>8</v>
      </c>
      <c r="R747" s="4">
        <f>IFERROR(__xludf.DUMMYFUNCTION("""COMPUTED_VALUE"""),8.0)</f>
        <v>8</v>
      </c>
      <c r="S747" s="4" t="str">
        <f>IFERROR(__xludf.DUMMYFUNCTION("""COMPUTED_VALUE"""),"Tape")</f>
        <v>Tape</v>
      </c>
      <c r="T747" s="4" t="str">
        <f>IFERROR(__xludf.DUMMYFUNCTION("""COMPUTED_VALUE"""),"0324")</f>
        <v>0324</v>
      </c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</row>
    <row r="748">
      <c r="A748" s="4" t="str">
        <f>IFERROR(__xludf.DUMMYFUNCTION("""COMPUTED_VALUE"""),"RESISTOR:   SMD 0201 1kΩ ±1% 0.050W (OEPS Q20 008)   [RC0201FR-071KL] [SMD]")</f>
        <v>RESISTOR:   SMD 0201 1kΩ ±1% 0.050W (OEPS Q20 008)   [RC0201FR-071KL] [SMD]</v>
      </c>
      <c r="B748" s="4" t="str">
        <f>IFERROR(__xludf.DUMMYFUNCTION("""COMPUTED_VALUE"""),"OEPS020065")</f>
        <v>OEPS020065</v>
      </c>
      <c r="C748" s="4" t="str">
        <f>IFERROR(__xludf.DUMMYFUNCTION("""COMPUTED_VALUE"""),"SMD")</f>
        <v>SMD</v>
      </c>
      <c r="D748" s="4" t="str">
        <f>IFERROR(__xludf.DUMMYFUNCTION("""COMPUTED_VALUE"""),"RC0201FR-071KL")</f>
        <v>RC0201FR-071KL</v>
      </c>
      <c r="E748" s="4">
        <f>IFERROR(__xludf.DUMMYFUNCTION("""COMPUTED_VALUE"""),30.0)</f>
        <v>30</v>
      </c>
      <c r="F748" s="4" t="str">
        <f>IFERROR(__xludf.DUMMYFUNCTION("""COMPUTED_VALUE"""),"DigiKey")</f>
        <v>DigiKey</v>
      </c>
      <c r="G748" s="4" t="str">
        <f>IFERROR(__xludf.DUMMYFUNCTION("""COMPUTED_VALUE"""),"311-1KMDKR-ND")</f>
        <v>311-1KMDKR-ND</v>
      </c>
      <c r="H748" s="4"/>
      <c r="I748" s="4"/>
      <c r="J748" s="4"/>
      <c r="K748" s="4"/>
      <c r="L748" s="4"/>
      <c r="M748" s="4"/>
      <c r="N748" s="9" t="str">
        <f>IFERROR(__xludf.DUMMYFUNCTION("""COMPUTED_VALUE"""),"OEPS060018")</f>
        <v>OEPS060018</v>
      </c>
      <c r="O748" s="4" t="str">
        <f>IFERROR(__xludf.DUMMYFUNCTION("""COMPUTED_VALUE"""),"DMG2302UK-7")</f>
        <v>DMG2302UK-7</v>
      </c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</row>
    <row r="749">
      <c r="A749" s="4" t="str">
        <f>IFERROR(__xludf.DUMMYFUNCTION("""COMPUTED_VALUE"""),"RESISTOR:   SMD 0201 1MΩ ±1% 0.050W   [CRCW02011M00FNED] [SMD]")</f>
        <v>RESISTOR:   SMD 0201 1MΩ ±1% 0.050W   [CRCW02011M00FNED] [SMD]</v>
      </c>
      <c r="B749" s="4" t="str">
        <f>IFERROR(__xludf.DUMMYFUNCTION("""COMPUTED_VALUE"""),"OEPS020108")</f>
        <v>OEPS020108</v>
      </c>
      <c r="C749" s="4" t="str">
        <f>IFERROR(__xludf.DUMMYFUNCTION("""COMPUTED_VALUE"""),"SMD")</f>
        <v>SMD</v>
      </c>
      <c r="D749" s="4" t="str">
        <f>IFERROR(__xludf.DUMMYFUNCTION("""COMPUTED_VALUE"""),"CRCW02011M00FNED")</f>
        <v>CRCW02011M00FNED</v>
      </c>
      <c r="E749" s="4">
        <f>IFERROR(__xludf.DUMMYFUNCTION("""COMPUTED_VALUE"""),30.0)</f>
        <v>30</v>
      </c>
      <c r="F749" s="4" t="str">
        <f>IFERROR(__xludf.DUMMYFUNCTION("""COMPUTED_VALUE"""),"DigiKey")</f>
        <v>DigiKey</v>
      </c>
      <c r="G749" s="4" t="str">
        <f>IFERROR(__xludf.DUMMYFUNCTION("""COMPUTED_VALUE"""),"541-1.00MABDKR-ND")</f>
        <v>541-1.00MABDKR-ND</v>
      </c>
      <c r="H749" s="4"/>
      <c r="I749" s="4"/>
      <c r="J749" s="4"/>
      <c r="K749" s="4"/>
      <c r="L749" s="4"/>
      <c r="M749" s="4"/>
      <c r="N749" s="9" t="str">
        <f>IFERROR(__xludf.DUMMYFUNCTION("""COMPUTED_VALUE"""),"OEPS060019")</f>
        <v>OEPS060019</v>
      </c>
      <c r="O749" s="4" t="str">
        <f>IFERROR(__xludf.DUMMYFUNCTION("""COMPUTED_VALUE"""),"DMG3418L-7")</f>
        <v>DMG3418L-7</v>
      </c>
      <c r="P749" s="4" t="str">
        <f>IFERROR(__xludf.DUMMYFUNCTION("""COMPUTED_VALUE"""),"7(Tp) ")</f>
        <v>7(Tp) </v>
      </c>
      <c r="Q749" s="4">
        <f>IFERROR(__xludf.DUMMYFUNCTION("""COMPUTED_VALUE"""),7.0)</f>
        <v>7</v>
      </c>
      <c r="R749" s="4">
        <f>IFERROR(__xludf.DUMMYFUNCTION("""COMPUTED_VALUE"""),7.0)</f>
        <v>7</v>
      </c>
      <c r="S749" s="4" t="str">
        <f>IFERROR(__xludf.DUMMYFUNCTION("""COMPUTED_VALUE"""),"Tape")</f>
        <v>Tape</v>
      </c>
      <c r="T749" s="4" t="str">
        <f>IFERROR(__xludf.DUMMYFUNCTION("""COMPUTED_VALUE"""),"0425")</f>
        <v>0425</v>
      </c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</row>
    <row r="750">
      <c r="A750" s="4" t="str">
        <f>IFERROR(__xludf.DUMMYFUNCTION("""COMPUTED_VALUE"""),"RESISTOR:   SMD 0201 2.05MΩ ±1% 0.050W   [CRCW02012M05FNED] [SMD]")</f>
        <v>RESISTOR:   SMD 0201 2.05MΩ ±1% 0.050W   [CRCW02012M05FNED] [SMD]</v>
      </c>
      <c r="B750" s="4" t="str">
        <f>IFERROR(__xludf.DUMMYFUNCTION("""COMPUTED_VALUE"""),"OEPS020107")</f>
        <v>OEPS020107</v>
      </c>
      <c r="C750" s="4" t="str">
        <f>IFERROR(__xludf.DUMMYFUNCTION("""COMPUTED_VALUE"""),"SMD")</f>
        <v>SMD</v>
      </c>
      <c r="D750" s="4" t="str">
        <f>IFERROR(__xludf.DUMMYFUNCTION("""COMPUTED_VALUE"""),"CRCW02012M05FNED")</f>
        <v>CRCW02012M05FNED</v>
      </c>
      <c r="E750" s="4">
        <f>IFERROR(__xludf.DUMMYFUNCTION("""COMPUTED_VALUE"""),30.0)</f>
        <v>30</v>
      </c>
      <c r="F750" s="4" t="str">
        <f>IFERROR(__xludf.DUMMYFUNCTION("""COMPUTED_VALUE"""),"DigiKey")</f>
        <v>DigiKey</v>
      </c>
      <c r="G750" s="4" t="str">
        <f>IFERROR(__xludf.DUMMYFUNCTION("""COMPUTED_VALUE"""),"541-CRCW02012M05FNEDDKR-ND")</f>
        <v>541-CRCW02012M05FNEDDKR-ND</v>
      </c>
      <c r="H750" s="4"/>
      <c r="I750" s="4"/>
      <c r="J750" s="4"/>
      <c r="K750" s="4"/>
      <c r="L750" s="4"/>
      <c r="M750" s="4"/>
      <c r="N750" s="9" t="str">
        <f>IFERROR(__xludf.DUMMYFUNCTION("""COMPUTED_VALUE"""),"OEPS060020")</f>
        <v>OEPS060020</v>
      </c>
      <c r="O750" s="4" t="str">
        <f>IFERROR(__xludf.DUMMYFUNCTION("""COMPUTED_VALUE"""),"DMP3099L-7")</f>
        <v>DMP3099L-7</v>
      </c>
      <c r="P750" s="4" t="str">
        <f>IFERROR(__xludf.DUMMYFUNCTION("""COMPUTED_VALUE"""),"8(Tp) ")</f>
        <v>8(Tp) </v>
      </c>
      <c r="Q750" s="4">
        <f>IFERROR(__xludf.DUMMYFUNCTION("""COMPUTED_VALUE"""),8.0)</f>
        <v>8</v>
      </c>
      <c r="R750" s="4">
        <f>IFERROR(__xludf.DUMMYFUNCTION("""COMPUTED_VALUE"""),8.0)</f>
        <v>8</v>
      </c>
      <c r="S750" s="4" t="str">
        <f>IFERROR(__xludf.DUMMYFUNCTION("""COMPUTED_VALUE"""),"Tape")</f>
        <v>Tape</v>
      </c>
      <c r="T750" s="4" t="str">
        <f>IFERROR(__xludf.DUMMYFUNCTION("""COMPUTED_VALUE"""),"0425")</f>
        <v>0425</v>
      </c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</row>
    <row r="751">
      <c r="A751" s="4" t="str">
        <f>IFERROR(__xludf.DUMMYFUNCTION("""COMPUTED_VALUE"""),"RESISTOR:   SMD 0201 2.2kΩ ±1% 0.050W   [RC0201FR-072K2L] [SMD]")</f>
        <v>RESISTOR:   SMD 0201 2.2kΩ ±1% 0.050W   [RC0201FR-072K2L] [SMD]</v>
      </c>
      <c r="B751" s="4" t="str">
        <f>IFERROR(__xludf.DUMMYFUNCTION("""COMPUTED_VALUE"""),"OEPS020110")</f>
        <v>OEPS020110</v>
      </c>
      <c r="C751" s="4" t="str">
        <f>IFERROR(__xludf.DUMMYFUNCTION("""COMPUTED_VALUE"""),"SMD")</f>
        <v>SMD</v>
      </c>
      <c r="D751" s="4" t="str">
        <f>IFERROR(__xludf.DUMMYFUNCTION("""COMPUTED_VALUE"""),"RC0201FR-072K2L")</f>
        <v>RC0201FR-072K2L</v>
      </c>
      <c r="E751" s="4">
        <f>IFERROR(__xludf.DUMMYFUNCTION("""COMPUTED_VALUE"""),30.0)</f>
        <v>30</v>
      </c>
      <c r="F751" s="4" t="str">
        <f>IFERROR(__xludf.DUMMYFUNCTION("""COMPUTED_VALUE"""),"DigiKey")</f>
        <v>DigiKey</v>
      </c>
      <c r="G751" s="4" t="str">
        <f>IFERROR(__xludf.DUMMYFUNCTION("""COMPUTED_VALUE"""),"YAG2572DKR-ND")</f>
        <v>YAG2572DKR-ND</v>
      </c>
      <c r="H751" s="4"/>
      <c r="I751" s="4"/>
      <c r="J751" s="4"/>
      <c r="K751" s="4"/>
      <c r="L751" s="4"/>
      <c r="M751" s="4"/>
      <c r="N751" s="9" t="str">
        <f>IFERROR(__xludf.DUMMYFUNCTION("""COMPUTED_VALUE"""),"OEPS060021")</f>
        <v>OEPS060021</v>
      </c>
      <c r="O751" s="4" t="str">
        <f>IFERROR(__xludf.DUMMYFUNCTION("""COMPUTED_VALUE"""),"AO3401A")</f>
        <v>AO3401A</v>
      </c>
      <c r="P751" s="4" t="str">
        <f>IFERROR(__xludf.DUMMYFUNCTION("""COMPUTED_VALUE"""),"9(Tp) ")</f>
        <v>9(Tp) </v>
      </c>
      <c r="Q751" s="4">
        <f>IFERROR(__xludf.DUMMYFUNCTION("""COMPUTED_VALUE"""),9.0)</f>
        <v>9</v>
      </c>
      <c r="R751" s="4">
        <f>IFERROR(__xludf.DUMMYFUNCTION("""COMPUTED_VALUE"""),9.0)</f>
        <v>9</v>
      </c>
      <c r="S751" s="4" t="str">
        <f>IFERROR(__xludf.DUMMYFUNCTION("""COMPUTED_VALUE"""),"Tape")</f>
        <v>Tape</v>
      </c>
      <c r="T751" s="4" t="str">
        <f>IFERROR(__xludf.DUMMYFUNCTION("""COMPUTED_VALUE"""),"0725")</f>
        <v>0725</v>
      </c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</row>
    <row r="752">
      <c r="A752" s="4" t="str">
        <f>IFERROR(__xludf.DUMMYFUNCTION("""COMPUTED_VALUE"""),"RESISTOR:   SMD 0201 22Ω ±1% 0.050W (OEPS Q20 012)   [RMCF0201FT22R0CT-ND] [SMD]")</f>
        <v>RESISTOR:   SMD 0201 22Ω ±1% 0.050W (OEPS Q20 012)   [RMCF0201FT22R0CT-ND] [SMD]</v>
      </c>
      <c r="B752" s="4" t="str">
        <f>IFERROR(__xludf.DUMMYFUNCTION("""COMPUTED_VALUE"""),"OEPS020069")</f>
        <v>OEPS020069</v>
      </c>
      <c r="C752" s="4" t="str">
        <f>IFERROR(__xludf.DUMMYFUNCTION("""COMPUTED_VALUE"""),"SMD")</f>
        <v>SMD</v>
      </c>
      <c r="D752" s="4" t="str">
        <f>IFERROR(__xludf.DUMMYFUNCTION("""COMPUTED_VALUE"""),"RMCF0201FT22R0CT-ND")</f>
        <v>RMCF0201FT22R0CT-ND</v>
      </c>
      <c r="E752" s="4">
        <f>IFERROR(__xludf.DUMMYFUNCTION("""COMPUTED_VALUE"""),30.0)</f>
        <v>30</v>
      </c>
      <c r="F752" s="4" t="str">
        <f>IFERROR(__xludf.DUMMYFUNCTION("""COMPUTED_VALUE"""),"DigiKey")</f>
        <v>DigiKey</v>
      </c>
      <c r="G752" s="4" t="str">
        <f>IFERROR(__xludf.DUMMYFUNCTION("""COMPUTED_VALUE"""),"RMCF0201FT22R0DKR-ND")</f>
        <v>RMCF0201FT22R0DKR-ND</v>
      </c>
      <c r="H752" s="4"/>
      <c r="I752" s="4"/>
      <c r="J752" s="4"/>
      <c r="K752" s="4"/>
      <c r="L752" s="4"/>
      <c r="M752" s="4"/>
      <c r="N752" s="9" t="str">
        <f>IFERROR(__xludf.DUMMYFUNCTION("""COMPUTED_VALUE"""),"OEPS070001")</f>
        <v>OEPS070001</v>
      </c>
      <c r="O752" s="4" t="str">
        <f>IFERROR(__xludf.DUMMYFUNCTION("""COMPUTED_VALUE"""),"132291")</f>
        <v>132291</v>
      </c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</row>
    <row r="753">
      <c r="A753" s="4" t="str">
        <f>IFERROR(__xludf.DUMMYFUNCTION("""COMPUTED_VALUE"""),"RESISTOR:   SMD 0201 24.9kΩ ±1% 0.050W   [CRCW020124K9FNED] [SMD]")</f>
        <v>RESISTOR:   SMD 0201 24.9kΩ ±1% 0.050W   [CRCW020124K9FNED] [SMD]</v>
      </c>
      <c r="B753" s="4" t="str">
        <f>IFERROR(__xludf.DUMMYFUNCTION("""COMPUTED_VALUE"""),"OEPS020105")</f>
        <v>OEPS020105</v>
      </c>
      <c r="C753" s="4" t="str">
        <f>IFERROR(__xludf.DUMMYFUNCTION("""COMPUTED_VALUE"""),"SMD")</f>
        <v>SMD</v>
      </c>
      <c r="D753" s="4" t="str">
        <f>IFERROR(__xludf.DUMMYFUNCTION("""COMPUTED_VALUE"""),"CRCW020124K9FNED")</f>
        <v>CRCW020124K9FNED</v>
      </c>
      <c r="E753" s="4">
        <f>IFERROR(__xludf.DUMMYFUNCTION("""COMPUTED_VALUE"""),30.0)</f>
        <v>30</v>
      </c>
      <c r="F753" s="4" t="str">
        <f>IFERROR(__xludf.DUMMYFUNCTION("""COMPUTED_VALUE"""),"DigiKey")</f>
        <v>DigiKey</v>
      </c>
      <c r="G753" s="4" t="str">
        <f>IFERROR(__xludf.DUMMYFUNCTION("""COMPUTED_VALUE"""),"541-CRCW020124K9FNEDDKR-ND")</f>
        <v>541-CRCW020124K9FNEDDKR-ND</v>
      </c>
      <c r="H753" s="4"/>
      <c r="I753" s="4"/>
      <c r="J753" s="4"/>
      <c r="K753" s="4"/>
      <c r="L753" s="4"/>
      <c r="M753" s="4"/>
      <c r="N753" s="9" t="str">
        <f>IFERROR(__xludf.DUMMYFUNCTION("""COMPUTED_VALUE"""),"OEPS070002")</f>
        <v>OEPS070002</v>
      </c>
      <c r="O753" s="4" t="str">
        <f>IFERROR(__xludf.DUMMYFUNCTION("""COMPUTED_VALUE"""),"731010360")</f>
        <v>731010360</v>
      </c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</row>
    <row r="754">
      <c r="A754" s="4" t="str">
        <f>IFERROR(__xludf.DUMMYFUNCTION("""COMPUTED_VALUE"""),"RESISTOR:   SMD 0201 24kΩ ±0.1% 0.075W   [TNPW020124K0BEED] [SMD]")</f>
        <v>RESISTOR:   SMD 0201 24kΩ ±0.1% 0.075W   [TNPW020124K0BEED] [SMD]</v>
      </c>
      <c r="B754" s="4" t="str">
        <f>IFERROR(__xludf.DUMMYFUNCTION("""COMPUTED_VALUE"""),"OEPS020201")</f>
        <v>OEPS020201</v>
      </c>
      <c r="C754" s="4" t="str">
        <f>IFERROR(__xludf.DUMMYFUNCTION("""COMPUTED_VALUE"""),"SMD")</f>
        <v>SMD</v>
      </c>
      <c r="D754" s="4" t="str">
        <f>IFERROR(__xludf.DUMMYFUNCTION("""COMPUTED_VALUE"""),"TNPW020124K0BEED")</f>
        <v>TNPW020124K0BEED</v>
      </c>
      <c r="E754" s="4">
        <f>IFERROR(__xludf.DUMMYFUNCTION("""COMPUTED_VALUE"""),30.0)</f>
        <v>30</v>
      </c>
      <c r="F754" s="4" t="str">
        <f>IFERROR(__xludf.DUMMYFUNCTION("""COMPUTED_VALUE"""),"Digikey")</f>
        <v>Digikey</v>
      </c>
      <c r="G754" s="4" t="str">
        <f>IFERROR(__xludf.DUMMYFUNCTION("""COMPUTED_VALUE"""),"541-TNPW020124K0BEEDDKR-ND")</f>
        <v>541-TNPW020124K0BEEDDKR-ND</v>
      </c>
      <c r="H754" s="4"/>
      <c r="I754" s="4"/>
      <c r="J754" s="4"/>
      <c r="K754" s="4"/>
      <c r="L754" s="4"/>
      <c r="M754" s="4"/>
      <c r="N754" s="9" t="str">
        <f>IFERROR(__xludf.DUMMYFUNCTION("""COMPUTED_VALUE"""),"OEPS070003")</f>
        <v>OEPS070003</v>
      </c>
      <c r="O754" s="4" t="str">
        <f>IFERROR(__xludf.DUMMYFUNCTION("""COMPUTED_VALUE"""),"6-1634010-0")</f>
        <v>6-1634010-0</v>
      </c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</row>
    <row r="755">
      <c r="A755" s="4" t="str">
        <f>IFERROR(__xludf.DUMMYFUNCTION("""COMPUTED_VALUE"""),"RESISTOR:   SMD 0201 2kΩ ±1% 0.050W (OEPS Q20 006, OEPS M01 021)   [RC0201FR-072KL] [SMD]")</f>
        <v>RESISTOR:   SMD 0201 2kΩ ±1% 0.050W (OEPS Q20 006, OEPS M01 021)   [RC0201FR-072KL] [SMD]</v>
      </c>
      <c r="B755" s="4" t="str">
        <f>IFERROR(__xludf.DUMMYFUNCTION("""COMPUTED_VALUE"""),"OEPS020067")</f>
        <v>OEPS020067</v>
      </c>
      <c r="C755" s="4" t="str">
        <f>IFERROR(__xludf.DUMMYFUNCTION("""COMPUTED_VALUE"""),"SMD")</f>
        <v>SMD</v>
      </c>
      <c r="D755" s="4" t="str">
        <f>IFERROR(__xludf.DUMMYFUNCTION("""COMPUTED_VALUE"""),"RC0201FR-072KL")</f>
        <v>RC0201FR-072KL</v>
      </c>
      <c r="E755" s="4">
        <f>IFERROR(__xludf.DUMMYFUNCTION("""COMPUTED_VALUE"""),30.0)</f>
        <v>30</v>
      </c>
      <c r="F755" s="4" t="str">
        <f>IFERROR(__xludf.DUMMYFUNCTION("""COMPUTED_VALUE"""),"DigiKey")</f>
        <v>DigiKey</v>
      </c>
      <c r="G755" s="4" t="str">
        <f>IFERROR(__xludf.DUMMYFUNCTION("""COMPUTED_VALUE"""),"YAG2280DKR-ND")</f>
        <v>YAG2280DKR-ND</v>
      </c>
      <c r="H755" s="4"/>
      <c r="I755" s="4"/>
      <c r="J755" s="4"/>
      <c r="K755" s="4"/>
      <c r="L755" s="4"/>
      <c r="M755" s="4"/>
      <c r="N755" s="9" t="str">
        <f>IFERROR(__xludf.DUMMYFUNCTION("""COMPUTED_VALUE"""),"OEPS070005")</f>
        <v>OEPS070005</v>
      </c>
      <c r="O755" s="4" t="str">
        <f>IFERROR(__xludf.DUMMYFUNCTION("""COMPUTED_VALUE"""),"PH1RB-02-UA")</f>
        <v>PH1RB-02-UA</v>
      </c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</row>
    <row r="756">
      <c r="A756" s="4" t="str">
        <f>IFERROR(__xludf.DUMMYFUNCTION("""COMPUTED_VALUE"""),"RESISTOR:   SMD 0201 37.4kΩ ±1% 0.050W   [ERJ-1GNF3742C] [SMD]")</f>
        <v>RESISTOR:   SMD 0201 37.4kΩ ±1% 0.050W   [ERJ-1GNF3742C] [SMD]</v>
      </c>
      <c r="B756" s="4" t="str">
        <f>IFERROR(__xludf.DUMMYFUNCTION("""COMPUTED_VALUE"""),"OEPS020113")</f>
        <v>OEPS020113</v>
      </c>
      <c r="C756" s="4" t="str">
        <f>IFERROR(__xludf.DUMMYFUNCTION("""COMPUTED_VALUE"""),"SMD")</f>
        <v>SMD</v>
      </c>
      <c r="D756" s="4" t="str">
        <f>IFERROR(__xludf.DUMMYFUNCTION("""COMPUTED_VALUE"""),"ERJ-1GNF3742C")</f>
        <v>ERJ-1GNF3742C</v>
      </c>
      <c r="E756" s="4">
        <f>IFERROR(__xludf.DUMMYFUNCTION("""COMPUTED_VALUE"""),30.0)</f>
        <v>30</v>
      </c>
      <c r="F756" s="4" t="str">
        <f>IFERROR(__xludf.DUMMYFUNCTION("""COMPUTED_VALUE"""),"DigiKey")</f>
        <v>DigiKey</v>
      </c>
      <c r="G756" s="4" t="str">
        <f>IFERROR(__xludf.DUMMYFUNCTION("""COMPUTED_VALUE"""),"P122973DKR-ND")</f>
        <v>P122973DKR-ND</v>
      </c>
      <c r="H756" s="4"/>
      <c r="I756" s="4"/>
      <c r="J756" s="4"/>
      <c r="K756" s="4"/>
      <c r="L756" s="4"/>
      <c r="M756" s="4"/>
      <c r="N756" s="9" t="str">
        <f>IFERROR(__xludf.DUMMYFUNCTION("""COMPUTED_VALUE"""),"OEPS070006")</f>
        <v>OEPS070006</v>
      </c>
      <c r="O756" s="4" t="str">
        <f>IFERROR(__xludf.DUMMYFUNCTION("""COMPUTED_VALUE"""),"PPPC141LFBN-RC")</f>
        <v>PPPC141LFBN-RC</v>
      </c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</row>
    <row r="757">
      <c r="A757" s="4" t="str">
        <f>IFERROR(__xludf.DUMMYFUNCTION("""COMPUTED_VALUE"""),"RESISTOR:   SMD 0201 39.2Ω ±1% 0.050W   [RC0201FR-0739R2L] [SMD]")</f>
        <v>RESISTOR:   SMD 0201 39.2Ω ±1% 0.050W   [RC0201FR-0739R2L] [SMD]</v>
      </c>
      <c r="B757" s="4" t="str">
        <f>IFERROR(__xludf.DUMMYFUNCTION("""COMPUTED_VALUE"""),"OEPS020090")</f>
        <v>OEPS020090</v>
      </c>
      <c r="C757" s="4" t="str">
        <f>IFERROR(__xludf.DUMMYFUNCTION("""COMPUTED_VALUE"""),"SMD")</f>
        <v>SMD</v>
      </c>
      <c r="D757" s="4" t="str">
        <f>IFERROR(__xludf.DUMMYFUNCTION("""COMPUTED_VALUE"""),"RC0201FR-0739R2L")</f>
        <v>RC0201FR-0739R2L</v>
      </c>
      <c r="E757" s="4">
        <f>IFERROR(__xludf.DUMMYFUNCTION("""COMPUTED_VALUE"""),30.0)</f>
        <v>30</v>
      </c>
      <c r="F757" s="4" t="str">
        <f>IFERROR(__xludf.DUMMYFUNCTION("""COMPUTED_VALUE"""),"DigiKey")</f>
        <v>DigiKey</v>
      </c>
      <c r="G757" s="4" t="str">
        <f>IFERROR(__xludf.DUMMYFUNCTION("""COMPUTED_VALUE"""),"YAG2642DKR-ND")</f>
        <v>YAG2642DKR-ND</v>
      </c>
      <c r="H757" s="4"/>
      <c r="I757" s="4"/>
      <c r="J757" s="4"/>
      <c r="K757" s="4"/>
      <c r="L757" s="4"/>
      <c r="M757" s="4"/>
      <c r="N757" s="9" t="str">
        <f>IFERROR(__xludf.DUMMYFUNCTION("""COMPUTED_VALUE"""),"OEPS070007")</f>
        <v>OEPS070007</v>
      </c>
      <c r="O757" s="4" t="str">
        <f>IFERROR(__xludf.DUMMYFUNCTION("""COMPUTED_VALUE"""),"69168-116HLF")</f>
        <v>69168-116HLF</v>
      </c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</row>
    <row r="758">
      <c r="A758" s="4" t="str">
        <f>IFERROR(__xludf.DUMMYFUNCTION("""COMPUTED_VALUE"""),"RESISTOR:   SMD 0201 4.7kΩ ±1% 0.050W   [RC0201FR-074K7L] [SMD]")</f>
        <v>RESISTOR:   SMD 0201 4.7kΩ ±1% 0.050W   [RC0201FR-074K7L] [SMD]</v>
      </c>
      <c r="B758" s="4" t="str">
        <f>IFERROR(__xludf.DUMMYFUNCTION("""COMPUTED_VALUE"""),"OEPS020096")</f>
        <v>OEPS020096</v>
      </c>
      <c r="C758" s="4" t="str">
        <f>IFERROR(__xludf.DUMMYFUNCTION("""COMPUTED_VALUE"""),"SMD")</f>
        <v>SMD</v>
      </c>
      <c r="D758" s="4" t="str">
        <f>IFERROR(__xludf.DUMMYFUNCTION("""COMPUTED_VALUE"""),"RC0201FR-074K7L")</f>
        <v>RC0201FR-074K7L</v>
      </c>
      <c r="E758" s="4">
        <f>IFERROR(__xludf.DUMMYFUNCTION("""COMPUTED_VALUE"""),30.0)</f>
        <v>30</v>
      </c>
      <c r="F758" s="4" t="str">
        <f>IFERROR(__xludf.DUMMYFUNCTION("""COMPUTED_VALUE"""),"DigiKey")</f>
        <v>DigiKey</v>
      </c>
      <c r="G758" s="4" t="str">
        <f>IFERROR(__xludf.DUMMYFUNCTION("""COMPUTED_VALUE"""),"311-4.70KMDKR-ND")</f>
        <v>311-4.70KMDKR-ND</v>
      </c>
      <c r="H758" s="4"/>
      <c r="I758" s="4"/>
      <c r="J758" s="4"/>
      <c r="K758" s="4"/>
      <c r="L758" s="4"/>
      <c r="M758" s="4"/>
      <c r="N758" s="9" t="str">
        <f>IFERROR(__xludf.DUMMYFUNCTION("""COMPUTED_VALUE"""),"OEPS070008")</f>
        <v>OEPS070008</v>
      </c>
      <c r="O758" s="4" t="str">
        <f>IFERROR(__xludf.DUMMYFUNCTION("""COMPUTED_VALUE"""),"69168-124HLF")</f>
        <v>69168-124HLF</v>
      </c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</row>
    <row r="759">
      <c r="A759" s="4" t="str">
        <f>IFERROR(__xludf.DUMMYFUNCTION("""COMPUTED_VALUE"""),"RESISTOR:   SMD 0201 40.2kΩ ±1% 0.050W   [RC0201FR-0740K2L] [SMD]")</f>
        <v>RESISTOR:   SMD 0201 40.2kΩ ±1% 0.050W   [RC0201FR-0740K2L] [SMD]</v>
      </c>
      <c r="B759" s="4" t="str">
        <f>IFERROR(__xludf.DUMMYFUNCTION("""COMPUTED_VALUE"""),"OEPS020092")</f>
        <v>OEPS020092</v>
      </c>
      <c r="C759" s="4" t="str">
        <f>IFERROR(__xludf.DUMMYFUNCTION("""COMPUTED_VALUE"""),"SMD")</f>
        <v>SMD</v>
      </c>
      <c r="D759" s="4" t="str">
        <f>IFERROR(__xludf.DUMMYFUNCTION("""COMPUTED_VALUE"""),"RC0201FR-0740K2L")</f>
        <v>RC0201FR-0740K2L</v>
      </c>
      <c r="E759" s="4">
        <f>IFERROR(__xludf.DUMMYFUNCTION("""COMPUTED_VALUE"""),30.0)</f>
        <v>30</v>
      </c>
      <c r="F759" s="4" t="str">
        <f>IFERROR(__xludf.DUMMYFUNCTION("""COMPUTED_VALUE"""),"DigiKey")</f>
        <v>DigiKey</v>
      </c>
      <c r="G759" s="4" t="str">
        <f>IFERROR(__xludf.DUMMYFUNCTION("""COMPUTED_VALUE"""),"YAG2286DKR-ND")</f>
        <v>YAG2286DKR-ND</v>
      </c>
      <c r="H759" s="4"/>
      <c r="I759" s="4"/>
      <c r="J759" s="4"/>
      <c r="K759" s="4"/>
      <c r="L759" s="4"/>
      <c r="M759" s="4"/>
      <c r="N759" s="9" t="str">
        <f>IFERROR(__xludf.DUMMYFUNCTION("""COMPUTED_VALUE"""),"OEPS070009")</f>
        <v>OEPS070009</v>
      </c>
      <c r="O759" s="4" t="str">
        <f>IFERROR(__xludf.DUMMYFUNCTION("""COMPUTED_VALUE"""),"12226-8250-00FR")</f>
        <v>12226-8250-00FR</v>
      </c>
      <c r="P759" s="4" t="str">
        <f>IFERROR(__xludf.DUMMYFUNCTION("""COMPUTED_VALUE"""),"1 ")</f>
        <v>1 </v>
      </c>
      <c r="Q759" s="4">
        <f>IFERROR(__xludf.DUMMYFUNCTION("""COMPUTED_VALUE"""),1.0)</f>
        <v>1</v>
      </c>
      <c r="R759" s="4">
        <f>IFERROR(__xludf.DUMMYFUNCTION("""COMPUTED_VALUE"""),1.0)</f>
        <v>1</v>
      </c>
      <c r="S759" s="4" t="str">
        <f>IFERROR(__xludf.DUMMYFUNCTION("""COMPUTED_VALUE"""),"Bag")</f>
        <v>Bag</v>
      </c>
      <c r="T759" s="4" t="str">
        <f>IFERROR(__xludf.DUMMYFUNCTION("""COMPUTED_VALUE"""),"XXXX")</f>
        <v>XXXX</v>
      </c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</row>
    <row r="760">
      <c r="A760" s="4" t="str">
        <f>IFERROR(__xludf.DUMMYFUNCTION("""COMPUTED_VALUE"""),"RESISTOR:   SMD 0201 402kΩ ±1% 0.050W   [ERJ-1GNF4023C] [SMD]")</f>
        <v>RESISTOR:   SMD 0201 402kΩ ±1% 0.050W   [ERJ-1GNF4023C] [SMD]</v>
      </c>
      <c r="B760" s="4" t="str">
        <f>IFERROR(__xludf.DUMMYFUNCTION("""COMPUTED_VALUE"""),"OEPS020112")</f>
        <v>OEPS020112</v>
      </c>
      <c r="C760" s="4" t="str">
        <f>IFERROR(__xludf.DUMMYFUNCTION("""COMPUTED_VALUE"""),"SMD")</f>
        <v>SMD</v>
      </c>
      <c r="D760" s="4" t="str">
        <f>IFERROR(__xludf.DUMMYFUNCTION("""COMPUTED_VALUE"""),"ERJ-1GNF4023C")</f>
        <v>ERJ-1GNF4023C</v>
      </c>
      <c r="E760" s="4">
        <f>IFERROR(__xludf.DUMMYFUNCTION("""COMPUTED_VALUE"""),30.0)</f>
        <v>30</v>
      </c>
      <c r="F760" s="4" t="str">
        <f>IFERROR(__xludf.DUMMYFUNCTION("""COMPUTED_VALUE"""),"DigiKey")</f>
        <v>DigiKey</v>
      </c>
      <c r="G760" s="4" t="str">
        <f>IFERROR(__xludf.DUMMYFUNCTION("""COMPUTED_VALUE"""),"P122994DKR-ND")</f>
        <v>P122994DKR-ND</v>
      </c>
      <c r="H760" s="4"/>
      <c r="I760" s="4"/>
      <c r="J760" s="4"/>
      <c r="K760" s="4"/>
      <c r="L760" s="4"/>
      <c r="M760" s="4"/>
      <c r="N760" s="9" t="str">
        <f>IFERROR(__xludf.DUMMYFUNCTION("""COMPUTED_VALUE"""),"OEPS070010")</f>
        <v>OEPS070010</v>
      </c>
      <c r="O760" s="4" t="str">
        <f>IFERROR(__xludf.DUMMYFUNCTION("""COMPUTED_VALUE"""),"1888276")</f>
        <v>1888276</v>
      </c>
      <c r="P760" s="4" t="str">
        <f>IFERROR(__xludf.DUMMYFUNCTION("""COMPUTED_VALUE"""),"4 ")</f>
        <v>4 </v>
      </c>
      <c r="Q760" s="4">
        <f>IFERROR(__xludf.DUMMYFUNCTION("""COMPUTED_VALUE"""),4.0)</f>
        <v>4</v>
      </c>
      <c r="R760" s="4">
        <f>IFERROR(__xludf.DUMMYFUNCTION("""COMPUTED_VALUE"""),4.0)</f>
        <v>4</v>
      </c>
      <c r="S760" s="4" t="str">
        <f>IFERROR(__xludf.DUMMYFUNCTION("""COMPUTED_VALUE"""),"Box")</f>
        <v>Box</v>
      </c>
      <c r="T760" s="4" t="str">
        <f>IFERROR(__xludf.DUMMYFUNCTION("""COMPUTED_VALUE"""),"1024")</f>
        <v>1024</v>
      </c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</row>
    <row r="761">
      <c r="A761" s="4" t="str">
        <f>IFERROR(__xludf.DUMMYFUNCTION("""COMPUTED_VALUE"""),"RESISTOR:   SMD 0201 47.5kΩ ±1% 0.050W (OEPS J05 025)   [ERJ-1GNF4752C] [SMD]")</f>
        <v>RESISTOR:   SMD 0201 47.5kΩ ±1% 0.050W (OEPS J05 025)   [ERJ-1GNF4752C] [SMD]</v>
      </c>
      <c r="B761" s="4" t="str">
        <f>IFERROR(__xludf.DUMMYFUNCTION("""COMPUTED_VALUE"""),"OEPS020075")</f>
        <v>OEPS020075</v>
      </c>
      <c r="C761" s="4" t="str">
        <f>IFERROR(__xludf.DUMMYFUNCTION("""COMPUTED_VALUE"""),"SMD")</f>
        <v>SMD</v>
      </c>
      <c r="D761" s="4" t="str">
        <f>IFERROR(__xludf.DUMMYFUNCTION("""COMPUTED_VALUE"""),"ERJ-1GNF4752C")</f>
        <v>ERJ-1GNF4752C</v>
      </c>
      <c r="E761" s="4">
        <f>IFERROR(__xludf.DUMMYFUNCTION("""COMPUTED_VALUE"""),30.0)</f>
        <v>30</v>
      </c>
      <c r="F761" s="4" t="str">
        <f>IFERROR(__xludf.DUMMYFUNCTION("""COMPUTED_VALUE"""),"DigiKey")</f>
        <v>DigiKey</v>
      </c>
      <c r="G761" s="4" t="str">
        <f>IFERROR(__xludf.DUMMYFUNCTION("""COMPUTED_VALUE"""),"P123036DKR-ND")</f>
        <v>P123036DKR-ND</v>
      </c>
      <c r="H761" s="4"/>
      <c r="I761" s="4"/>
      <c r="J761" s="4"/>
      <c r="K761" s="4"/>
      <c r="L761" s="4"/>
      <c r="M761" s="4"/>
      <c r="N761" s="9" t="str">
        <f>IFERROR(__xludf.DUMMYFUNCTION("""COMPUTED_VALUE"""),"OEPS070012")</f>
        <v>OEPS070012</v>
      </c>
      <c r="O761" s="4" t="str">
        <f>IFERROR(__xludf.DUMMYFUNCTION("""COMPUTED_VALUE"""),"SJ-3523-SMT-TR")</f>
        <v>SJ-3523-SMT-TR</v>
      </c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</row>
    <row r="762">
      <c r="A762" s="4" t="str">
        <f>IFERROR(__xludf.DUMMYFUNCTION("""COMPUTED_VALUE"""),"RESISTOR:   SMD 0201 49.9Ω ±1% 0.050W (OEPS J05 026)   [ERJ-1GNF49R9C] [SMD]")</f>
        <v>RESISTOR:   SMD 0201 49.9Ω ±1% 0.050W (OEPS J05 026)   [ERJ-1GNF49R9C] [SMD]</v>
      </c>
      <c r="B762" s="4" t="str">
        <f>IFERROR(__xludf.DUMMYFUNCTION("""COMPUTED_VALUE"""),"OEPS020076")</f>
        <v>OEPS020076</v>
      </c>
      <c r="C762" s="4" t="str">
        <f>IFERROR(__xludf.DUMMYFUNCTION("""COMPUTED_VALUE"""),"SMD")</f>
        <v>SMD</v>
      </c>
      <c r="D762" s="4" t="str">
        <f>IFERROR(__xludf.DUMMYFUNCTION("""COMPUTED_VALUE"""),"ERJ-1GNF49R9C")</f>
        <v>ERJ-1GNF49R9C</v>
      </c>
      <c r="E762" s="4">
        <f>IFERROR(__xludf.DUMMYFUNCTION("""COMPUTED_VALUE"""),30.0)</f>
        <v>30</v>
      </c>
      <c r="F762" s="4" t="str">
        <f>IFERROR(__xludf.DUMMYFUNCTION("""COMPUTED_VALUE"""),"DigiKey")</f>
        <v>DigiKey</v>
      </c>
      <c r="G762" s="4" t="str">
        <f>IFERROR(__xludf.DUMMYFUNCTION("""COMPUTED_VALUE"""),"P123049DKR-ND")</f>
        <v>P123049DKR-ND</v>
      </c>
      <c r="H762" s="4"/>
      <c r="I762" s="4"/>
      <c r="J762" s="4"/>
      <c r="K762" s="4"/>
      <c r="L762" s="4"/>
      <c r="M762" s="4"/>
      <c r="N762" s="9" t="str">
        <f>IFERROR(__xludf.DUMMYFUNCTION("""COMPUTED_VALUE"""),"OEPS070013")</f>
        <v>OEPS070013</v>
      </c>
      <c r="O762" s="4" t="str">
        <f>IFERROR(__xludf.DUMMYFUNCTION("""COMPUTED_VALUE"""),"1789074")</f>
        <v>1789074</v>
      </c>
      <c r="P762" s="4" t="str">
        <f>IFERROR(__xludf.DUMMYFUNCTION("""COMPUTED_VALUE"""),"2 1 ")</f>
        <v>2 1 </v>
      </c>
      <c r="Q762" s="4">
        <f>IFERROR(__xludf.DUMMYFUNCTION("""COMPUTED_VALUE"""),3.0)</f>
        <v>3</v>
      </c>
      <c r="R762" s="4">
        <f>IFERROR(__xludf.DUMMYFUNCTION("""COMPUTED_VALUE"""),2.0)</f>
        <v>2</v>
      </c>
      <c r="S762" s="4" t="str">
        <f>IFERROR(__xludf.DUMMYFUNCTION("""COMPUTED_VALUE"""),"Box")</f>
        <v>Box</v>
      </c>
      <c r="T762" s="4" t="str">
        <f>IFERROR(__xludf.DUMMYFUNCTION("""COMPUTED_VALUE"""),"1024")</f>
        <v>1024</v>
      </c>
      <c r="U762" s="4">
        <f>IFERROR(__xludf.DUMMYFUNCTION("""COMPUTED_VALUE"""),1.0)</f>
        <v>1</v>
      </c>
      <c r="V762" s="4" t="str">
        <f>IFERROR(__xludf.DUMMYFUNCTION("""COMPUTED_VALUE"""),"Bag")</f>
        <v>Bag</v>
      </c>
      <c r="W762" s="4" t="str">
        <f>IFERROR(__xludf.DUMMYFUNCTION("""COMPUTED_VALUE"""),"1024")</f>
        <v>1024</v>
      </c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</row>
    <row r="763">
      <c r="A763" s="4" t="str">
        <f>IFERROR(__xludf.DUMMYFUNCTION("""COMPUTED_VALUE"""),"RESISTOR:   SMD 0201 49.9Ω ±1% 0.050W (OEPS M01 017)   [RC0201FR-0749R9L] [SMD]")</f>
        <v>RESISTOR:   SMD 0201 49.9Ω ±1% 0.050W (OEPS M01 017)   [RC0201FR-0749R9L] [SMD]</v>
      </c>
      <c r="B763" s="4" t="str">
        <f>IFERROR(__xludf.DUMMYFUNCTION("""COMPUTED_VALUE"""),"OEPS020068")</f>
        <v>OEPS020068</v>
      </c>
      <c r="C763" s="4" t="str">
        <f>IFERROR(__xludf.DUMMYFUNCTION("""COMPUTED_VALUE"""),"SMD")</f>
        <v>SMD</v>
      </c>
      <c r="D763" s="4" t="str">
        <f>IFERROR(__xludf.DUMMYFUNCTION("""COMPUTED_VALUE"""),"RC0201FR-0749R9L")</f>
        <v>RC0201FR-0749R9L</v>
      </c>
      <c r="E763" s="4">
        <f>IFERROR(__xludf.DUMMYFUNCTION("""COMPUTED_VALUE"""),30.0)</f>
        <v>30</v>
      </c>
      <c r="F763" s="4" t="str">
        <f>IFERROR(__xludf.DUMMYFUNCTION("""COMPUTED_VALUE"""),"DigiKey")</f>
        <v>DigiKey</v>
      </c>
      <c r="G763" s="4" t="str">
        <f>IFERROR(__xludf.DUMMYFUNCTION("""COMPUTED_VALUE"""),"YAG2702DKR-ND")</f>
        <v>YAG2702DKR-ND</v>
      </c>
      <c r="H763" s="4"/>
      <c r="I763" s="4"/>
      <c r="J763" s="4"/>
      <c r="K763" s="4"/>
      <c r="L763" s="4"/>
      <c r="M763" s="4"/>
      <c r="N763" s="9" t="str">
        <f>IFERROR(__xludf.DUMMYFUNCTION("""COMPUTED_VALUE"""),"OEPS070014")</f>
        <v>OEPS070014</v>
      </c>
      <c r="O763" s="4" t="str">
        <f>IFERROR(__xludf.DUMMYFUNCTION("""COMPUTED_VALUE"""),"65100516121")</f>
        <v>65100516121</v>
      </c>
      <c r="P763" s="4" t="str">
        <f>IFERROR(__xludf.DUMMYFUNCTION("""COMPUTED_VALUE"""),"1(Tp) ")</f>
        <v>1(Tp) </v>
      </c>
      <c r="Q763" s="4">
        <f>IFERROR(__xludf.DUMMYFUNCTION("""COMPUTED_VALUE"""),1.0)</f>
        <v>1</v>
      </c>
      <c r="R763" s="4">
        <f>IFERROR(__xludf.DUMMYFUNCTION("""COMPUTED_VALUE"""),1.0)</f>
        <v>1</v>
      </c>
      <c r="S763" s="4" t="str">
        <f>IFERROR(__xludf.DUMMYFUNCTION("""COMPUTED_VALUE"""),"Tape")</f>
        <v>Tape</v>
      </c>
      <c r="T763" s="4" t="str">
        <f>IFERROR(__xludf.DUMMYFUNCTION("""COMPUTED_VALUE"""),"1022")</f>
        <v>1022</v>
      </c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</row>
    <row r="764">
      <c r="A764" s="4" t="str">
        <f>IFERROR(__xludf.DUMMYFUNCTION("""COMPUTED_VALUE"""),"RESISTOR:   SMD 0201 5.6kΩ ±0.1% 0.075W   [TNPW02015K60BEED] [SMD]")</f>
        <v>RESISTOR:   SMD 0201 5.6kΩ ±0.1% 0.075W   [TNPW02015K60BEED] [SMD]</v>
      </c>
      <c r="B764" s="4" t="str">
        <f>IFERROR(__xludf.DUMMYFUNCTION("""COMPUTED_VALUE"""),"OEPS020200")</f>
        <v>OEPS020200</v>
      </c>
      <c r="C764" s="4" t="str">
        <f>IFERROR(__xludf.DUMMYFUNCTION("""COMPUTED_VALUE"""),"SMD")</f>
        <v>SMD</v>
      </c>
      <c r="D764" s="4" t="str">
        <f>IFERROR(__xludf.DUMMYFUNCTION("""COMPUTED_VALUE"""),"TNPW02015K60BEED")</f>
        <v>TNPW02015K60BEED</v>
      </c>
      <c r="E764" s="4">
        <f>IFERROR(__xludf.DUMMYFUNCTION("""COMPUTED_VALUE"""),30.0)</f>
        <v>30</v>
      </c>
      <c r="F764" s="4" t="str">
        <f>IFERROR(__xludf.DUMMYFUNCTION("""COMPUTED_VALUE"""),"Digikey")</f>
        <v>Digikey</v>
      </c>
      <c r="G764" s="4" t="str">
        <f>IFERROR(__xludf.DUMMYFUNCTION("""COMPUTED_VALUE"""),"541-TNPW02015K60BEEDDKR-ND")</f>
        <v>541-TNPW02015K60BEEDDKR-ND</v>
      </c>
      <c r="H764" s="4"/>
      <c r="I764" s="4"/>
      <c r="J764" s="4"/>
      <c r="K764" s="4"/>
      <c r="L764" s="4"/>
      <c r="M764" s="4"/>
      <c r="N764" s="9" t="str">
        <f>IFERROR(__xludf.DUMMYFUNCTION("""COMPUTED_VALUE"""),"OEPS070015")</f>
        <v>OEPS070015</v>
      </c>
      <c r="O764" s="4" t="str">
        <f>IFERROR(__xludf.DUMMYFUNCTION("""COMPUTED_VALUE"""),"67996-206HLF")</f>
        <v>67996-206HLF</v>
      </c>
      <c r="P764" s="4" t="str">
        <f>IFERROR(__xludf.DUMMYFUNCTION("""COMPUTED_VALUE"""),"2 7 ")</f>
        <v>2 7 </v>
      </c>
      <c r="Q764" s="4">
        <f>IFERROR(__xludf.DUMMYFUNCTION("""COMPUTED_VALUE"""),9.0)</f>
        <v>9</v>
      </c>
      <c r="R764" s="4"/>
      <c r="S764" s="4"/>
      <c r="T764" s="4"/>
      <c r="U764" s="4">
        <f>IFERROR(__xludf.DUMMYFUNCTION("""COMPUTED_VALUE"""),2.0)</f>
        <v>2</v>
      </c>
      <c r="V764" s="4" t="str">
        <f>IFERROR(__xludf.DUMMYFUNCTION("""COMPUTED_VALUE"""),"Bag")</f>
        <v>Bag</v>
      </c>
      <c r="W764" s="4" t="str">
        <f>IFERROR(__xludf.DUMMYFUNCTION("""COMPUTED_VALUE"""),"0221")</f>
        <v>0221</v>
      </c>
      <c r="X764" s="4">
        <f>IFERROR(__xludf.DUMMYFUNCTION("""COMPUTED_VALUE"""),7.0)</f>
        <v>7</v>
      </c>
      <c r="Y764" s="4" t="str">
        <f>IFERROR(__xludf.DUMMYFUNCTION("""COMPUTED_VALUE"""),"Box")</f>
        <v>Box</v>
      </c>
      <c r="Z764" s="4" t="str">
        <f>IFERROR(__xludf.DUMMYFUNCTION("""COMPUTED_VALUE"""),"1123")</f>
        <v>1123</v>
      </c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</row>
    <row r="765">
      <c r="A765" s="4" t="str">
        <f>IFERROR(__xludf.DUMMYFUNCTION("""COMPUTED_VALUE"""),"RESISTOR:   SMD 0201 604kΩ ±1% 0.050W   [RC0201FR-07604KP] [SMD]")</f>
        <v>RESISTOR:   SMD 0201 604kΩ ±1% 0.050W   [RC0201FR-07604KP] [SMD]</v>
      </c>
      <c r="B765" s="4" t="str">
        <f>IFERROR(__xludf.DUMMYFUNCTION("""COMPUTED_VALUE"""),"OEPS020093")</f>
        <v>OEPS020093</v>
      </c>
      <c r="C765" s="4" t="str">
        <f>IFERROR(__xludf.DUMMYFUNCTION("""COMPUTED_VALUE"""),"SMD")</f>
        <v>SMD</v>
      </c>
      <c r="D765" s="4" t="str">
        <f>IFERROR(__xludf.DUMMYFUNCTION("""COMPUTED_VALUE"""),"RC0201FR-07604KP")</f>
        <v>RC0201FR-07604KP</v>
      </c>
      <c r="E765" s="4">
        <f>IFERROR(__xludf.DUMMYFUNCTION("""COMPUTED_VALUE"""),30.0)</f>
        <v>30</v>
      </c>
      <c r="F765" s="4" t="str">
        <f>IFERROR(__xludf.DUMMYFUNCTION("""COMPUTED_VALUE"""),"DigiKey")</f>
        <v>DigiKey</v>
      </c>
      <c r="G765" s="4" t="str">
        <f>IFERROR(__xludf.DUMMYFUNCTION("""COMPUTED_VALUE"""),"13-RC0201FR-07604KPDKR-ND")</f>
        <v>13-RC0201FR-07604KPDKR-ND</v>
      </c>
      <c r="H765" s="4"/>
      <c r="I765" s="4"/>
      <c r="J765" s="4"/>
      <c r="K765" s="4"/>
      <c r="L765" s="4"/>
      <c r="M765" s="4"/>
      <c r="N765" s="9" t="str">
        <f>IFERROR(__xludf.DUMMYFUNCTION("""COMPUTED_VALUE"""),"OEPS070016")</f>
        <v>OEPS070016</v>
      </c>
      <c r="O765" s="4" t="str">
        <f>IFERROR(__xludf.DUMMYFUNCTION("""COMPUTED_VALUE"""),"67996-420HLF")</f>
        <v>67996-420HLF</v>
      </c>
      <c r="P765" s="4" t="str">
        <f>IFERROR(__xludf.DUMMYFUNCTION("""COMPUTED_VALUE"""),"1 ")</f>
        <v>1 </v>
      </c>
      <c r="Q765" s="4">
        <f>IFERROR(__xludf.DUMMYFUNCTION("""COMPUTED_VALUE"""),1.0)</f>
        <v>1</v>
      </c>
      <c r="R765" s="4">
        <f>IFERROR(__xludf.DUMMYFUNCTION("""COMPUTED_VALUE"""),1.0)</f>
        <v>1</v>
      </c>
      <c r="S765" s="4" t="str">
        <f>IFERROR(__xludf.DUMMYFUNCTION("""COMPUTED_VALUE"""),"Bag")</f>
        <v>Bag</v>
      </c>
      <c r="T765" s="4" t="str">
        <f>IFERROR(__xludf.DUMMYFUNCTION("""COMPUTED_VALUE"""),"1022")</f>
        <v>1022</v>
      </c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</row>
    <row r="766">
      <c r="A766" s="4" t="str">
        <f>IFERROR(__xludf.DUMMYFUNCTION("""COMPUTED_VALUE"""),"RESISTOR:   SMD 0201 649kΩ ±1% 0.050W   [RC0201FR-07649KL] [SMD]")</f>
        <v>RESISTOR:   SMD 0201 649kΩ ±1% 0.050W   [RC0201FR-07649KL] [SMD]</v>
      </c>
      <c r="B766" s="4" t="str">
        <f>IFERROR(__xludf.DUMMYFUNCTION("""COMPUTED_VALUE"""),"OEPS020109")</f>
        <v>OEPS020109</v>
      </c>
      <c r="C766" s="4" t="str">
        <f>IFERROR(__xludf.DUMMYFUNCTION("""COMPUTED_VALUE"""),"SMD")</f>
        <v>SMD</v>
      </c>
      <c r="D766" s="4" t="str">
        <f>IFERROR(__xludf.DUMMYFUNCTION("""COMPUTED_VALUE"""),"RC0201FR-07649KL")</f>
        <v>RC0201FR-07649KL</v>
      </c>
      <c r="E766" s="4">
        <f>IFERROR(__xludf.DUMMYFUNCTION("""COMPUTED_VALUE"""),30.0)</f>
        <v>30</v>
      </c>
      <c r="F766" s="4" t="str">
        <f>IFERROR(__xludf.DUMMYFUNCTION("""COMPUTED_VALUE"""),"DigiKey")</f>
        <v>DigiKey</v>
      </c>
      <c r="G766" s="4" t="str">
        <f>IFERROR(__xludf.DUMMYFUNCTION("""COMPUTED_VALUE"""),"YAG2760DKR-ND")</f>
        <v>YAG2760DKR-ND</v>
      </c>
      <c r="H766" s="4"/>
      <c r="I766" s="4"/>
      <c r="J766" s="4"/>
      <c r="K766" s="4"/>
      <c r="L766" s="4"/>
      <c r="M766" s="4"/>
      <c r="N766" s="9" t="str">
        <f>IFERROR(__xludf.DUMMYFUNCTION("""COMPUTED_VALUE"""),"OEPS070017")</f>
        <v>OEPS070017</v>
      </c>
      <c r="O766" s="4" t="str">
        <f>IFERROR(__xludf.DUMMYFUNCTION("""COMPUTED_VALUE"""),"BTE-040-01-L-D-A")</f>
        <v>BTE-040-01-L-D-A</v>
      </c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</row>
    <row r="767">
      <c r="A767" s="4" t="str">
        <f>IFERROR(__xludf.DUMMYFUNCTION("""COMPUTED_VALUE"""),"RESISTOR:   SMD 0201 7.15kΩ ±1% 0.050W   [CRCW02017K15FKED] [SMD]")</f>
        <v>RESISTOR:   SMD 0201 7.15kΩ ±1% 0.050W   [CRCW02017K15FKED] [SMD]</v>
      </c>
      <c r="B767" s="4" t="str">
        <f>IFERROR(__xludf.DUMMYFUNCTION("""COMPUTED_VALUE"""),"OEPS020058")</f>
        <v>OEPS020058</v>
      </c>
      <c r="C767" s="4" t="str">
        <f>IFERROR(__xludf.DUMMYFUNCTION("""COMPUTED_VALUE"""),"SMD")</f>
        <v>SMD</v>
      </c>
      <c r="D767" s="4" t="str">
        <f>IFERROR(__xludf.DUMMYFUNCTION("""COMPUTED_VALUE"""),"CRCW02017K15FKED")</f>
        <v>CRCW02017K15FKED</v>
      </c>
      <c r="E767" s="4">
        <f>IFERROR(__xludf.DUMMYFUNCTION("""COMPUTED_VALUE"""),30.0)</f>
        <v>30</v>
      </c>
      <c r="F767" s="4" t="str">
        <f>IFERROR(__xludf.DUMMYFUNCTION("""COMPUTED_VALUE"""),"DigiKey")</f>
        <v>DigiKey</v>
      </c>
      <c r="G767" s="4" t="str">
        <f>IFERROR(__xludf.DUMMYFUNCTION("""COMPUTED_VALUE"""),"541-7.15KAABDKR-ND")</f>
        <v>541-7.15KAABDKR-ND</v>
      </c>
      <c r="H767" s="4"/>
      <c r="I767" s="4"/>
      <c r="J767" s="4"/>
      <c r="K767" s="4"/>
      <c r="L767" s="4"/>
      <c r="M767" s="4"/>
      <c r="N767" s="9" t="str">
        <f>IFERROR(__xludf.DUMMYFUNCTION("""COMPUTED_VALUE"""),"OEPS070018")</f>
        <v>OEPS070018</v>
      </c>
      <c r="O767" s="4" t="str">
        <f>IFERROR(__xludf.DUMMYFUNCTION("""COMPUTED_VALUE"""),"NPPN051BFLD-RC")</f>
        <v>NPPN051BFLD-RC</v>
      </c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</row>
    <row r="768">
      <c r="A768" s="4" t="str">
        <f>IFERROR(__xludf.DUMMYFUNCTION("""COMPUTED_VALUE"""),"RESISTOR:   SMD 0201 78.7kΩ ±1% 0.050W   [ERJ-1GNF7872C] [SMD]")</f>
        <v>RESISTOR:   SMD 0201 78.7kΩ ±1% 0.050W   [ERJ-1GNF7872C] [SMD]</v>
      </c>
      <c r="B768" s="4" t="str">
        <f>IFERROR(__xludf.DUMMYFUNCTION("""COMPUTED_VALUE"""),"OEPS020091")</f>
        <v>OEPS020091</v>
      </c>
      <c r="C768" s="4" t="str">
        <f>IFERROR(__xludf.DUMMYFUNCTION("""COMPUTED_VALUE"""),"SMD")</f>
        <v>SMD</v>
      </c>
      <c r="D768" s="4" t="str">
        <f>IFERROR(__xludf.DUMMYFUNCTION("""COMPUTED_VALUE"""),"ERJ-1GNF7872C")</f>
        <v>ERJ-1GNF7872C</v>
      </c>
      <c r="E768" s="4">
        <f>IFERROR(__xludf.DUMMYFUNCTION("""COMPUTED_VALUE"""),30.0)</f>
        <v>30</v>
      </c>
      <c r="F768" s="4" t="str">
        <f>IFERROR(__xludf.DUMMYFUNCTION("""COMPUTED_VALUE"""),"DigiKey")</f>
        <v>DigiKey</v>
      </c>
      <c r="G768" s="4" t="str">
        <f>IFERROR(__xludf.DUMMYFUNCTION("""COMPUTED_VALUE"""),"P123161DKR-ND")</f>
        <v>P123161DKR-ND</v>
      </c>
      <c r="H768" s="4"/>
      <c r="I768" s="4"/>
      <c r="J768" s="4"/>
      <c r="K768" s="4"/>
      <c r="L768" s="4"/>
      <c r="M768" s="4"/>
      <c r="N768" s="9" t="str">
        <f>IFERROR(__xludf.DUMMYFUNCTION("""COMPUTED_VALUE"""),"OEPS070019")</f>
        <v>OEPS070019</v>
      </c>
      <c r="O768" s="4" t="str">
        <f>IFERROR(__xludf.DUMMYFUNCTION("""COMPUTED_VALUE"""),"NPPN071BFLC-RC")</f>
        <v>NPPN071BFLC-RC</v>
      </c>
      <c r="P768" s="4" t="str">
        <f>IFERROR(__xludf.DUMMYFUNCTION("""COMPUTED_VALUE"""),"8(Tb) 2(Tb) ")</f>
        <v>8(Tb) 2(Tb) </v>
      </c>
      <c r="Q768" s="4">
        <f>IFERROR(__xludf.DUMMYFUNCTION("""COMPUTED_VALUE"""),10.0)</f>
        <v>10</v>
      </c>
      <c r="R768" s="4">
        <f>IFERROR(__xludf.DUMMYFUNCTION("""COMPUTED_VALUE"""),8.0)</f>
        <v>8</v>
      </c>
      <c r="S768" s="4" t="str">
        <f>IFERROR(__xludf.DUMMYFUNCTION("""COMPUTED_VALUE"""),"Tube")</f>
        <v>Tube</v>
      </c>
      <c r="T768" s="4" t="str">
        <f>IFERROR(__xludf.DUMMYFUNCTION("""COMPUTED_VALUE"""),"0221")</f>
        <v>0221</v>
      </c>
      <c r="U768" s="4">
        <f>IFERROR(__xludf.DUMMYFUNCTION("""COMPUTED_VALUE"""),2.0)</f>
        <v>2</v>
      </c>
      <c r="V768" s="4" t="str">
        <f>IFERROR(__xludf.DUMMYFUNCTION("""COMPUTED_VALUE"""),"Tube")</f>
        <v>Tube</v>
      </c>
      <c r="W768" s="4" t="str">
        <f>IFERROR(__xludf.DUMMYFUNCTION("""COMPUTED_VALUE"""),"1122")</f>
        <v>1122</v>
      </c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</row>
    <row r="769">
      <c r="A769" s="4" t="str">
        <f>IFERROR(__xludf.DUMMYFUNCTION("""COMPUTED_VALUE"""),"RESISTOR:   SMD 0201 8.2kΩ ±1% 0.050W   [ERJ-1GNF8201C] [SMD]")</f>
        <v>RESISTOR:   SMD 0201 8.2kΩ ±1% 0.050W   [ERJ-1GNF8201C] [SMD]</v>
      </c>
      <c r="B769" s="4" t="str">
        <f>IFERROR(__xludf.DUMMYFUNCTION("""COMPUTED_VALUE"""),"OEPS020111")</f>
        <v>OEPS020111</v>
      </c>
      <c r="C769" s="4" t="str">
        <f>IFERROR(__xludf.DUMMYFUNCTION("""COMPUTED_VALUE"""),"SMD")</f>
        <v>SMD</v>
      </c>
      <c r="D769" s="4" t="str">
        <f>IFERROR(__xludf.DUMMYFUNCTION("""COMPUTED_VALUE"""),"ERJ-1GNF8201C")</f>
        <v>ERJ-1GNF8201C</v>
      </c>
      <c r="E769" s="4">
        <f>IFERROR(__xludf.DUMMYFUNCTION("""COMPUTED_VALUE"""),30.0)</f>
        <v>30</v>
      </c>
      <c r="F769" s="4" t="str">
        <f>IFERROR(__xludf.DUMMYFUNCTION("""COMPUTED_VALUE"""),"DigiKey")</f>
        <v>DigiKey</v>
      </c>
      <c r="G769" s="4" t="str">
        <f>IFERROR(__xludf.DUMMYFUNCTION("""COMPUTED_VALUE"""),"P123170DKR-ND")</f>
        <v>P123170DKR-ND</v>
      </c>
      <c r="H769" s="4"/>
      <c r="I769" s="4"/>
      <c r="J769" s="4"/>
      <c r="K769" s="4"/>
      <c r="L769" s="4"/>
      <c r="M769" s="4"/>
      <c r="N769" s="9" t="str">
        <f>IFERROR(__xludf.DUMMYFUNCTION("""COMPUTED_VALUE"""),"OEPS070020")</f>
        <v>OEPS070020</v>
      </c>
      <c r="O769" s="4" t="str">
        <f>IFERROR(__xludf.DUMMYFUNCTION("""COMPUTED_VALUE"""),"282834-2")</f>
        <v>282834-2</v>
      </c>
      <c r="P769" s="4" t="str">
        <f>IFERROR(__xludf.DUMMYFUNCTION("""COMPUTED_VALUE"""),"10 5 ")</f>
        <v>10 5 </v>
      </c>
      <c r="Q769" s="4">
        <f>IFERROR(__xludf.DUMMYFUNCTION("""COMPUTED_VALUE"""),15.0)</f>
        <v>15</v>
      </c>
      <c r="R769" s="4">
        <f>IFERROR(__xludf.DUMMYFUNCTION("""COMPUTED_VALUE"""),10.0)</f>
        <v>10</v>
      </c>
      <c r="S769" s="4" t="str">
        <f>IFERROR(__xludf.DUMMYFUNCTION("""COMPUTED_VALUE"""),"Bag")</f>
        <v>Bag</v>
      </c>
      <c r="T769" s="4" t="str">
        <f>IFERROR(__xludf.DUMMYFUNCTION("""COMPUTED_VALUE"""),"0725")</f>
        <v>0725</v>
      </c>
      <c r="U769" s="4">
        <f>IFERROR(__xludf.DUMMYFUNCTION("""COMPUTED_VALUE"""),5.0)</f>
        <v>5</v>
      </c>
      <c r="V769" s="4" t="str">
        <f>IFERROR(__xludf.DUMMYFUNCTION("""COMPUTED_VALUE"""),"Bag")</f>
        <v>Bag</v>
      </c>
      <c r="W769" s="4" t="str">
        <f>IFERROR(__xludf.DUMMYFUNCTION("""COMPUTED_VALUE"""),"1124")</f>
        <v>1124</v>
      </c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</row>
    <row r="770">
      <c r="A770" s="4" t="str">
        <f>IFERROR(__xludf.DUMMYFUNCTION("""COMPUTED_VALUE"""),"RESISTOR:   SMD 0402 0Ω 1A   [RC0402JR-070RL] [SMD]")</f>
        <v>RESISTOR:   SMD 0402 0Ω 1A   [RC0402JR-070RL] [SMD]</v>
      </c>
      <c r="B770" s="4" t="str">
        <f>IFERROR(__xludf.DUMMYFUNCTION("""COMPUTED_VALUE"""),"OEPS020001")</f>
        <v>OEPS020001</v>
      </c>
      <c r="C770" s="4" t="str">
        <f>IFERROR(__xludf.DUMMYFUNCTION("""COMPUTED_VALUE"""),"SMD")</f>
        <v>SMD</v>
      </c>
      <c r="D770" s="4" t="str">
        <f>IFERROR(__xludf.DUMMYFUNCTION("""COMPUTED_VALUE"""),"RC0402JR-070RL")</f>
        <v>RC0402JR-070RL</v>
      </c>
      <c r="E770" s="4">
        <f>IFERROR(__xludf.DUMMYFUNCTION("""COMPUTED_VALUE"""),30.0)</f>
        <v>30</v>
      </c>
      <c r="F770" s="4" t="str">
        <f>IFERROR(__xludf.DUMMYFUNCTION("""COMPUTED_VALUE"""),"DigiKey")</f>
        <v>DigiKey</v>
      </c>
      <c r="G770" s="4" t="str">
        <f>IFERROR(__xludf.DUMMYFUNCTION("""COMPUTED_VALUE"""),"311-0.0JRDKR-ND")</f>
        <v>311-0.0JRDKR-ND</v>
      </c>
      <c r="H770" s="4"/>
      <c r="I770" s="4"/>
      <c r="J770" s="4"/>
      <c r="K770" s="4"/>
      <c r="L770" s="4"/>
      <c r="M770" s="4"/>
      <c r="N770" s="9" t="str">
        <f>IFERROR(__xludf.DUMMYFUNCTION("""COMPUTED_VALUE"""),"OEPS070021")</f>
        <v>OEPS070021</v>
      </c>
      <c r="O770" s="4" t="str">
        <f>IFERROR(__xludf.DUMMYFUNCTION("""COMPUTED_VALUE"""),"UX60-MB-5S8")</f>
        <v>UX60-MB-5S8</v>
      </c>
      <c r="P770" s="4" t="str">
        <f>IFERROR(__xludf.DUMMYFUNCTION("""COMPUTED_VALUE"""),"10(Tp) ")</f>
        <v>10(Tp) </v>
      </c>
      <c r="Q770" s="4">
        <f>IFERROR(__xludf.DUMMYFUNCTION("""COMPUTED_VALUE"""),10.0)</f>
        <v>10</v>
      </c>
      <c r="R770" s="4">
        <f>IFERROR(__xludf.DUMMYFUNCTION("""COMPUTED_VALUE"""),10.0)</f>
        <v>10</v>
      </c>
      <c r="S770" s="4" t="str">
        <f>IFERROR(__xludf.DUMMYFUNCTION("""COMPUTED_VALUE"""),"Tape")</f>
        <v>Tape</v>
      </c>
      <c r="T770" s="4" t="str">
        <f>IFERROR(__xludf.DUMMYFUNCTION("""COMPUTED_VALUE"""),"1121")</f>
        <v>1121</v>
      </c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</row>
    <row r="771">
      <c r="A771" s="4" t="str">
        <f>IFERROR(__xludf.DUMMYFUNCTION("""COMPUTED_VALUE"""),"RESISTOR:   SMD 0402 1.27kΩ ±1% 0.063W   [CRCW04021K27FKED] [SMD]")</f>
        <v>RESISTOR:   SMD 0402 1.27kΩ ±1% 0.063W   [CRCW04021K27FKED] [SMD]</v>
      </c>
      <c r="B771" s="4" t="str">
        <f>IFERROR(__xludf.DUMMYFUNCTION("""COMPUTED_VALUE"""),"OEPS020190")</f>
        <v>OEPS020190</v>
      </c>
      <c r="C771" s="4" t="str">
        <f>IFERROR(__xludf.DUMMYFUNCTION("""COMPUTED_VALUE"""),"SMD")</f>
        <v>SMD</v>
      </c>
      <c r="D771" s="4" t="str">
        <f>IFERROR(__xludf.DUMMYFUNCTION("""COMPUTED_VALUE"""),"CRCW04021K27FKED")</f>
        <v>CRCW04021K27FKED</v>
      </c>
      <c r="E771" s="4">
        <f>IFERROR(__xludf.DUMMYFUNCTION("""COMPUTED_VALUE"""),30.0)</f>
        <v>30</v>
      </c>
      <c r="F771" s="4" t="str">
        <f>IFERROR(__xludf.DUMMYFUNCTION("""COMPUTED_VALUE"""),"Digikey")</f>
        <v>Digikey</v>
      </c>
      <c r="G771" s="4" t="str">
        <f>IFERROR(__xludf.DUMMYFUNCTION("""COMPUTED_VALUE"""),"541-1.27KLDKR-ND")</f>
        <v>541-1.27KLDKR-ND</v>
      </c>
      <c r="H771" s="4"/>
      <c r="I771" s="4"/>
      <c r="J771" s="4"/>
      <c r="K771" s="4"/>
      <c r="L771" s="4"/>
      <c r="M771" s="4"/>
      <c r="N771" s="9" t="str">
        <f>IFERROR(__xludf.DUMMYFUNCTION("""COMPUTED_VALUE"""),"OEPS070022")</f>
        <v>OEPS070022</v>
      </c>
      <c r="O771" s="4" t="str">
        <f>IFERROR(__xludf.DUMMYFUNCTION("""COMPUTED_VALUE"""),"215877-1")</f>
        <v>215877-1</v>
      </c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</row>
    <row r="772">
      <c r="A772" s="4" t="str">
        <f>IFERROR(__xludf.DUMMYFUNCTION("""COMPUTED_VALUE"""),"RESISTOR:   SMD 0402 1.2kΩ ±0.1% 0.063W   [ERA-2AEB122X] [SMD]")</f>
        <v>RESISTOR:   SMD 0402 1.2kΩ ±0.1% 0.063W   [ERA-2AEB122X] [SMD]</v>
      </c>
      <c r="B772" s="4" t="str">
        <f>IFERROR(__xludf.DUMMYFUNCTION("""COMPUTED_VALUE"""),"OEPS020213")</f>
        <v>OEPS020213</v>
      </c>
      <c r="C772" s="4" t="str">
        <f>IFERROR(__xludf.DUMMYFUNCTION("""COMPUTED_VALUE"""),"SMD")</f>
        <v>SMD</v>
      </c>
      <c r="D772" s="4" t="str">
        <f>IFERROR(__xludf.DUMMYFUNCTION("""COMPUTED_VALUE"""),"ERA-2AEB122X")</f>
        <v>ERA-2AEB122X</v>
      </c>
      <c r="E772" s="4">
        <f>IFERROR(__xludf.DUMMYFUNCTION("""COMPUTED_VALUE"""),30.0)</f>
        <v>30</v>
      </c>
      <c r="F772" s="4" t="str">
        <f>IFERROR(__xludf.DUMMYFUNCTION("""COMPUTED_VALUE"""),"Digikey")</f>
        <v>Digikey</v>
      </c>
      <c r="G772" s="4" t="str">
        <f>IFERROR(__xludf.DUMMYFUNCTION("""COMPUTED_VALUE"""),"P1.2KDCDKR-ND")</f>
        <v>P1.2KDCDKR-ND</v>
      </c>
      <c r="H772" s="4"/>
      <c r="I772" s="4"/>
      <c r="J772" s="4"/>
      <c r="K772" s="4"/>
      <c r="L772" s="4"/>
      <c r="M772" s="4"/>
      <c r="N772" s="9" t="str">
        <f>IFERROR(__xludf.DUMMYFUNCTION("""COMPUTED_VALUE"""),"OEPS070023")</f>
        <v>OEPS070023</v>
      </c>
      <c r="O772" s="4" t="str">
        <f>IFERROR(__xludf.DUMMYFUNCTION("""COMPUTED_VALUE"""),"282834-7")</f>
        <v>282834-7</v>
      </c>
      <c r="P772" s="4" t="str">
        <f>IFERROR(__xludf.DUMMYFUNCTION("""COMPUTED_VALUE"""),"5 ")</f>
        <v>5 </v>
      </c>
      <c r="Q772" s="4">
        <f>IFERROR(__xludf.DUMMYFUNCTION("""COMPUTED_VALUE"""),5.0)</f>
        <v>5</v>
      </c>
      <c r="R772" s="4">
        <f>IFERROR(__xludf.DUMMYFUNCTION("""COMPUTED_VALUE"""),5.0)</f>
        <v>5</v>
      </c>
      <c r="S772" s="4" t="str">
        <f>IFERROR(__xludf.DUMMYFUNCTION("""COMPUTED_VALUE"""),"Bag")</f>
        <v>Bag</v>
      </c>
      <c r="T772" s="4" t="str">
        <f>IFERROR(__xludf.DUMMYFUNCTION("""COMPUTED_VALUE"""),"0623")</f>
        <v>0623</v>
      </c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</row>
    <row r="773">
      <c r="A773" s="4" t="str">
        <f>IFERROR(__xludf.DUMMYFUNCTION("""COMPUTED_VALUE"""),"RESISTOR:   SMD 0402 1.5kΩ ±1% 0.063W   [CR0402-FX-1501GLF] [SMD]")</f>
        <v>RESISTOR:   SMD 0402 1.5kΩ ±1% 0.063W   [CR0402-FX-1501GLF] [SMD]</v>
      </c>
      <c r="B773" s="4" t="str">
        <f>IFERROR(__xludf.DUMMYFUNCTION("""COMPUTED_VALUE"""),"OEPS020059")</f>
        <v>OEPS020059</v>
      </c>
      <c r="C773" s="4" t="str">
        <f>IFERROR(__xludf.DUMMYFUNCTION("""COMPUTED_VALUE"""),"SMD")</f>
        <v>SMD</v>
      </c>
      <c r="D773" s="4" t="str">
        <f>IFERROR(__xludf.DUMMYFUNCTION("""COMPUTED_VALUE"""),"CR0402-FX-1501GLF")</f>
        <v>CR0402-FX-1501GLF</v>
      </c>
      <c r="E773" s="4">
        <f>IFERROR(__xludf.DUMMYFUNCTION("""COMPUTED_VALUE"""),30.0)</f>
        <v>30</v>
      </c>
      <c r="F773" s="4" t="str">
        <f>IFERROR(__xludf.DUMMYFUNCTION("""COMPUTED_VALUE"""),"DigiKey")</f>
        <v>DigiKey</v>
      </c>
      <c r="G773" s="4" t="str">
        <f>IFERROR(__xludf.DUMMYFUNCTION("""COMPUTED_VALUE"""),"CR0402-FX-1501GLFDKR-ND")</f>
        <v>CR0402-FX-1501GLFDKR-ND</v>
      </c>
      <c r="H773" s="4"/>
      <c r="I773" s="4"/>
      <c r="J773" s="4"/>
      <c r="K773" s="4"/>
      <c r="L773" s="4"/>
      <c r="M773" s="4"/>
      <c r="N773" s="9" t="str">
        <f>IFERROR(__xludf.DUMMYFUNCTION("""COMPUTED_VALUE"""),"OEPS070024")</f>
        <v>OEPS070024</v>
      </c>
      <c r="O773" s="4" t="str">
        <f>IFERROR(__xludf.DUMMYFUNCTION("""COMPUTED_VALUE"""),"731000105")</f>
        <v>731000105</v>
      </c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</row>
    <row r="774">
      <c r="A774" s="4" t="str">
        <f>IFERROR(__xludf.DUMMYFUNCTION("""COMPUTED_VALUE"""),"RESISTOR:   SMD 0402 100kΩ ±0.1% 0.063W   [RG1005P-104-B-T5] [SMD]")</f>
        <v>RESISTOR:   SMD 0402 100kΩ ±0.1% 0.063W   [RG1005P-104-B-T5] [SMD]</v>
      </c>
      <c r="B774" s="4" t="str">
        <f>IFERROR(__xludf.DUMMYFUNCTION("""COMPUTED_VALUE"""),"OEPS020175")</f>
        <v>OEPS020175</v>
      </c>
      <c r="C774" s="4" t="str">
        <f>IFERROR(__xludf.DUMMYFUNCTION("""COMPUTED_VALUE"""),"SMD")</f>
        <v>SMD</v>
      </c>
      <c r="D774" s="4" t="str">
        <f>IFERROR(__xludf.DUMMYFUNCTION("""COMPUTED_VALUE"""),"RG1005P-104-B-T5")</f>
        <v>RG1005P-104-B-T5</v>
      </c>
      <c r="E774" s="4">
        <f>IFERROR(__xludf.DUMMYFUNCTION("""COMPUTED_VALUE"""),30.0)</f>
        <v>30</v>
      </c>
      <c r="F774" s="4" t="str">
        <f>IFERROR(__xludf.DUMMYFUNCTION("""COMPUTED_VALUE"""),"Digikey")</f>
        <v>Digikey</v>
      </c>
      <c r="G774" s="4" t="str">
        <f>IFERROR(__xludf.DUMMYFUNCTION("""COMPUTED_VALUE"""),"RG10P100KBDKR-ND")</f>
        <v>RG10P100KBDKR-ND</v>
      </c>
      <c r="H774" s="4"/>
      <c r="I774" s="4"/>
      <c r="J774" s="4"/>
      <c r="K774" s="4"/>
      <c r="L774" s="4"/>
      <c r="M774" s="4"/>
      <c r="N774" s="9" t="str">
        <f>IFERROR(__xludf.DUMMYFUNCTION("""COMPUTED_VALUE"""),"OEPS070025")</f>
        <v>OEPS070025</v>
      </c>
      <c r="O774" s="4" t="str">
        <f>IFERROR(__xludf.DUMMYFUNCTION("""COMPUTED_VALUE"""),"35RASMT2BHNTRX")</f>
        <v>35RASMT2BHNTRX</v>
      </c>
      <c r="P774" s="4" t="str">
        <f>IFERROR(__xludf.DUMMYFUNCTION("""COMPUTED_VALUE"""),"1 6 2(Tp) ")</f>
        <v>1 6 2(Tp) </v>
      </c>
      <c r="Q774" s="4">
        <f>IFERROR(__xludf.DUMMYFUNCTION("""COMPUTED_VALUE"""),9.0)</f>
        <v>9</v>
      </c>
      <c r="R774" s="4">
        <f>IFERROR(__xludf.DUMMYFUNCTION("""COMPUTED_VALUE"""),1.0)</f>
        <v>1</v>
      </c>
      <c r="S774" s="4" t="str">
        <f>IFERROR(__xludf.DUMMYFUNCTION("""COMPUTED_VALUE"""),"Bag")</f>
        <v>Bag</v>
      </c>
      <c r="T774" s="4" t="str">
        <f>IFERROR(__xludf.DUMMYFUNCTION("""COMPUTED_VALUE"""),"0825")</f>
        <v>0825</v>
      </c>
      <c r="U774" s="4"/>
      <c r="V774" s="4"/>
      <c r="W774" s="4"/>
      <c r="X774" s="4">
        <f>IFERROR(__xludf.DUMMYFUNCTION("""COMPUTED_VALUE"""),6.0)</f>
        <v>6</v>
      </c>
      <c r="Y774" s="4" t="str">
        <f>IFERROR(__xludf.DUMMYFUNCTION("""COMPUTED_VALUE"""),"Bag")</f>
        <v>Bag</v>
      </c>
      <c r="Z774" s="4" t="str">
        <f>IFERROR(__xludf.DUMMYFUNCTION("""COMPUTED_VALUE"""),"XXXX")</f>
        <v>XXXX</v>
      </c>
      <c r="AA774" s="4">
        <f>IFERROR(__xludf.DUMMYFUNCTION("""COMPUTED_VALUE"""),2.0)</f>
        <v>2</v>
      </c>
      <c r="AB774" s="4" t="str">
        <f>IFERROR(__xludf.DUMMYFUNCTION("""COMPUTED_VALUE"""),"Tape")</f>
        <v>Tape</v>
      </c>
      <c r="AC774" s="4" t="str">
        <f>IFERROR(__xludf.DUMMYFUNCTION("""COMPUTED_VALUE"""),"XXXX")</f>
        <v>XXXX</v>
      </c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</row>
    <row r="775">
      <c r="A775" s="4" t="str">
        <f>IFERROR(__xludf.DUMMYFUNCTION("""COMPUTED_VALUE"""),"RESISTOR:   SMD 0402 100kΩ ±1% 0.063W   [AC0402FR-07100KL] [SMD]")</f>
        <v>RESISTOR:   SMD 0402 100kΩ ±1% 0.063W   [AC0402FR-07100KL] [SMD]</v>
      </c>
      <c r="B775" s="4" t="str">
        <f>IFERROR(__xludf.DUMMYFUNCTION("""COMPUTED_VALUE"""),"OEPS020051")</f>
        <v>OEPS020051</v>
      </c>
      <c r="C775" s="4" t="str">
        <f>IFERROR(__xludf.DUMMYFUNCTION("""COMPUTED_VALUE"""),"SMD")</f>
        <v>SMD</v>
      </c>
      <c r="D775" s="4" t="str">
        <f>IFERROR(__xludf.DUMMYFUNCTION("""COMPUTED_VALUE"""),"AC0402FR-07100KL")</f>
        <v>AC0402FR-07100KL</v>
      </c>
      <c r="E775" s="4">
        <f>IFERROR(__xludf.DUMMYFUNCTION("""COMPUTED_VALUE"""),30.0)</f>
        <v>30</v>
      </c>
      <c r="F775" s="4" t="str">
        <f>IFERROR(__xludf.DUMMYFUNCTION("""COMPUTED_VALUE"""),"DigiKey")</f>
        <v>DigiKey</v>
      </c>
      <c r="G775" s="4" t="str">
        <f>IFERROR(__xludf.DUMMYFUNCTION("""COMPUTED_VALUE"""),"YAG3434DKR-ND")</f>
        <v>YAG3434DKR-ND</v>
      </c>
      <c r="H775" s="4"/>
      <c r="I775" s="4"/>
      <c r="J775" s="4"/>
      <c r="K775" s="4"/>
      <c r="L775" s="4"/>
      <c r="M775" s="4"/>
      <c r="N775" s="9" t="str">
        <f>IFERROR(__xludf.DUMMYFUNCTION("""COMPUTED_VALUE"""),"OEPS070026")</f>
        <v>OEPS070026</v>
      </c>
      <c r="O775" s="4" t="str">
        <f>IFERROR(__xludf.DUMMYFUNCTION("""COMPUTED_VALUE"""),"163-179PH-EX")</f>
        <v>163-179PH-EX</v>
      </c>
      <c r="P775" s="4" t="str">
        <f>IFERROR(__xludf.DUMMYFUNCTION("""COMPUTED_VALUE"""),"4 37 ")</f>
        <v>4 37 </v>
      </c>
      <c r="Q775" s="4">
        <f>IFERROR(__xludf.DUMMYFUNCTION("""COMPUTED_VALUE"""),41.0)</f>
        <v>41</v>
      </c>
      <c r="R775" s="4">
        <f>IFERROR(__xludf.DUMMYFUNCTION("""COMPUTED_VALUE"""),4.0)</f>
        <v>4</v>
      </c>
      <c r="S775" s="4" t="str">
        <f>IFERROR(__xludf.DUMMYFUNCTION("""COMPUTED_VALUE"""),"Bag")</f>
        <v>Bag</v>
      </c>
      <c r="T775" s="4" t="str">
        <f>IFERROR(__xludf.DUMMYFUNCTION("""COMPUTED_VALUE"""),"0623")</f>
        <v>0623</v>
      </c>
      <c r="U775" s="4">
        <f>IFERROR(__xludf.DUMMYFUNCTION("""COMPUTED_VALUE"""),37.0)</f>
        <v>37</v>
      </c>
      <c r="V775" s="4" t="str">
        <f>IFERROR(__xludf.DUMMYFUNCTION("""COMPUTED_VALUE"""),"Bag")</f>
        <v>Bag</v>
      </c>
      <c r="W775" s="4" t="str">
        <f>IFERROR(__xludf.DUMMYFUNCTION("""COMPUTED_VALUE"""),"XXXX")</f>
        <v>XXXX</v>
      </c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</row>
    <row r="776">
      <c r="A776" s="4" t="str">
        <f>IFERROR(__xludf.DUMMYFUNCTION("""COMPUTED_VALUE"""),"RESISTOR:   SMD 0402 100kΩ ±1% 0.100W   [ERJ-2RKF1003X] [SMD]")</f>
        <v>RESISTOR:   SMD 0402 100kΩ ±1% 0.100W   [ERJ-2RKF1003X] [SMD]</v>
      </c>
      <c r="B776" s="4" t="str">
        <f>IFERROR(__xludf.DUMMYFUNCTION("""COMPUTED_VALUE"""),"OEPS020019")</f>
        <v>OEPS020019</v>
      </c>
      <c r="C776" s="4" t="str">
        <f>IFERROR(__xludf.DUMMYFUNCTION("""COMPUTED_VALUE"""),"SMD")</f>
        <v>SMD</v>
      </c>
      <c r="D776" s="4" t="str">
        <f>IFERROR(__xludf.DUMMYFUNCTION("""COMPUTED_VALUE"""),"ERJ-2RKF1003X")</f>
        <v>ERJ-2RKF1003X</v>
      </c>
      <c r="E776" s="4">
        <f>IFERROR(__xludf.DUMMYFUNCTION("""COMPUTED_VALUE"""),30.0)</f>
        <v>30</v>
      </c>
      <c r="F776" s="4" t="str">
        <f>IFERROR(__xludf.DUMMYFUNCTION("""COMPUTED_VALUE"""),"DigiKey")</f>
        <v>DigiKey</v>
      </c>
      <c r="G776" s="4" t="str">
        <f>IFERROR(__xludf.DUMMYFUNCTION("""COMPUTED_VALUE"""),"P100KLDKR-ND")</f>
        <v>P100KLDKR-ND</v>
      </c>
      <c r="H776" s="4"/>
      <c r="I776" s="4"/>
      <c r="J776" s="4"/>
      <c r="K776" s="4"/>
      <c r="L776" s="4"/>
      <c r="M776" s="4"/>
      <c r="N776" s="9" t="str">
        <f>IFERROR(__xludf.DUMMYFUNCTION("""COMPUTED_VALUE"""),"OEPS070027")</f>
        <v>OEPS070027</v>
      </c>
      <c r="O776" s="4" t="str">
        <f>IFERROR(__xludf.DUMMYFUNCTION("""COMPUTED_VALUE"""),"SBH11-PBPC-D05-RA-BK")</f>
        <v>SBH11-PBPC-D05-RA-BK</v>
      </c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</row>
    <row r="777">
      <c r="A777" s="4" t="str">
        <f>IFERROR(__xludf.DUMMYFUNCTION("""COMPUTED_VALUE"""),"RESISTOR:   SMD 0402 100Ω ±1% 0.063W (OEPS H02 006)   [RC0402FR-07100RL] [SMD]")</f>
        <v>RESISTOR:   SMD 0402 100Ω ±1% 0.063W (OEPS H02 006)   [RC0402FR-07100RL] [SMD]</v>
      </c>
      <c r="B777" s="4" t="str">
        <f>IFERROR(__xludf.DUMMYFUNCTION("""COMPUTED_VALUE"""),"OEPS020077")</f>
        <v>OEPS020077</v>
      </c>
      <c r="C777" s="4" t="str">
        <f>IFERROR(__xludf.DUMMYFUNCTION("""COMPUTED_VALUE"""),"SMD")</f>
        <v>SMD</v>
      </c>
      <c r="D777" s="4" t="str">
        <f>IFERROR(__xludf.DUMMYFUNCTION("""COMPUTED_VALUE"""),"RC0402FR-07100RL")</f>
        <v>RC0402FR-07100RL</v>
      </c>
      <c r="E777" s="4">
        <f>IFERROR(__xludf.DUMMYFUNCTION("""COMPUTED_VALUE"""),30.0)</f>
        <v>30</v>
      </c>
      <c r="F777" s="4" t="str">
        <f>IFERROR(__xludf.DUMMYFUNCTION("""COMPUTED_VALUE"""),"DigiKey")</f>
        <v>DigiKey</v>
      </c>
      <c r="G777" s="4" t="str">
        <f>IFERROR(__xludf.DUMMYFUNCTION("""COMPUTED_VALUE"""),"311-100LRDKR-ND")</f>
        <v>311-100LRDKR-ND</v>
      </c>
      <c r="H777" s="4"/>
      <c r="I777" s="4"/>
      <c r="J777" s="4"/>
      <c r="K777" s="4"/>
      <c r="L777" s="4"/>
      <c r="M777" s="4"/>
      <c r="N777" s="9" t="str">
        <f>IFERROR(__xludf.DUMMYFUNCTION("""COMPUTED_VALUE"""),"OEPS070028")</f>
        <v>OEPS070028</v>
      </c>
      <c r="O777" s="4" t="str">
        <f>IFERROR(__xludf.DUMMYFUNCTION("""COMPUTED_VALUE"""),"B2B-XH-A(LF)(SN)")</f>
        <v>B2B-XH-A(LF)(SN)</v>
      </c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</row>
    <row r="778">
      <c r="A778" s="4" t="str">
        <f>IFERROR(__xludf.DUMMYFUNCTION("""COMPUTED_VALUE"""),"RESISTOR:   SMD 0402 100Ω ±1% 0.100W   [ERJ-2RKF1000X] [SMD]")</f>
        <v>RESISTOR:   SMD 0402 100Ω ±1% 0.100W   [ERJ-2RKF1000X] [SMD]</v>
      </c>
      <c r="B778" s="4" t="str">
        <f>IFERROR(__xludf.DUMMYFUNCTION("""COMPUTED_VALUE"""),"OEPS020004")</f>
        <v>OEPS020004</v>
      </c>
      <c r="C778" s="4" t="str">
        <f>IFERROR(__xludf.DUMMYFUNCTION("""COMPUTED_VALUE"""),"SMD")</f>
        <v>SMD</v>
      </c>
      <c r="D778" s="4" t="str">
        <f>IFERROR(__xludf.DUMMYFUNCTION("""COMPUTED_VALUE"""),"ERJ-2RKF1000X")</f>
        <v>ERJ-2RKF1000X</v>
      </c>
      <c r="E778" s="4">
        <f>IFERROR(__xludf.DUMMYFUNCTION("""COMPUTED_VALUE"""),30.0)</f>
        <v>30</v>
      </c>
      <c r="F778" s="4" t="str">
        <f>IFERROR(__xludf.DUMMYFUNCTION("""COMPUTED_VALUE"""),"DigiKey")</f>
        <v>DigiKey</v>
      </c>
      <c r="G778" s="4" t="str">
        <f>IFERROR(__xludf.DUMMYFUNCTION("""COMPUTED_VALUE"""),"P100LDKR-ND")</f>
        <v>P100LDKR-ND</v>
      </c>
      <c r="H778" s="4"/>
      <c r="I778" s="4"/>
      <c r="J778" s="4"/>
      <c r="K778" s="4"/>
      <c r="L778" s="4"/>
      <c r="M778" s="4"/>
      <c r="N778" s="9" t="str">
        <f>IFERROR(__xludf.DUMMYFUNCTION("""COMPUTED_VALUE"""),"OEPS070029")</f>
        <v>OEPS070029</v>
      </c>
      <c r="O778" s="4" t="str">
        <f>IFERROR(__xludf.DUMMYFUNCTION("""COMPUTED_VALUE"""),"68001-203HLF")</f>
        <v>68001-203HLF</v>
      </c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</row>
    <row r="779">
      <c r="A779" s="4" t="str">
        <f>IFERROR(__xludf.DUMMYFUNCTION("""COMPUTED_VALUE"""),"RESISTOR:   SMD 0402 100Ω ±1% 0.250W   [RCS0402100RFKED] [SMD]")</f>
        <v>RESISTOR:   SMD 0402 100Ω ±1% 0.250W   [RCS0402100RFKED] [SMD]</v>
      </c>
      <c r="B779" s="4" t="str">
        <f>IFERROR(__xludf.DUMMYFUNCTION("""COMPUTED_VALUE"""),"OEPS020028")</f>
        <v>OEPS020028</v>
      </c>
      <c r="C779" s="4" t="str">
        <f>IFERROR(__xludf.DUMMYFUNCTION("""COMPUTED_VALUE"""),"SMD")</f>
        <v>SMD</v>
      </c>
      <c r="D779" s="4" t="str">
        <f>IFERROR(__xludf.DUMMYFUNCTION("""COMPUTED_VALUE"""),"RCS0402100RFKED")</f>
        <v>RCS0402100RFKED</v>
      </c>
      <c r="E779" s="4">
        <f>IFERROR(__xludf.DUMMYFUNCTION("""COMPUTED_VALUE"""),30.0)</f>
        <v>30</v>
      </c>
      <c r="F779" s="4" t="str">
        <f>IFERROR(__xludf.DUMMYFUNCTION("""COMPUTED_VALUE"""),"DigiKey")</f>
        <v>DigiKey</v>
      </c>
      <c r="G779" s="4" t="str">
        <f>IFERROR(__xludf.DUMMYFUNCTION("""COMPUTED_VALUE"""),"541-2886-6-ND")</f>
        <v>541-2886-6-ND</v>
      </c>
      <c r="H779" s="4"/>
      <c r="I779" s="4"/>
      <c r="J779" s="4"/>
      <c r="K779" s="4"/>
      <c r="L779" s="4"/>
      <c r="M779" s="4"/>
      <c r="N779" s="9" t="str">
        <f>IFERROR(__xludf.DUMMYFUNCTION("""COMPUTED_VALUE"""),"OEPS070030")</f>
        <v>OEPS070030</v>
      </c>
      <c r="O779" s="4" t="str">
        <f>IFERROR(__xludf.DUMMYFUNCTION("""COMPUTED_VALUE"""),"SBH11-PBPC-D05-ST-BK")</f>
        <v>SBH11-PBPC-D05-ST-BK</v>
      </c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</row>
    <row r="780">
      <c r="A780" s="4" t="str">
        <f>IFERROR(__xludf.DUMMYFUNCTION("""COMPUTED_VALUE"""),"RESISTOR:   SMD 0402 10kΩ ±0.1% 0.063W   [CPF0402B10KE1] [SMD]")</f>
        <v>RESISTOR:   SMD 0402 10kΩ ±0.1% 0.063W   [CPF0402B10KE1] [SMD]</v>
      </c>
      <c r="B780" s="4" t="str">
        <f>IFERROR(__xludf.DUMMYFUNCTION("""COMPUTED_VALUE"""),"OEPS020043")</f>
        <v>OEPS020043</v>
      </c>
      <c r="C780" s="4" t="str">
        <f>IFERROR(__xludf.DUMMYFUNCTION("""COMPUTED_VALUE"""),"SMD")</f>
        <v>SMD</v>
      </c>
      <c r="D780" s="4" t="str">
        <f>IFERROR(__xludf.DUMMYFUNCTION("""COMPUTED_VALUE"""),"CPF0402B10KE1")</f>
        <v>CPF0402B10KE1</v>
      </c>
      <c r="E780" s="4">
        <f>IFERROR(__xludf.DUMMYFUNCTION("""COMPUTED_VALUE"""),30.0)</f>
        <v>30</v>
      </c>
      <c r="F780" s="4" t="str">
        <f>IFERROR(__xludf.DUMMYFUNCTION("""COMPUTED_VALUE"""),"DigiKey")</f>
        <v>DigiKey</v>
      </c>
      <c r="G780" s="4" t="str">
        <f>IFERROR(__xludf.DUMMYFUNCTION("""COMPUTED_VALUE"""),"A102579DKR-ND")</f>
        <v>A102579DKR-ND</v>
      </c>
      <c r="H780" s="4"/>
      <c r="I780" s="4"/>
      <c r="J780" s="4"/>
      <c r="K780" s="4"/>
      <c r="L780" s="4"/>
      <c r="M780" s="4"/>
      <c r="N780" s="9" t="str">
        <f>IFERROR(__xludf.DUMMYFUNCTION("""COMPUTED_VALUE"""),"OEPS070031")</f>
        <v>OEPS070031</v>
      </c>
      <c r="O780" s="4" t="str">
        <f>IFERROR(__xludf.DUMMYFUNCTION("""COMPUTED_VALUE"""),"691322110008")</f>
        <v>691322110008</v>
      </c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</row>
    <row r="781">
      <c r="A781" s="4" t="str">
        <f>IFERROR(__xludf.DUMMYFUNCTION("""COMPUTED_VALUE"""),"RESISTOR:   SMD 0402 10kΩ ±1% 0.063W   [CRCW040210K0FKED] [SMD]")</f>
        <v>RESISTOR:   SMD 0402 10kΩ ±1% 0.063W   [CRCW040210K0FKED] [SMD]</v>
      </c>
      <c r="B781" s="4" t="str">
        <f>IFERROR(__xludf.DUMMYFUNCTION("""COMPUTED_VALUE"""),"OEPS020030")</f>
        <v>OEPS020030</v>
      </c>
      <c r="C781" s="4" t="str">
        <f>IFERROR(__xludf.DUMMYFUNCTION("""COMPUTED_VALUE"""),"SMD")</f>
        <v>SMD</v>
      </c>
      <c r="D781" s="4" t="str">
        <f>IFERROR(__xludf.DUMMYFUNCTION("""COMPUTED_VALUE"""),"CRCW040210K0FKED")</f>
        <v>CRCW040210K0FKED</v>
      </c>
      <c r="E781" s="4">
        <f>IFERROR(__xludf.DUMMYFUNCTION("""COMPUTED_VALUE"""),30.0)</f>
        <v>30</v>
      </c>
      <c r="F781" s="4" t="str">
        <f>IFERROR(__xludf.DUMMYFUNCTION("""COMPUTED_VALUE"""),"DigiKey")</f>
        <v>DigiKey</v>
      </c>
      <c r="G781" s="4" t="str">
        <f>IFERROR(__xludf.DUMMYFUNCTION("""COMPUTED_VALUE"""),"541-10.0KLDKR-ND")</f>
        <v>541-10.0KLDKR-ND</v>
      </c>
      <c r="H781" s="4"/>
      <c r="I781" s="4"/>
      <c r="J781" s="4"/>
      <c r="K781" s="4"/>
      <c r="L781" s="4"/>
      <c r="M781" s="4"/>
      <c r="N781" s="9" t="str">
        <f>IFERROR(__xludf.DUMMYFUNCTION("""COMPUTED_VALUE"""),"OEPS070032")</f>
        <v>OEPS070032</v>
      </c>
      <c r="O781" s="4" t="str">
        <f>IFERROR(__xludf.DUMMYFUNCTION("""COMPUTED_VALUE"""),"691322110002")</f>
        <v>691322110002</v>
      </c>
      <c r="P781" s="4" t="str">
        <f>IFERROR(__xludf.DUMMYFUNCTION("""COMPUTED_VALUE"""),"6 ")</f>
        <v>6 </v>
      </c>
      <c r="Q781" s="4">
        <f>IFERROR(__xludf.DUMMYFUNCTION("""COMPUTED_VALUE"""),6.0)</f>
        <v>6</v>
      </c>
      <c r="R781" s="4">
        <f>IFERROR(__xludf.DUMMYFUNCTION("""COMPUTED_VALUE"""),6.0)</f>
        <v>6</v>
      </c>
      <c r="S781" s="4" t="str">
        <f>IFERROR(__xludf.DUMMYFUNCTION("""COMPUTED_VALUE"""),"Bag")</f>
        <v>Bag</v>
      </c>
      <c r="T781" s="4" t="str">
        <f>IFERROR(__xludf.DUMMYFUNCTION("""COMPUTED_VALUE"""),"XXXX")</f>
        <v>XXXX</v>
      </c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</row>
    <row r="782">
      <c r="A782" s="4" t="str">
        <f>IFERROR(__xludf.DUMMYFUNCTION("""COMPUTED_VALUE"""),"RESISTOR:   SMD 0402 10kΩ ±1% 0.100W   [ERJ-2RKF1002X] [SMD]")</f>
        <v>RESISTOR:   SMD 0402 10kΩ ±1% 0.100W   [ERJ-2RKF1002X] [SMD]</v>
      </c>
      <c r="B782" s="4" t="str">
        <f>IFERROR(__xludf.DUMMYFUNCTION("""COMPUTED_VALUE"""),"OEPS020013")</f>
        <v>OEPS020013</v>
      </c>
      <c r="C782" s="4" t="str">
        <f>IFERROR(__xludf.DUMMYFUNCTION("""COMPUTED_VALUE"""),"SMD")</f>
        <v>SMD</v>
      </c>
      <c r="D782" s="4" t="str">
        <f>IFERROR(__xludf.DUMMYFUNCTION("""COMPUTED_VALUE"""),"ERJ-2RKF1002X")</f>
        <v>ERJ-2RKF1002X</v>
      </c>
      <c r="E782" s="4">
        <f>IFERROR(__xludf.DUMMYFUNCTION("""COMPUTED_VALUE"""),30.0)</f>
        <v>30</v>
      </c>
      <c r="F782" s="4" t="str">
        <f>IFERROR(__xludf.DUMMYFUNCTION("""COMPUTED_VALUE"""),"DigiKey")</f>
        <v>DigiKey</v>
      </c>
      <c r="G782" s="4" t="str">
        <f>IFERROR(__xludf.DUMMYFUNCTION("""COMPUTED_VALUE"""),"P10.0KLDKR-ND")</f>
        <v>P10.0KLDKR-ND</v>
      </c>
      <c r="H782" s="4"/>
      <c r="I782" s="4"/>
      <c r="J782" s="4"/>
      <c r="K782" s="4"/>
      <c r="L782" s="4"/>
      <c r="M782" s="4"/>
      <c r="N782" s="9" t="str">
        <f>IFERROR(__xludf.DUMMYFUNCTION("""COMPUTED_VALUE"""),"OEPS070033")</f>
        <v>OEPS070033</v>
      </c>
      <c r="O782" s="4" t="str">
        <f>IFERROR(__xludf.DUMMYFUNCTION("""COMPUTED_VALUE"""),"691361100008")</f>
        <v>691361100008</v>
      </c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</row>
    <row r="783">
      <c r="A783" s="4" t="str">
        <f>IFERROR(__xludf.DUMMYFUNCTION("""COMPUTED_VALUE"""),"RESISTOR:   SMD 0402 10MΩ ±1% 0.063W   [CRCW040210M0FKED] [SMD]")</f>
        <v>RESISTOR:   SMD 0402 10MΩ ±1% 0.063W   [CRCW040210M0FKED] [SMD]</v>
      </c>
      <c r="B783" s="4" t="str">
        <f>IFERROR(__xludf.DUMMYFUNCTION("""COMPUTED_VALUE"""),"OEPS020211")</f>
        <v>OEPS020211</v>
      </c>
      <c r="C783" s="4" t="str">
        <f>IFERROR(__xludf.DUMMYFUNCTION("""COMPUTED_VALUE"""),"SMD")</f>
        <v>SMD</v>
      </c>
      <c r="D783" s="4" t="str">
        <f>IFERROR(__xludf.DUMMYFUNCTION("""COMPUTED_VALUE"""),"CRCW040210M0FKED")</f>
        <v>CRCW040210M0FKED</v>
      </c>
      <c r="E783" s="4">
        <f>IFERROR(__xludf.DUMMYFUNCTION("""COMPUTED_VALUE"""),30.0)</f>
        <v>30</v>
      </c>
      <c r="F783" s="4" t="str">
        <f>IFERROR(__xludf.DUMMYFUNCTION("""COMPUTED_VALUE"""),"Digikey")</f>
        <v>Digikey</v>
      </c>
      <c r="G783" s="4" t="str">
        <f>IFERROR(__xludf.DUMMYFUNCTION("""COMPUTED_VALUE"""),"541-10.0MLDKR-ND")</f>
        <v>541-10.0MLDKR-ND</v>
      </c>
      <c r="H783" s="4"/>
      <c r="I783" s="4"/>
      <c r="J783" s="4"/>
      <c r="K783" s="4"/>
      <c r="L783" s="4"/>
      <c r="M783" s="4"/>
      <c r="N783" s="9" t="str">
        <f>IFERROR(__xludf.DUMMYFUNCTION("""COMPUTED_VALUE"""),"OEPS070034")</f>
        <v>OEPS070034</v>
      </c>
      <c r="O783" s="4" t="str">
        <f>IFERROR(__xludf.DUMMYFUNCTION("""COMPUTED_VALUE"""),"691361100002")</f>
        <v>691361100002</v>
      </c>
      <c r="P783" s="4" t="str">
        <f>IFERROR(__xludf.DUMMYFUNCTION("""COMPUTED_VALUE"""),"1 ")</f>
        <v>1 </v>
      </c>
      <c r="Q783" s="4">
        <f>IFERROR(__xludf.DUMMYFUNCTION("""COMPUTED_VALUE"""),1.0)</f>
        <v>1</v>
      </c>
      <c r="R783" s="4">
        <f>IFERROR(__xludf.DUMMYFUNCTION("""COMPUTED_VALUE"""),1.0)</f>
        <v>1</v>
      </c>
      <c r="S783" s="4" t="str">
        <f>IFERROR(__xludf.DUMMYFUNCTION("""COMPUTED_VALUE"""),"Bag")</f>
        <v>Bag</v>
      </c>
      <c r="T783" s="4" t="str">
        <f>IFERROR(__xludf.DUMMYFUNCTION("""COMPUTED_VALUE"""),"0525")</f>
        <v>0525</v>
      </c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</row>
    <row r="784">
      <c r="A784" s="4" t="str">
        <f>IFERROR(__xludf.DUMMYFUNCTION("""COMPUTED_VALUE"""),"RESISTOR:   SMD 0402 10Ω ±1% 0.063W   [RMCF0402FT10R0] [SMD]")</f>
        <v>RESISTOR:   SMD 0402 10Ω ±1% 0.063W   [RMCF0402FT10R0] [SMD]</v>
      </c>
      <c r="B784" s="4" t="str">
        <f>IFERROR(__xludf.DUMMYFUNCTION("""COMPUTED_VALUE"""),"OEPS020205")</f>
        <v>OEPS020205</v>
      </c>
      <c r="C784" s="4" t="str">
        <f>IFERROR(__xludf.DUMMYFUNCTION("""COMPUTED_VALUE"""),"SMD")</f>
        <v>SMD</v>
      </c>
      <c r="D784" s="4" t="str">
        <f>IFERROR(__xludf.DUMMYFUNCTION("""COMPUTED_VALUE"""),"RMCF0402FT10R0")</f>
        <v>RMCF0402FT10R0</v>
      </c>
      <c r="E784" s="4">
        <f>IFERROR(__xludf.DUMMYFUNCTION("""COMPUTED_VALUE"""),30.0)</f>
        <v>30</v>
      </c>
      <c r="F784" s="4" t="str">
        <f>IFERROR(__xludf.DUMMYFUNCTION("""COMPUTED_VALUE"""),"DigiKey")</f>
        <v>DigiKey</v>
      </c>
      <c r="G784" s="4" t="str">
        <f>IFERROR(__xludf.DUMMYFUNCTION("""COMPUTED_VALUE"""),"RMCF0402FT10R0DKR-ND")</f>
        <v>RMCF0402FT10R0DKR-ND</v>
      </c>
      <c r="H784" s="4"/>
      <c r="I784" s="4"/>
      <c r="J784" s="4"/>
      <c r="K784" s="4"/>
      <c r="L784" s="4"/>
      <c r="M784" s="4"/>
      <c r="N784" s="9" t="str">
        <f>IFERROR(__xludf.DUMMYFUNCTION("""COMPUTED_VALUE"""),"OEPS070035")</f>
        <v>OEPS070035</v>
      </c>
      <c r="O784" s="4" t="str">
        <f>IFERROR(__xludf.DUMMYFUNCTION("""COMPUTED_VALUE"""),"282834-3")</f>
        <v>282834-3</v>
      </c>
      <c r="P784" s="4" t="str">
        <f>IFERROR(__xludf.DUMMYFUNCTION("""COMPUTED_VALUE"""),"3 4 ")</f>
        <v>3 4 </v>
      </c>
      <c r="Q784" s="4">
        <f>IFERROR(__xludf.DUMMYFUNCTION("""COMPUTED_VALUE"""),7.0)</f>
        <v>7</v>
      </c>
      <c r="R784" s="4">
        <f>IFERROR(__xludf.DUMMYFUNCTION("""COMPUTED_VALUE"""),3.0)</f>
        <v>3</v>
      </c>
      <c r="S784" s="4" t="str">
        <f>IFERROR(__xludf.DUMMYFUNCTION("""COMPUTED_VALUE"""),"Bag")</f>
        <v>Bag</v>
      </c>
      <c r="T784" s="4" t="str">
        <f>IFERROR(__xludf.DUMMYFUNCTION("""COMPUTED_VALUE"""),"0725")</f>
        <v>0725</v>
      </c>
      <c r="U784" s="4">
        <f>IFERROR(__xludf.DUMMYFUNCTION("""COMPUTED_VALUE"""),4.0)</f>
        <v>4</v>
      </c>
      <c r="V784" s="4" t="str">
        <f>IFERROR(__xludf.DUMMYFUNCTION("""COMPUTED_VALUE"""),"Bag")</f>
        <v>Bag</v>
      </c>
      <c r="W784" s="4" t="str">
        <f>IFERROR(__xludf.DUMMYFUNCTION("""COMPUTED_VALUE"""),"XXXX")</f>
        <v>XXXX</v>
      </c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</row>
    <row r="785">
      <c r="A785" s="4" t="str">
        <f>IFERROR(__xludf.DUMMYFUNCTION("""COMPUTED_VALUE"""),"RESISTOR:   SMD 0402 10Ω ±5% 0.25W   [ERJ-PA2J100X] [SMD]")</f>
        <v>RESISTOR:   SMD 0402 10Ω ±5% 0.25W   [ERJ-PA2J100X] [SMD]</v>
      </c>
      <c r="B785" s="4" t="str">
        <f>IFERROR(__xludf.DUMMYFUNCTION("""COMPUTED_VALUE"""),"OEPS020041")</f>
        <v>OEPS020041</v>
      </c>
      <c r="C785" s="4" t="str">
        <f>IFERROR(__xludf.DUMMYFUNCTION("""COMPUTED_VALUE"""),"SMD")</f>
        <v>SMD</v>
      </c>
      <c r="D785" s="4" t="str">
        <f>IFERROR(__xludf.DUMMYFUNCTION("""COMPUTED_VALUE"""),"ERJ-PA2J100X")</f>
        <v>ERJ-PA2J100X</v>
      </c>
      <c r="E785" s="4">
        <f>IFERROR(__xludf.DUMMYFUNCTION("""COMPUTED_VALUE"""),30.0)</f>
        <v>30</v>
      </c>
      <c r="F785" s="4" t="str">
        <f>IFERROR(__xludf.DUMMYFUNCTION("""COMPUTED_VALUE"""),"DigiKey")</f>
        <v>DigiKey</v>
      </c>
      <c r="G785" s="4" t="str">
        <f>IFERROR(__xludf.DUMMYFUNCTION("""COMPUTED_VALUE"""),"P17181DKR-ND")</f>
        <v>P17181DKR-ND</v>
      </c>
      <c r="H785" s="4"/>
      <c r="I785" s="4"/>
      <c r="J785" s="4"/>
      <c r="K785" s="4"/>
      <c r="L785" s="4"/>
      <c r="M785" s="4"/>
      <c r="N785" s="9" t="str">
        <f>IFERROR(__xludf.DUMMYFUNCTION("""COMPUTED_VALUE"""),"OEPS070036")</f>
        <v>OEPS070036</v>
      </c>
      <c r="O785" s="4" t="str">
        <f>IFERROR(__xludf.DUMMYFUNCTION("""COMPUTED_VALUE"""),"282834-4")</f>
        <v>282834-4</v>
      </c>
      <c r="P785" s="4" t="str">
        <f>IFERROR(__xludf.DUMMYFUNCTION("""COMPUTED_VALUE"""),"19 3 ")</f>
        <v>19 3 </v>
      </c>
      <c r="Q785" s="4">
        <f>IFERROR(__xludf.DUMMYFUNCTION("""COMPUTED_VALUE"""),22.0)</f>
        <v>22</v>
      </c>
      <c r="R785" s="4">
        <f>IFERROR(__xludf.DUMMYFUNCTION("""COMPUTED_VALUE"""),19.0)</f>
        <v>19</v>
      </c>
      <c r="S785" s="4" t="str">
        <f>IFERROR(__xludf.DUMMYFUNCTION("""COMPUTED_VALUE"""),"Bag")</f>
        <v>Bag</v>
      </c>
      <c r="T785" s="4" t="str">
        <f>IFERROR(__xludf.DUMMYFUNCTION("""COMPUTED_VALUE"""),"1224")</f>
        <v>1224</v>
      </c>
      <c r="U785" s="4">
        <f>IFERROR(__xludf.DUMMYFUNCTION("""COMPUTED_VALUE"""),3.0)</f>
        <v>3</v>
      </c>
      <c r="V785" s="4" t="str">
        <f>IFERROR(__xludf.DUMMYFUNCTION("""COMPUTED_VALUE"""),"Bag")</f>
        <v>Bag</v>
      </c>
      <c r="W785" s="4" t="str">
        <f>IFERROR(__xludf.DUMMYFUNCTION("""COMPUTED_VALUE"""),"1123")</f>
        <v>1123</v>
      </c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</row>
    <row r="786">
      <c r="A786" s="4" t="str">
        <f>IFERROR(__xludf.DUMMYFUNCTION("""COMPUTED_VALUE"""),"RESISTOR:   SMD 0402 12kΩ ±0.1% 0.063W   [ERA-2AEB123X] [SMD]")</f>
        <v>RESISTOR:   SMD 0402 12kΩ ±0.1% 0.063W   [ERA-2AEB123X] [SMD]</v>
      </c>
      <c r="B786" s="4" t="str">
        <f>IFERROR(__xludf.DUMMYFUNCTION("""COMPUTED_VALUE"""),"OEPS020080")</f>
        <v>OEPS020080</v>
      </c>
      <c r="C786" s="4" t="str">
        <f>IFERROR(__xludf.DUMMYFUNCTION("""COMPUTED_VALUE"""),"SMD")</f>
        <v>SMD</v>
      </c>
      <c r="D786" s="4" t="str">
        <f>IFERROR(__xludf.DUMMYFUNCTION("""COMPUTED_VALUE"""),"ERA-2AEB123X")</f>
        <v>ERA-2AEB123X</v>
      </c>
      <c r="E786" s="4">
        <f>IFERROR(__xludf.DUMMYFUNCTION("""COMPUTED_VALUE"""),30.0)</f>
        <v>30</v>
      </c>
      <c r="F786" s="4" t="str">
        <f>IFERROR(__xludf.DUMMYFUNCTION("""COMPUTED_VALUE"""),"DigiKey")</f>
        <v>DigiKey</v>
      </c>
      <c r="G786" s="4" t="str">
        <f>IFERROR(__xludf.DUMMYFUNCTION("""COMPUTED_VALUE"""),"P12KDCDKR-ND")</f>
        <v>P12KDCDKR-ND</v>
      </c>
      <c r="H786" s="4"/>
      <c r="I786" s="4"/>
      <c r="J786" s="4"/>
      <c r="K786" s="4"/>
      <c r="L786" s="4"/>
      <c r="M786" s="4"/>
      <c r="N786" s="9" t="str">
        <f>IFERROR(__xludf.DUMMYFUNCTION("""COMPUTED_VALUE"""),"OEPS070037")</f>
        <v>OEPS070037</v>
      </c>
      <c r="O786" s="4" t="str">
        <f>IFERROR(__xludf.DUMMYFUNCTION("""COMPUTED_VALUE"""),"20.155MH/5-E")</f>
        <v>20.155MH/5-E</v>
      </c>
      <c r="P786" s="4" t="str">
        <f>IFERROR(__xludf.DUMMYFUNCTION("""COMPUTED_VALUE"""),"10 ")</f>
        <v>10 </v>
      </c>
      <c r="Q786" s="4">
        <f>IFERROR(__xludf.DUMMYFUNCTION("""COMPUTED_VALUE"""),10.0)</f>
        <v>10</v>
      </c>
      <c r="R786" s="4">
        <f>IFERROR(__xludf.DUMMYFUNCTION("""COMPUTED_VALUE"""),10.0)</f>
        <v>10</v>
      </c>
      <c r="S786" s="4" t="str">
        <f>IFERROR(__xludf.DUMMYFUNCTION("""COMPUTED_VALUE"""),"Bag")</f>
        <v>Bag</v>
      </c>
      <c r="T786" s="4" t="str">
        <f>IFERROR(__xludf.DUMMYFUNCTION("""COMPUTED_VALUE"""),"XXXX")</f>
        <v>XXXX</v>
      </c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</row>
    <row r="787">
      <c r="A787" s="4" t="str">
        <f>IFERROR(__xludf.DUMMYFUNCTION("""COMPUTED_VALUE"""),"RESISTOR:   SMD 0402 12kΩ ±1% 0.100W   [ERJ-2RKF1202X] [SMD]")</f>
        <v>RESISTOR:   SMD 0402 12kΩ ±1% 0.100W   [ERJ-2RKF1202X] [SMD]</v>
      </c>
      <c r="B787" s="4" t="str">
        <f>IFERROR(__xludf.DUMMYFUNCTION("""COMPUTED_VALUE"""),"OEPS020064")</f>
        <v>OEPS020064</v>
      </c>
      <c r="C787" s="4" t="str">
        <f>IFERROR(__xludf.DUMMYFUNCTION("""COMPUTED_VALUE"""),"SMD")</f>
        <v>SMD</v>
      </c>
      <c r="D787" s="4" t="str">
        <f>IFERROR(__xludf.DUMMYFUNCTION("""COMPUTED_VALUE"""),"ERJ-2RKF1202X")</f>
        <v>ERJ-2RKF1202X</v>
      </c>
      <c r="E787" s="4">
        <f>IFERROR(__xludf.DUMMYFUNCTION("""COMPUTED_VALUE"""),30.0)</f>
        <v>30</v>
      </c>
      <c r="F787" s="4" t="str">
        <f>IFERROR(__xludf.DUMMYFUNCTION("""COMPUTED_VALUE"""),"DigiKey")</f>
        <v>DigiKey</v>
      </c>
      <c r="G787" s="4" t="str">
        <f>IFERROR(__xludf.DUMMYFUNCTION("""COMPUTED_VALUE"""),"P12.0KLDKR-ND")</f>
        <v>P12.0KLDKR-ND</v>
      </c>
      <c r="H787" s="4"/>
      <c r="I787" s="4"/>
      <c r="J787" s="4"/>
      <c r="K787" s="4"/>
      <c r="L787" s="4"/>
      <c r="M787" s="4"/>
      <c r="N787" s="9" t="str">
        <f>IFERROR(__xludf.DUMMYFUNCTION("""COMPUTED_VALUE"""),"OEPS070038")</f>
        <v>OEPS070038</v>
      </c>
      <c r="O787" s="4" t="str">
        <f>IFERROR(__xludf.DUMMYFUNCTION("""COMPUTED_VALUE"""),"20.1550M/5-E")</f>
        <v>20.1550M/5-E</v>
      </c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</row>
    <row r="788">
      <c r="A788" s="4" t="str">
        <f>IFERROR(__xludf.DUMMYFUNCTION("""COMPUTED_VALUE"""),"RESISTOR:   SMD 0402 13.3kΩ ±1% 0.100W   [ERJ-2RKF1332X] [SMD]")</f>
        <v>RESISTOR:   SMD 0402 13.3kΩ ±1% 0.100W   [ERJ-2RKF1332X] [SMD]</v>
      </c>
      <c r="B788" s="4" t="str">
        <f>IFERROR(__xludf.DUMMYFUNCTION("""COMPUTED_VALUE"""),"OEPS020014")</f>
        <v>OEPS020014</v>
      </c>
      <c r="C788" s="4" t="str">
        <f>IFERROR(__xludf.DUMMYFUNCTION("""COMPUTED_VALUE"""),"SMD")</f>
        <v>SMD</v>
      </c>
      <c r="D788" s="4" t="str">
        <f>IFERROR(__xludf.DUMMYFUNCTION("""COMPUTED_VALUE"""),"ERJ-2RKF1332X")</f>
        <v>ERJ-2RKF1332X</v>
      </c>
      <c r="E788" s="4">
        <f>IFERROR(__xludf.DUMMYFUNCTION("""COMPUTED_VALUE"""),30.0)</f>
        <v>30</v>
      </c>
      <c r="F788" s="4" t="str">
        <f>IFERROR(__xludf.DUMMYFUNCTION("""COMPUTED_VALUE"""),"DigiKey")</f>
        <v>DigiKey</v>
      </c>
      <c r="G788" s="4" t="str">
        <f>IFERROR(__xludf.DUMMYFUNCTION("""COMPUTED_VALUE"""),"P13.3KLDKR-ND")</f>
        <v>P13.3KLDKR-ND</v>
      </c>
      <c r="H788" s="4"/>
      <c r="I788" s="4"/>
      <c r="J788" s="4"/>
      <c r="K788" s="4"/>
      <c r="L788" s="4"/>
      <c r="M788" s="4"/>
      <c r="N788" s="9" t="str">
        <f>IFERROR(__xludf.DUMMYFUNCTION("""COMPUTED_VALUE"""),"OEPS070039")</f>
        <v>OEPS070039</v>
      </c>
      <c r="O788" s="4" t="str">
        <f>IFERROR(__xludf.DUMMYFUNCTION("""COMPUTED_VALUE"""),"1-1634010-0")</f>
        <v>1-1634010-0</v>
      </c>
      <c r="P788" s="4" t="str">
        <f>IFERROR(__xludf.DUMMYFUNCTION("""COMPUTED_VALUE"""),"22 ")</f>
        <v>22 </v>
      </c>
      <c r="Q788" s="4">
        <f>IFERROR(__xludf.DUMMYFUNCTION("""COMPUTED_VALUE"""),22.0)</f>
        <v>22</v>
      </c>
      <c r="R788" s="4">
        <f>IFERROR(__xludf.DUMMYFUNCTION("""COMPUTED_VALUE"""),22.0)</f>
        <v>22</v>
      </c>
      <c r="S788" s="4" t="str">
        <f>IFERROR(__xludf.DUMMYFUNCTION("""COMPUTED_VALUE"""),"Bag")</f>
        <v>Bag</v>
      </c>
      <c r="T788" s="4" t="str">
        <f>IFERROR(__xludf.DUMMYFUNCTION("""COMPUTED_VALUE"""),"1122")</f>
        <v>1122</v>
      </c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</row>
    <row r="789">
      <c r="A789" s="4" t="str">
        <f>IFERROR(__xludf.DUMMYFUNCTION("""COMPUTED_VALUE"""),"RESISTOR:   SMD 0402 130Ω ±1% 0.250W   [RCS0402130RFKED] [SMD]")</f>
        <v>RESISTOR:   SMD 0402 130Ω ±1% 0.250W   [RCS0402130RFKED] [SMD]</v>
      </c>
      <c r="B789" s="4" t="str">
        <f>IFERROR(__xludf.DUMMYFUNCTION("""COMPUTED_VALUE"""),"OEPS020029")</f>
        <v>OEPS020029</v>
      </c>
      <c r="C789" s="4" t="str">
        <f>IFERROR(__xludf.DUMMYFUNCTION("""COMPUTED_VALUE"""),"SMD")</f>
        <v>SMD</v>
      </c>
      <c r="D789" s="4" t="str">
        <f>IFERROR(__xludf.DUMMYFUNCTION("""COMPUTED_VALUE"""),"RCS0402130RFKED")</f>
        <v>RCS0402130RFKED</v>
      </c>
      <c r="E789" s="4">
        <f>IFERROR(__xludf.DUMMYFUNCTION("""COMPUTED_VALUE"""),30.0)</f>
        <v>30</v>
      </c>
      <c r="F789" s="4" t="str">
        <f>IFERROR(__xludf.DUMMYFUNCTION("""COMPUTED_VALUE"""),"DigiKey")</f>
        <v>DigiKey</v>
      </c>
      <c r="G789" s="4" t="str">
        <f>IFERROR(__xludf.DUMMYFUNCTION("""COMPUTED_VALUE"""),"541-RCS0402130RFKEDDKR-ND")</f>
        <v>541-RCS0402130RFKEDDKR-ND</v>
      </c>
      <c r="H789" s="4"/>
      <c r="I789" s="4"/>
      <c r="J789" s="4"/>
      <c r="K789" s="4"/>
      <c r="L789" s="4"/>
      <c r="M789" s="4"/>
      <c r="N789" s="9" t="str">
        <f>IFERROR(__xludf.DUMMYFUNCTION("""COMPUTED_VALUE"""),"OEPS070040")</f>
        <v>OEPS070040</v>
      </c>
      <c r="O789" s="4" t="str">
        <f>IFERROR(__xludf.DUMMYFUNCTION("""COMPUTED_VALUE"""),"61201023021")</f>
        <v>61201023021</v>
      </c>
      <c r="P789" s="4" t="str">
        <f>IFERROR(__xludf.DUMMYFUNCTION("""COMPUTED_VALUE"""),"10 ")</f>
        <v>10 </v>
      </c>
      <c r="Q789" s="4">
        <f>IFERROR(__xludf.DUMMYFUNCTION("""COMPUTED_VALUE"""),10.0)</f>
        <v>10</v>
      </c>
      <c r="R789" s="4">
        <f>IFERROR(__xludf.DUMMYFUNCTION("""COMPUTED_VALUE"""),10.0)</f>
        <v>10</v>
      </c>
      <c r="S789" s="4" t="str">
        <f>IFERROR(__xludf.DUMMYFUNCTION("""COMPUTED_VALUE"""),"Box")</f>
        <v>Box</v>
      </c>
      <c r="T789" s="4" t="str">
        <f>IFERROR(__xludf.DUMMYFUNCTION("""COMPUTED_VALUE"""),"1222")</f>
        <v>1222</v>
      </c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</row>
    <row r="790">
      <c r="A790" s="4" t="str">
        <f>IFERROR(__xludf.DUMMYFUNCTION("""COMPUTED_VALUE"""),"RESISTOR:   SMD 0402 14.7kΩ ±0.1% 0.063W   [RT0402BRD0714K7L] [SMD]")</f>
        <v>RESISTOR:   SMD 0402 14.7kΩ ±0.1% 0.063W   [RT0402BRD0714K7L] [SMD]</v>
      </c>
      <c r="B790" s="4" t="str">
        <f>IFERROR(__xludf.DUMMYFUNCTION("""COMPUTED_VALUE"""),"OEPS020047")</f>
        <v>OEPS020047</v>
      </c>
      <c r="C790" s="4" t="str">
        <f>IFERROR(__xludf.DUMMYFUNCTION("""COMPUTED_VALUE"""),"SMD")</f>
        <v>SMD</v>
      </c>
      <c r="D790" s="4" t="str">
        <f>IFERROR(__xludf.DUMMYFUNCTION("""COMPUTED_VALUE"""),"RT0402BRD0714K7L")</f>
        <v>RT0402BRD0714K7L</v>
      </c>
      <c r="E790" s="4">
        <f>IFERROR(__xludf.DUMMYFUNCTION("""COMPUTED_VALUE"""),30.0)</f>
        <v>30</v>
      </c>
      <c r="F790" s="4" t="str">
        <f>IFERROR(__xludf.DUMMYFUNCTION("""COMPUTED_VALUE"""),"DigiKey")</f>
        <v>DigiKey</v>
      </c>
      <c r="G790" s="4" t="str">
        <f>IFERROR(__xludf.DUMMYFUNCTION("""COMPUTED_VALUE"""),"YAG4174DKR-ND")</f>
        <v>YAG4174DKR-ND</v>
      </c>
      <c r="H790" s="4"/>
      <c r="I790" s="4"/>
      <c r="J790" s="4"/>
      <c r="K790" s="4"/>
      <c r="L790" s="4"/>
      <c r="M790" s="4"/>
      <c r="N790" s="9" t="str">
        <f>IFERROR(__xludf.DUMMYFUNCTION("""COMPUTED_VALUE"""),"OEPS070041")</f>
        <v>OEPS070041</v>
      </c>
      <c r="O790" s="4" t="str">
        <f>IFERROR(__xludf.DUMMYFUNCTION("""COMPUTED_VALUE"""),"282834-5")</f>
        <v>282834-5</v>
      </c>
      <c r="P790" s="4" t="str">
        <f>IFERROR(__xludf.DUMMYFUNCTION("""COMPUTED_VALUE"""),"4 ")</f>
        <v>4 </v>
      </c>
      <c r="Q790" s="4">
        <f>IFERROR(__xludf.DUMMYFUNCTION("""COMPUTED_VALUE"""),4.0)</f>
        <v>4</v>
      </c>
      <c r="R790" s="4">
        <f>IFERROR(__xludf.DUMMYFUNCTION("""COMPUTED_VALUE"""),4.0)</f>
        <v>4</v>
      </c>
      <c r="S790" s="4" t="str">
        <f>IFERROR(__xludf.DUMMYFUNCTION("""COMPUTED_VALUE"""),"Bag")</f>
        <v>Bag</v>
      </c>
      <c r="T790" s="4" t="str">
        <f>IFERROR(__xludf.DUMMYFUNCTION("""COMPUTED_VALUE"""),"0725")</f>
        <v>0725</v>
      </c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</row>
    <row r="791">
      <c r="A791" s="4" t="str">
        <f>IFERROR(__xludf.DUMMYFUNCTION("""COMPUTED_VALUE"""),"RESISTOR:   SMD 0402 140kΩ ±1% 0.100W   [ERJ-2RKF1403X] [SMD]")</f>
        <v>RESISTOR:   SMD 0402 140kΩ ±1% 0.100W   [ERJ-2RKF1403X] [SMD]</v>
      </c>
      <c r="B791" s="4" t="str">
        <f>IFERROR(__xludf.DUMMYFUNCTION("""COMPUTED_VALUE"""),"OEPS020062")</f>
        <v>OEPS020062</v>
      </c>
      <c r="C791" s="4" t="str">
        <f>IFERROR(__xludf.DUMMYFUNCTION("""COMPUTED_VALUE"""),"SMD")</f>
        <v>SMD</v>
      </c>
      <c r="D791" s="4" t="str">
        <f>IFERROR(__xludf.DUMMYFUNCTION("""COMPUTED_VALUE"""),"ERJ-2RKF1403X")</f>
        <v>ERJ-2RKF1403X</v>
      </c>
      <c r="E791" s="4">
        <f>IFERROR(__xludf.DUMMYFUNCTION("""COMPUTED_VALUE"""),30.0)</f>
        <v>30</v>
      </c>
      <c r="F791" s="4" t="str">
        <f>IFERROR(__xludf.DUMMYFUNCTION("""COMPUTED_VALUE"""),"DigiKey")</f>
        <v>DigiKey</v>
      </c>
      <c r="G791" s="4" t="str">
        <f>IFERROR(__xludf.DUMMYFUNCTION("""COMPUTED_VALUE"""),"P140KLDKR-ND")</f>
        <v>P140KLDKR-ND</v>
      </c>
      <c r="H791" s="4"/>
      <c r="I791" s="4"/>
      <c r="J791" s="4"/>
      <c r="K791" s="4"/>
      <c r="L791" s="4"/>
      <c r="M791" s="4"/>
      <c r="N791" s="9" t="str">
        <f>IFERROR(__xludf.DUMMYFUNCTION("""COMPUTED_VALUE"""),"OEPS070042")</f>
        <v>OEPS070042</v>
      </c>
      <c r="O791" s="4" t="str">
        <f>IFERROR(__xludf.DUMMYFUNCTION("""COMPUTED_VALUE"""),"20.155MH/6-E")</f>
        <v>20.155MH/6-E</v>
      </c>
      <c r="P791" s="4" t="str">
        <f>IFERROR(__xludf.DUMMYFUNCTION("""COMPUTED_VALUE"""),"60 ")</f>
        <v>60 </v>
      </c>
      <c r="Q791" s="4">
        <f>IFERROR(__xludf.DUMMYFUNCTION("""COMPUTED_VALUE"""),60.0)</f>
        <v>60</v>
      </c>
      <c r="R791" s="4">
        <f>IFERROR(__xludf.DUMMYFUNCTION("""COMPUTED_VALUE"""),60.0)</f>
        <v>60</v>
      </c>
      <c r="S791" s="4" t="str">
        <f>IFERROR(__xludf.DUMMYFUNCTION("""COMPUTED_VALUE"""),"Bag")</f>
        <v>Bag</v>
      </c>
      <c r="T791" s="4" t="str">
        <f>IFERROR(__xludf.DUMMYFUNCTION("""COMPUTED_VALUE"""),"0623")</f>
        <v>0623</v>
      </c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</row>
    <row r="792">
      <c r="A792" s="4" t="str">
        <f>IFERROR(__xludf.DUMMYFUNCTION("""COMPUTED_VALUE"""),"RESISTOR:   SMD 0402 15kΩ ±1% 0.100W   [ERJ-2RKF1502X] [SMD]")</f>
        <v>RESISTOR:   SMD 0402 15kΩ ±1% 0.100W   [ERJ-2RKF1502X] [SMD]</v>
      </c>
      <c r="B792" s="4" t="str">
        <f>IFERROR(__xludf.DUMMYFUNCTION("""COMPUTED_VALUE"""),"OEPS020015")</f>
        <v>OEPS020015</v>
      </c>
      <c r="C792" s="4" t="str">
        <f>IFERROR(__xludf.DUMMYFUNCTION("""COMPUTED_VALUE"""),"SMD")</f>
        <v>SMD</v>
      </c>
      <c r="D792" s="4" t="str">
        <f>IFERROR(__xludf.DUMMYFUNCTION("""COMPUTED_VALUE"""),"ERJ-2RKF1502X")</f>
        <v>ERJ-2RKF1502X</v>
      </c>
      <c r="E792" s="4">
        <f>IFERROR(__xludf.DUMMYFUNCTION("""COMPUTED_VALUE"""),30.0)</f>
        <v>30</v>
      </c>
      <c r="F792" s="4" t="str">
        <f>IFERROR(__xludf.DUMMYFUNCTION("""COMPUTED_VALUE"""),"DigiKey")</f>
        <v>DigiKey</v>
      </c>
      <c r="G792" s="4" t="str">
        <f>IFERROR(__xludf.DUMMYFUNCTION("""COMPUTED_VALUE"""),"P15.0KLDKR-ND")</f>
        <v>P15.0KLDKR-ND</v>
      </c>
      <c r="H792" s="4"/>
      <c r="I792" s="4"/>
      <c r="J792" s="4"/>
      <c r="K792" s="4"/>
      <c r="L792" s="4"/>
      <c r="M792" s="4"/>
      <c r="N792" s="9" t="str">
        <f>IFERROR(__xludf.DUMMYFUNCTION("""COMPUTED_VALUE"""),"OEPS070043")</f>
        <v>OEPS070043</v>
      </c>
      <c r="O792" s="4" t="str">
        <f>IFERROR(__xludf.DUMMYFUNCTION("""COMPUTED_VALUE"""),"20.1550M/6-E")</f>
        <v>20.1550M/6-E</v>
      </c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</row>
    <row r="793">
      <c r="A793" s="4" t="str">
        <f>IFERROR(__xludf.DUMMYFUNCTION("""COMPUTED_VALUE"""),"RESISTOR:   SMD 0402 165kΩ ±1% 0.100W   [ERJ-2RKF1653X] [SMD]")</f>
        <v>RESISTOR:   SMD 0402 165kΩ ±1% 0.100W   [ERJ-2RKF1653X] [SMD]</v>
      </c>
      <c r="B793" s="4" t="str">
        <f>IFERROR(__xludf.DUMMYFUNCTION("""COMPUTED_VALUE"""),"OEPS020020")</f>
        <v>OEPS020020</v>
      </c>
      <c r="C793" s="4" t="str">
        <f>IFERROR(__xludf.DUMMYFUNCTION("""COMPUTED_VALUE"""),"SMD")</f>
        <v>SMD</v>
      </c>
      <c r="D793" s="4" t="str">
        <f>IFERROR(__xludf.DUMMYFUNCTION("""COMPUTED_VALUE"""),"ERJ-2RKF1653X")</f>
        <v>ERJ-2RKF1653X</v>
      </c>
      <c r="E793" s="4">
        <f>IFERROR(__xludf.DUMMYFUNCTION("""COMPUTED_VALUE"""),30.0)</f>
        <v>30</v>
      </c>
      <c r="F793" s="4" t="str">
        <f>IFERROR(__xludf.DUMMYFUNCTION("""COMPUTED_VALUE"""),"DigiKey")</f>
        <v>DigiKey</v>
      </c>
      <c r="G793" s="4" t="str">
        <f>IFERROR(__xludf.DUMMYFUNCTION("""COMPUTED_VALUE"""),"P165KLDKR-ND")</f>
        <v>P165KLDKR-ND</v>
      </c>
      <c r="H793" s="4"/>
      <c r="I793" s="4"/>
      <c r="J793" s="4"/>
      <c r="K793" s="4"/>
      <c r="L793" s="4"/>
      <c r="M793" s="4"/>
      <c r="N793" s="9" t="str">
        <f>IFERROR(__xludf.DUMMYFUNCTION("""COMPUTED_VALUE"""),"OEPS070044")</f>
        <v>OEPS070044</v>
      </c>
      <c r="O793" s="4" t="str">
        <f>IFERROR(__xludf.DUMMYFUNCTION("""COMPUTED_VALUE"""),"UX60-MB-5S8(70)")</f>
        <v>UX60-MB-5S8(70)</v>
      </c>
      <c r="P793" s="4" t="str">
        <f>IFERROR(__xludf.DUMMYFUNCTION("""COMPUTED_VALUE"""),"230(Tp) 200(R) 3(Tp) ")</f>
        <v>230(Tp) 200(R) 3(Tp) </v>
      </c>
      <c r="Q793" s="4">
        <f>IFERROR(__xludf.DUMMYFUNCTION("""COMPUTED_VALUE"""),433.0)</f>
        <v>433</v>
      </c>
      <c r="R793" s="4">
        <f>IFERROR(__xludf.DUMMYFUNCTION("""COMPUTED_VALUE"""),230.0)</f>
        <v>230</v>
      </c>
      <c r="S793" s="4" t="str">
        <f>IFERROR(__xludf.DUMMYFUNCTION("""COMPUTED_VALUE"""),"Tape")</f>
        <v>Tape</v>
      </c>
      <c r="T793" s="4" t="str">
        <f>IFERROR(__xludf.DUMMYFUNCTION("""COMPUTED_VALUE"""),"0224")</f>
        <v>0224</v>
      </c>
      <c r="U793" s="4">
        <f>IFERROR(__xludf.DUMMYFUNCTION("""COMPUTED_VALUE"""),200.0)</f>
        <v>200</v>
      </c>
      <c r="V793" s="4" t="str">
        <f>IFERROR(__xludf.DUMMYFUNCTION("""COMPUTED_VALUE"""),"Reel")</f>
        <v>Reel</v>
      </c>
      <c r="W793" s="4" t="str">
        <f>IFERROR(__xludf.DUMMYFUNCTION("""COMPUTED_VALUE"""),"0325")</f>
        <v>0325</v>
      </c>
      <c r="X793" s="4">
        <f>IFERROR(__xludf.DUMMYFUNCTION("""COMPUTED_VALUE"""),3.0)</f>
        <v>3</v>
      </c>
      <c r="Y793" s="4" t="str">
        <f>IFERROR(__xludf.DUMMYFUNCTION("""COMPUTED_VALUE"""),"Tape")</f>
        <v>Tape</v>
      </c>
      <c r="Z793" s="4" t="str">
        <f>IFERROR(__xludf.DUMMYFUNCTION("""COMPUTED_VALUE"""),"0124")</f>
        <v>0124</v>
      </c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</row>
    <row r="794">
      <c r="A794" s="4" t="str">
        <f>IFERROR(__xludf.DUMMYFUNCTION("""COMPUTED_VALUE"""),"RESISTOR:   SMD 0402 178kΩ ±1% 0.100W   [ERJ-2RKF1783X] [SMD]")</f>
        <v>RESISTOR:   SMD 0402 178kΩ ±1% 0.100W   [ERJ-2RKF1783X] [SMD]</v>
      </c>
      <c r="B794" s="4" t="str">
        <f>IFERROR(__xludf.DUMMYFUNCTION("""COMPUTED_VALUE"""),"OEPS020021")</f>
        <v>OEPS020021</v>
      </c>
      <c r="C794" s="4" t="str">
        <f>IFERROR(__xludf.DUMMYFUNCTION("""COMPUTED_VALUE"""),"SMD")</f>
        <v>SMD</v>
      </c>
      <c r="D794" s="4" t="str">
        <f>IFERROR(__xludf.DUMMYFUNCTION("""COMPUTED_VALUE"""),"ERJ-2RKF1783X")</f>
        <v>ERJ-2RKF1783X</v>
      </c>
      <c r="E794" s="4">
        <f>IFERROR(__xludf.DUMMYFUNCTION("""COMPUTED_VALUE"""),30.0)</f>
        <v>30</v>
      </c>
      <c r="F794" s="4" t="str">
        <f>IFERROR(__xludf.DUMMYFUNCTION("""COMPUTED_VALUE"""),"DigiKey")</f>
        <v>DigiKey</v>
      </c>
      <c r="G794" s="4" t="str">
        <f>IFERROR(__xludf.DUMMYFUNCTION("""COMPUTED_VALUE"""),"P178KLDKR-ND")</f>
        <v>P178KLDKR-ND</v>
      </c>
      <c r="H794" s="4"/>
      <c r="I794" s="4"/>
      <c r="J794" s="4"/>
      <c r="K794" s="4"/>
      <c r="L794" s="4"/>
      <c r="M794" s="4"/>
      <c r="N794" s="9" t="str">
        <f>IFERROR(__xludf.DUMMYFUNCTION("""COMPUTED_VALUE"""),"OEPS070045")</f>
        <v>OEPS070045</v>
      </c>
      <c r="O794" s="4" t="str">
        <f>IFERROR(__xludf.DUMMYFUNCTION("""COMPUTED_VALUE"""),"691322110006")</f>
        <v>691322110006</v>
      </c>
      <c r="P794" s="4" t="str">
        <f>IFERROR(__xludf.DUMMYFUNCTION("""COMPUTED_VALUE"""),"30 ")</f>
        <v>30 </v>
      </c>
      <c r="Q794" s="4">
        <f>IFERROR(__xludf.DUMMYFUNCTION("""COMPUTED_VALUE"""),30.0)</f>
        <v>30</v>
      </c>
      <c r="R794" s="4">
        <f>IFERROR(__xludf.DUMMYFUNCTION("""COMPUTED_VALUE"""),30.0)</f>
        <v>30</v>
      </c>
      <c r="S794" s="4" t="str">
        <f>IFERROR(__xludf.DUMMYFUNCTION("""COMPUTED_VALUE"""),"Bag")</f>
        <v>Bag</v>
      </c>
      <c r="T794" s="4" t="str">
        <f>IFERROR(__xludf.DUMMYFUNCTION("""COMPUTED_VALUE"""),"0423")</f>
        <v>0423</v>
      </c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</row>
    <row r="795">
      <c r="A795" s="4" t="str">
        <f>IFERROR(__xludf.DUMMYFUNCTION("""COMPUTED_VALUE"""),"RESISTOR:   SMD 0402 180Ω ±1% 0.250W   [RCS0402180RFKED] [SMD]")</f>
        <v>RESISTOR:   SMD 0402 180Ω ±1% 0.250W   [RCS0402180RFKED] [SMD]</v>
      </c>
      <c r="B795" s="4" t="str">
        <f>IFERROR(__xludf.DUMMYFUNCTION("""COMPUTED_VALUE"""),"OEPS020033")</f>
        <v>OEPS020033</v>
      </c>
      <c r="C795" s="4" t="str">
        <f>IFERROR(__xludf.DUMMYFUNCTION("""COMPUTED_VALUE"""),"SMD")</f>
        <v>SMD</v>
      </c>
      <c r="D795" s="4" t="str">
        <f>IFERROR(__xludf.DUMMYFUNCTION("""COMPUTED_VALUE"""),"RCS0402180RFKED")</f>
        <v>RCS0402180RFKED</v>
      </c>
      <c r="E795" s="4">
        <f>IFERROR(__xludf.DUMMYFUNCTION("""COMPUTED_VALUE"""),30.0)</f>
        <v>30</v>
      </c>
      <c r="F795" s="4" t="str">
        <f>IFERROR(__xludf.DUMMYFUNCTION("""COMPUTED_VALUE"""),"DigiKey")</f>
        <v>DigiKey</v>
      </c>
      <c r="G795" s="4" t="str">
        <f>IFERROR(__xludf.DUMMYFUNCTION("""COMPUTED_VALUE"""),"541-10391-6-ND")</f>
        <v>541-10391-6-ND</v>
      </c>
      <c r="H795" s="4"/>
      <c r="I795" s="4"/>
      <c r="J795" s="4"/>
      <c r="K795" s="4"/>
      <c r="L795" s="4"/>
      <c r="M795" s="4"/>
      <c r="N795" s="9" t="str">
        <f>IFERROR(__xludf.DUMMYFUNCTION("""COMPUTED_VALUE"""),"OEPS070046")</f>
        <v>OEPS070046</v>
      </c>
      <c r="O795" s="4" t="str">
        <f>IFERROR(__xludf.DUMMYFUNCTION("""COMPUTED_VALUE"""),"1658621-1")</f>
        <v>1658621-1</v>
      </c>
      <c r="P795" s="4" t="str">
        <f>IFERROR(__xludf.DUMMYFUNCTION("""COMPUTED_VALUE"""),"11 5 13 ")</f>
        <v>11 5 13 </v>
      </c>
      <c r="Q795" s="4">
        <f>IFERROR(__xludf.DUMMYFUNCTION("""COMPUTED_VALUE"""),29.0)</f>
        <v>29</v>
      </c>
      <c r="R795" s="4">
        <f>IFERROR(__xludf.DUMMYFUNCTION("""COMPUTED_VALUE"""),11.0)</f>
        <v>11</v>
      </c>
      <c r="S795" s="4" t="str">
        <f>IFERROR(__xludf.DUMMYFUNCTION("""COMPUTED_VALUE"""),"Box")</f>
        <v>Box</v>
      </c>
      <c r="T795" s="4" t="str">
        <f>IFERROR(__xludf.DUMMYFUNCTION("""COMPUTED_VALUE"""),"XXXX")</f>
        <v>XXXX</v>
      </c>
      <c r="U795" s="4">
        <f>IFERROR(__xludf.DUMMYFUNCTION("""COMPUTED_VALUE"""),5.0)</f>
        <v>5</v>
      </c>
      <c r="V795" s="4" t="str">
        <f>IFERROR(__xludf.DUMMYFUNCTION("""COMPUTED_VALUE"""),"Bag")</f>
        <v>Bag</v>
      </c>
      <c r="W795" s="4" t="str">
        <f>IFERROR(__xludf.DUMMYFUNCTION("""COMPUTED_VALUE"""),"0221")</f>
        <v>0221</v>
      </c>
      <c r="X795" s="4">
        <f>IFERROR(__xludf.DUMMYFUNCTION("""COMPUTED_VALUE"""),13.0)</f>
        <v>13</v>
      </c>
      <c r="Y795" s="4" t="str">
        <f>IFERROR(__xludf.DUMMYFUNCTION("""COMPUTED_VALUE"""),"Box")</f>
        <v>Box</v>
      </c>
      <c r="Z795" s="4" t="str">
        <f>IFERROR(__xludf.DUMMYFUNCTION("""COMPUTED_VALUE"""),"0524")</f>
        <v>0524</v>
      </c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</row>
    <row r="796">
      <c r="A796" s="4" t="str">
        <f>IFERROR(__xludf.DUMMYFUNCTION("""COMPUTED_VALUE"""),"RESISTOR:   SMD 0402 19.8kΩ ±0.1% 0.063W   [RN73R1ETTP1982B25] [SMD]")</f>
        <v>RESISTOR:   SMD 0402 19.8kΩ ±0.1% 0.063W   [RN73R1ETTP1982B25] [SMD]</v>
      </c>
      <c r="B796" s="4" t="str">
        <f>IFERROR(__xludf.DUMMYFUNCTION("""COMPUTED_VALUE"""),"OEPS020208")</f>
        <v>OEPS020208</v>
      </c>
      <c r="C796" s="4" t="str">
        <f>IFERROR(__xludf.DUMMYFUNCTION("""COMPUTED_VALUE"""),"SMD")</f>
        <v>SMD</v>
      </c>
      <c r="D796" s="4" t="str">
        <f>IFERROR(__xludf.DUMMYFUNCTION("""COMPUTED_VALUE"""),"RN73R1ETTP1982B25")</f>
        <v>RN73R1ETTP1982B25</v>
      </c>
      <c r="E796" s="4">
        <f>IFERROR(__xludf.DUMMYFUNCTION("""COMPUTED_VALUE"""),30.0)</f>
        <v>30</v>
      </c>
      <c r="F796" s="4" t="str">
        <f>IFERROR(__xludf.DUMMYFUNCTION("""COMPUTED_VALUE"""),"Digikey")</f>
        <v>Digikey</v>
      </c>
      <c r="G796" s="4" t="str">
        <f>IFERROR(__xludf.DUMMYFUNCTION("""COMPUTED_VALUE"""),"2019-RN73R1ETTP1982B25DKR-ND")</f>
        <v>2019-RN73R1ETTP1982B25DKR-ND</v>
      </c>
      <c r="H796" s="4"/>
      <c r="I796" s="4"/>
      <c r="J796" s="4"/>
      <c r="K796" s="4"/>
      <c r="L796" s="4"/>
      <c r="M796" s="4"/>
      <c r="N796" s="9" t="str">
        <f>IFERROR(__xludf.DUMMYFUNCTION("""COMPUTED_VALUE"""),"OEPS070047")</f>
        <v>OEPS070047</v>
      </c>
      <c r="O796" s="4" t="str">
        <f>IFERROR(__xludf.DUMMYFUNCTION("""COMPUTED_VALUE"""),"691361100003")</f>
        <v>691361100003</v>
      </c>
      <c r="P796" s="4" t="str">
        <f>IFERROR(__xludf.DUMMYFUNCTION("""COMPUTED_VALUE"""),"4 5 2(Tp) ")</f>
        <v>4 5 2(Tp) </v>
      </c>
      <c r="Q796" s="4">
        <f>IFERROR(__xludf.DUMMYFUNCTION("""COMPUTED_VALUE"""),11.0)</f>
        <v>11</v>
      </c>
      <c r="R796" s="4">
        <f>IFERROR(__xludf.DUMMYFUNCTION("""COMPUTED_VALUE"""),4.0)</f>
        <v>4</v>
      </c>
      <c r="S796" s="4" t="str">
        <f>IFERROR(__xludf.DUMMYFUNCTION("""COMPUTED_VALUE"""),"Bag")</f>
        <v>Bag</v>
      </c>
      <c r="T796" s="4" t="str">
        <f>IFERROR(__xludf.DUMMYFUNCTION("""COMPUTED_VALUE"""),"0221")</f>
        <v>0221</v>
      </c>
      <c r="U796" s="4">
        <f>IFERROR(__xludf.DUMMYFUNCTION("""COMPUTED_VALUE"""),5.0)</f>
        <v>5</v>
      </c>
      <c r="V796" s="4" t="str">
        <f>IFERROR(__xludf.DUMMYFUNCTION("""COMPUTED_VALUE"""),"Bag")</f>
        <v>Bag</v>
      </c>
      <c r="W796" s="4" t="str">
        <f>IFERROR(__xludf.DUMMYFUNCTION("""COMPUTED_VALUE"""),"1123")</f>
        <v>1123</v>
      </c>
      <c r="X796" s="4">
        <f>IFERROR(__xludf.DUMMYFUNCTION("""COMPUTED_VALUE"""),2.0)</f>
        <v>2</v>
      </c>
      <c r="Y796" s="4" t="str">
        <f>IFERROR(__xludf.DUMMYFUNCTION("""COMPUTED_VALUE"""),"Tape")</f>
        <v>Tape</v>
      </c>
      <c r="Z796" s="4" t="str">
        <f>IFERROR(__xludf.DUMMYFUNCTION("""COMPUTED_VALUE"""),"0924")</f>
        <v>0924</v>
      </c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</row>
    <row r="797">
      <c r="A797" s="4" t="str">
        <f>IFERROR(__xludf.DUMMYFUNCTION("""COMPUTED_VALUE"""),"RESISTOR:   SMD 0402 1kΩ ±0.1% 0.063W   [RG1005P-102-B-T5] [SMD]")</f>
        <v>RESISTOR:   SMD 0402 1kΩ ±0.1% 0.063W   [RG1005P-102-B-T5] [SMD]</v>
      </c>
      <c r="B797" s="4" t="str">
        <f>IFERROR(__xludf.DUMMYFUNCTION("""COMPUTED_VALUE"""),"OEPS020219")</f>
        <v>OEPS020219</v>
      </c>
      <c r="C797" s="4" t="str">
        <f>IFERROR(__xludf.DUMMYFUNCTION("""COMPUTED_VALUE"""),"SMD")</f>
        <v>SMD</v>
      </c>
      <c r="D797" s="4" t="str">
        <f>IFERROR(__xludf.DUMMYFUNCTION("""COMPUTED_VALUE"""),"RG1005P-102-B-T5")</f>
        <v>RG1005P-102-B-T5</v>
      </c>
      <c r="E797" s="4">
        <f>IFERROR(__xludf.DUMMYFUNCTION("""COMPUTED_VALUE"""),30.0)</f>
        <v>30</v>
      </c>
      <c r="F797" s="4" t="str">
        <f>IFERROR(__xludf.DUMMYFUNCTION("""COMPUTED_VALUE"""),"Digikey")</f>
        <v>Digikey</v>
      </c>
      <c r="G797" s="4" t="str">
        <f>IFERROR(__xludf.DUMMYFUNCTION("""COMPUTED_VALUE"""),"RG10P1.0KBDKR-ND")</f>
        <v>RG10P1.0KBDKR-ND</v>
      </c>
      <c r="H797" s="4"/>
      <c r="I797" s="4"/>
      <c r="J797" s="4"/>
      <c r="K797" s="4"/>
      <c r="L797" s="4"/>
      <c r="M797" s="4"/>
      <c r="N797" s="9" t="str">
        <f>IFERROR(__xludf.DUMMYFUNCTION("""COMPUTED_VALUE"""),"OEPS070048")</f>
        <v>OEPS070048</v>
      </c>
      <c r="O797" s="4" t="str">
        <f>IFERROR(__xludf.DUMMYFUNCTION("""COMPUTED_VALUE"""),"SM08B-SURS-TF")</f>
        <v>SM08B-SURS-TF</v>
      </c>
      <c r="P797" s="4" t="str">
        <f>IFERROR(__xludf.DUMMYFUNCTION("""COMPUTED_VALUE"""),"45(Tp) ")</f>
        <v>45(Tp) </v>
      </c>
      <c r="Q797" s="4">
        <f>IFERROR(__xludf.DUMMYFUNCTION("""COMPUTED_VALUE"""),45.0)</f>
        <v>45</v>
      </c>
      <c r="R797" s="4">
        <f>IFERROR(__xludf.DUMMYFUNCTION("""COMPUTED_VALUE"""),45.0)</f>
        <v>45</v>
      </c>
      <c r="S797" s="4" t="str">
        <f>IFERROR(__xludf.DUMMYFUNCTION("""COMPUTED_VALUE"""),"Tape")</f>
        <v>Tape</v>
      </c>
      <c r="T797" s="4" t="str">
        <f>IFERROR(__xludf.DUMMYFUNCTION("""COMPUTED_VALUE"""),"0726")</f>
        <v>0726</v>
      </c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</row>
    <row r="798">
      <c r="A798" s="4" t="str">
        <f>IFERROR(__xludf.DUMMYFUNCTION("""COMPUTED_VALUE"""),"RESISTOR:   SMD 0402 1kΩ ±1% 0.063W   [CRCW04021K00FKED] [SMD]")</f>
        <v>RESISTOR:   SMD 0402 1kΩ ±1% 0.063W   [CRCW04021K00FKED] [SMD]</v>
      </c>
      <c r="B798" s="4" t="str">
        <f>IFERROR(__xludf.DUMMYFUNCTION("""COMPUTED_VALUE"""),"OEPS020027")</f>
        <v>OEPS020027</v>
      </c>
      <c r="C798" s="4" t="str">
        <f>IFERROR(__xludf.DUMMYFUNCTION("""COMPUTED_VALUE"""),"SMD")</f>
        <v>SMD</v>
      </c>
      <c r="D798" s="4" t="str">
        <f>IFERROR(__xludf.DUMMYFUNCTION("""COMPUTED_VALUE"""),"CRCW04021K00FKED")</f>
        <v>CRCW04021K00FKED</v>
      </c>
      <c r="E798" s="4">
        <f>IFERROR(__xludf.DUMMYFUNCTION("""COMPUTED_VALUE"""),30.0)</f>
        <v>30</v>
      </c>
      <c r="F798" s="4" t="str">
        <f>IFERROR(__xludf.DUMMYFUNCTION("""COMPUTED_VALUE"""),"DigiKey")</f>
        <v>DigiKey</v>
      </c>
      <c r="G798" s="4" t="str">
        <f>IFERROR(__xludf.DUMMYFUNCTION("""COMPUTED_VALUE"""),"541-1.00KLDKR-ND")</f>
        <v>541-1.00KLDKR-ND</v>
      </c>
      <c r="H798" s="4"/>
      <c r="I798" s="4"/>
      <c r="J798" s="4"/>
      <c r="K798" s="4"/>
      <c r="L798" s="4"/>
      <c r="M798" s="4"/>
      <c r="N798" s="9" t="str">
        <f>IFERROR(__xludf.DUMMYFUNCTION("""COMPUTED_VALUE"""),"OEPS070049")</f>
        <v>OEPS070049</v>
      </c>
      <c r="O798" s="4" t="str">
        <f>IFERROR(__xludf.DUMMYFUNCTION("""COMPUTED_VALUE"""),"5050700622")</f>
        <v>5050700622</v>
      </c>
      <c r="P798" s="4" t="str">
        <f>IFERROR(__xludf.DUMMYFUNCTION("""COMPUTED_VALUE"""),"5(Tp) 36(Tp) ")</f>
        <v>5(Tp) 36(Tp) </v>
      </c>
      <c r="Q798" s="4">
        <f>IFERROR(__xludf.DUMMYFUNCTION("""COMPUTED_VALUE"""),41.0)</f>
        <v>41</v>
      </c>
      <c r="R798" s="4">
        <f>IFERROR(__xludf.DUMMYFUNCTION("""COMPUTED_VALUE"""),5.0)</f>
        <v>5</v>
      </c>
      <c r="S798" s="4" t="str">
        <f>IFERROR(__xludf.DUMMYFUNCTION("""COMPUTED_VALUE"""),"Tape")</f>
        <v>Tape</v>
      </c>
      <c r="T798" s="4" t="str">
        <f>IFERROR(__xludf.DUMMYFUNCTION("""COMPUTED_VALUE"""),"0225")</f>
        <v>0225</v>
      </c>
      <c r="U798" s="4">
        <f>IFERROR(__xludf.DUMMYFUNCTION("""COMPUTED_VALUE"""),36.0)</f>
        <v>36</v>
      </c>
      <c r="V798" s="4" t="str">
        <f>IFERROR(__xludf.DUMMYFUNCTION("""COMPUTED_VALUE"""),"Tape")</f>
        <v>Tape</v>
      </c>
      <c r="W798" s="4" t="str">
        <f>IFERROR(__xludf.DUMMYFUNCTION("""COMPUTED_VALUE"""),"0325")</f>
        <v>0325</v>
      </c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</row>
    <row r="799">
      <c r="A799" s="4" t="str">
        <f>IFERROR(__xludf.DUMMYFUNCTION("""COMPUTED_VALUE"""),"RESISTOR:   SMD 0402 1kΩ ±1% 0.100W   [ERJ-2RKF1001X] [SMD]")</f>
        <v>RESISTOR:   SMD 0402 1kΩ ±1% 0.100W   [ERJ-2RKF1001X] [SMD]</v>
      </c>
      <c r="B799" s="4" t="str">
        <f>IFERROR(__xludf.DUMMYFUNCTION("""COMPUTED_VALUE"""),"OEPS020006")</f>
        <v>OEPS020006</v>
      </c>
      <c r="C799" s="4" t="str">
        <f>IFERROR(__xludf.DUMMYFUNCTION("""COMPUTED_VALUE"""),"SMD")</f>
        <v>SMD</v>
      </c>
      <c r="D799" s="4" t="str">
        <f>IFERROR(__xludf.DUMMYFUNCTION("""COMPUTED_VALUE"""),"ERJ-2RKF1001X")</f>
        <v>ERJ-2RKF1001X</v>
      </c>
      <c r="E799" s="4">
        <f>IFERROR(__xludf.DUMMYFUNCTION("""COMPUTED_VALUE"""),30.0)</f>
        <v>30</v>
      </c>
      <c r="F799" s="4" t="str">
        <f>IFERROR(__xludf.DUMMYFUNCTION("""COMPUTED_VALUE"""),"DigiKey")</f>
        <v>DigiKey</v>
      </c>
      <c r="G799" s="4" t="str">
        <f>IFERROR(__xludf.DUMMYFUNCTION("""COMPUTED_VALUE"""),"P1.00KLDKR-ND")</f>
        <v>P1.00KLDKR-ND</v>
      </c>
      <c r="H799" s="4"/>
      <c r="I799" s="4"/>
      <c r="J799" s="4"/>
      <c r="K799" s="4"/>
      <c r="L799" s="4"/>
      <c r="M799" s="4"/>
      <c r="N799" s="9" t="str">
        <f>IFERROR(__xludf.DUMMYFUNCTION("""COMPUTED_VALUE"""),"OEPS070050")</f>
        <v>OEPS070050</v>
      </c>
      <c r="O799" s="4" t="str">
        <f>IFERROR(__xludf.DUMMYFUNCTION("""COMPUTED_VALUE"""),"10118192-0001LF")</f>
        <v>10118192-0001LF</v>
      </c>
      <c r="P799" s="4" t="str">
        <f>IFERROR(__xludf.DUMMYFUNCTION("""COMPUTED_VALUE"""),"40(Tp) ")</f>
        <v>40(Tp) </v>
      </c>
      <c r="Q799" s="4">
        <f>IFERROR(__xludf.DUMMYFUNCTION("""COMPUTED_VALUE"""),40.0)</f>
        <v>40</v>
      </c>
      <c r="R799" s="4">
        <f>IFERROR(__xludf.DUMMYFUNCTION("""COMPUTED_VALUE"""),40.0)</f>
        <v>40</v>
      </c>
      <c r="S799" s="4" t="str">
        <f>IFERROR(__xludf.DUMMYFUNCTION("""COMPUTED_VALUE"""),"Tape")</f>
        <v>Tape</v>
      </c>
      <c r="T799" s="4" t="str">
        <f>IFERROR(__xludf.DUMMYFUNCTION("""COMPUTED_VALUE"""),"0723")</f>
        <v>0723</v>
      </c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</row>
    <row r="800">
      <c r="A800" s="4" t="str">
        <f>IFERROR(__xludf.DUMMYFUNCTION("""COMPUTED_VALUE"""),"RESISTOR:   SMD 0402 1MΩ ±1% 0.063W   [CRCW04021M00FKED] [SMD]")</f>
        <v>RESISTOR:   SMD 0402 1MΩ ±1% 0.063W   [CRCW04021M00FKED] [SMD]</v>
      </c>
      <c r="B800" s="4" t="str">
        <f>IFERROR(__xludf.DUMMYFUNCTION("""COMPUTED_VALUE"""),"OEPS020026")</f>
        <v>OEPS020026</v>
      </c>
      <c r="C800" s="4" t="str">
        <f>IFERROR(__xludf.DUMMYFUNCTION("""COMPUTED_VALUE"""),"SMD")</f>
        <v>SMD</v>
      </c>
      <c r="D800" s="4" t="str">
        <f>IFERROR(__xludf.DUMMYFUNCTION("""COMPUTED_VALUE"""),"CRCW04021M00FKED")</f>
        <v>CRCW04021M00FKED</v>
      </c>
      <c r="E800" s="4">
        <f>IFERROR(__xludf.DUMMYFUNCTION("""COMPUTED_VALUE"""),30.0)</f>
        <v>30</v>
      </c>
      <c r="F800" s="4" t="str">
        <f>IFERROR(__xludf.DUMMYFUNCTION("""COMPUTED_VALUE"""),"DigiKey")</f>
        <v>DigiKey</v>
      </c>
      <c r="G800" s="4" t="str">
        <f>IFERROR(__xludf.DUMMYFUNCTION("""COMPUTED_VALUE"""),"541-1.00MLDKR-ND")</f>
        <v>541-1.00MLDKR-ND</v>
      </c>
      <c r="H800" s="4"/>
      <c r="I800" s="4"/>
      <c r="J800" s="4"/>
      <c r="K800" s="4"/>
      <c r="L800" s="4"/>
      <c r="M800" s="4"/>
      <c r="N800" s="9" t="str">
        <f>IFERROR(__xludf.DUMMYFUNCTION("""COMPUTED_VALUE"""),"OEPS070051")</f>
        <v>OEPS070051</v>
      </c>
      <c r="O800" s="4" t="str">
        <f>IFERROR(__xludf.DUMMYFUNCTION("""COMPUTED_VALUE"""),"1-2013496-8")</f>
        <v>1-2013496-8</v>
      </c>
      <c r="P800" s="4" t="str">
        <f>IFERROR(__xludf.DUMMYFUNCTION("""COMPUTED_VALUE"""),"193(Tp) ")</f>
        <v>193(Tp) </v>
      </c>
      <c r="Q800" s="4">
        <f>IFERROR(__xludf.DUMMYFUNCTION("""COMPUTED_VALUE"""),193.0)</f>
        <v>193</v>
      </c>
      <c r="R800" s="4">
        <f>IFERROR(__xludf.DUMMYFUNCTION("""COMPUTED_VALUE"""),193.0)</f>
        <v>193</v>
      </c>
      <c r="S800" s="4" t="str">
        <f>IFERROR(__xludf.DUMMYFUNCTION("""COMPUTED_VALUE"""),"Tape")</f>
        <v>Tape</v>
      </c>
      <c r="T800" s="4" t="str">
        <f>IFERROR(__xludf.DUMMYFUNCTION("""COMPUTED_VALUE"""),"XXXX")</f>
        <v>XXXX</v>
      </c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</row>
    <row r="801">
      <c r="A801" s="4" t="str">
        <f>IFERROR(__xludf.DUMMYFUNCTION("""COMPUTED_VALUE"""),"RESISTOR:   SMD 0402 1Ω ±1% 0.063W   [CRCW04021R00FKEDC] [SMD]")</f>
        <v>RESISTOR:   SMD 0402 1Ω ±1% 0.063W   [CRCW04021R00FKEDC] [SMD]</v>
      </c>
      <c r="B801" s="4" t="str">
        <f>IFERROR(__xludf.DUMMYFUNCTION("""COMPUTED_VALUE"""),"OEPS020061")</f>
        <v>OEPS020061</v>
      </c>
      <c r="C801" s="4" t="str">
        <f>IFERROR(__xludf.DUMMYFUNCTION("""COMPUTED_VALUE"""),"SMD")</f>
        <v>SMD</v>
      </c>
      <c r="D801" s="4" t="str">
        <f>IFERROR(__xludf.DUMMYFUNCTION("""COMPUTED_VALUE"""),"CRCW04021R00FKEDC")</f>
        <v>CRCW04021R00FKEDC</v>
      </c>
      <c r="E801" s="4">
        <f>IFERROR(__xludf.DUMMYFUNCTION("""COMPUTED_VALUE"""),30.0)</f>
        <v>30</v>
      </c>
      <c r="F801" s="4" t="str">
        <f>IFERROR(__xludf.DUMMYFUNCTION("""COMPUTED_VALUE"""),"DigiKey")</f>
        <v>DigiKey</v>
      </c>
      <c r="G801" s="4" t="str">
        <f>IFERROR(__xludf.DUMMYFUNCTION("""COMPUTED_VALUE"""),"541-4003-6-ND")</f>
        <v>541-4003-6-ND</v>
      </c>
      <c r="H801" s="4"/>
      <c r="I801" s="4"/>
      <c r="J801" s="4"/>
      <c r="K801" s="4"/>
      <c r="L801" s="4"/>
      <c r="M801" s="4"/>
      <c r="N801" s="9" t="str">
        <f>IFERROR(__xludf.DUMMYFUNCTION("""COMPUTED_VALUE"""),"OEPS070052")</f>
        <v>OEPS070052</v>
      </c>
      <c r="O801" s="4" t="str">
        <f>IFERROR(__xludf.DUMMYFUNCTION("""COMPUTED_VALUE"""),"X.FL-R-SMT-1(02)")</f>
        <v>X.FL-R-SMT-1(02)</v>
      </c>
      <c r="P801" s="4" t="str">
        <f>IFERROR(__xludf.DUMMYFUNCTION("""COMPUTED_VALUE"""),"25(R) 59(R) 80(R) ")</f>
        <v>25(R) 59(R) 80(R) </v>
      </c>
      <c r="Q801" s="4">
        <f>IFERROR(__xludf.DUMMYFUNCTION("""COMPUTED_VALUE"""),164.0)</f>
        <v>164</v>
      </c>
      <c r="R801" s="4">
        <f>IFERROR(__xludf.DUMMYFUNCTION("""COMPUTED_VALUE"""),25.0)</f>
        <v>25</v>
      </c>
      <c r="S801" s="4" t="str">
        <f>IFERROR(__xludf.DUMMYFUNCTION("""COMPUTED_VALUE"""),"Reel")</f>
        <v>Reel</v>
      </c>
      <c r="T801" s="4" t="str">
        <f>IFERROR(__xludf.DUMMYFUNCTION("""COMPUTED_VALUE"""),"0822")</f>
        <v>0822</v>
      </c>
      <c r="U801" s="4">
        <f>IFERROR(__xludf.DUMMYFUNCTION("""COMPUTED_VALUE"""),59.0)</f>
        <v>59</v>
      </c>
      <c r="V801" s="4" t="str">
        <f>IFERROR(__xludf.DUMMYFUNCTION("""COMPUTED_VALUE"""),"Reel")</f>
        <v>Reel</v>
      </c>
      <c r="W801" s="4" t="str">
        <f>IFERROR(__xludf.DUMMYFUNCTION("""COMPUTED_VALUE"""),"1222")</f>
        <v>1222</v>
      </c>
      <c r="X801" s="4">
        <f>IFERROR(__xludf.DUMMYFUNCTION("""COMPUTED_VALUE"""),80.0)</f>
        <v>80</v>
      </c>
      <c r="Y801" s="4" t="str">
        <f>IFERROR(__xludf.DUMMYFUNCTION("""COMPUTED_VALUE"""),"Reel")</f>
        <v>Reel</v>
      </c>
      <c r="Z801" s="4" t="str">
        <f>IFERROR(__xludf.DUMMYFUNCTION("""COMPUTED_VALUE"""),"0323")</f>
        <v>0323</v>
      </c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</row>
    <row r="802">
      <c r="A802" s="4" t="str">
        <f>IFERROR(__xludf.DUMMYFUNCTION("""COMPUTED_VALUE"""),"RESISTOR:   SMD 0402 1Ω ±1% 0.200W   [CRCW04021R00FKEDHP] [SMD]")</f>
        <v>RESISTOR:   SMD 0402 1Ω ±1% 0.200W   [CRCW04021R00FKEDHP] [SMD]</v>
      </c>
      <c r="B802" s="4" t="str">
        <f>IFERROR(__xludf.DUMMYFUNCTION("""COMPUTED_VALUE"""),"OEPS020224")</f>
        <v>OEPS020224</v>
      </c>
      <c r="C802" s="4" t="str">
        <f>IFERROR(__xludf.DUMMYFUNCTION("""COMPUTED_VALUE"""),"SMD")</f>
        <v>SMD</v>
      </c>
      <c r="D802" s="4" t="str">
        <f>IFERROR(__xludf.DUMMYFUNCTION("""COMPUTED_VALUE"""),"CRCW04021R00FKEDHP")</f>
        <v>CRCW04021R00FKEDHP</v>
      </c>
      <c r="E802" s="4">
        <f>IFERROR(__xludf.DUMMYFUNCTION("""COMPUTED_VALUE"""),30.0)</f>
        <v>30</v>
      </c>
      <c r="F802" s="4" t="str">
        <f>IFERROR(__xludf.DUMMYFUNCTION("""COMPUTED_VALUE"""),"Digikey")</f>
        <v>Digikey</v>
      </c>
      <c r="G802" s="4" t="str">
        <f>IFERROR(__xludf.DUMMYFUNCTION("""COMPUTED_VALUE"""),"541-1.00YDKR-ND")</f>
        <v>541-1.00YDKR-ND</v>
      </c>
      <c r="H802" s="4"/>
      <c r="I802" s="4"/>
      <c r="J802" s="4"/>
      <c r="K802" s="4"/>
      <c r="L802" s="4"/>
      <c r="M802" s="4"/>
      <c r="N802" s="9" t="str">
        <f>IFERROR(__xludf.DUMMYFUNCTION("""COMPUTED_VALUE"""),"OEPS070053")</f>
        <v>OEPS070053</v>
      </c>
      <c r="O802" s="4" t="str">
        <f>IFERROR(__xludf.DUMMYFUNCTION("""COMPUTED_VALUE"""),"37204-62A3-004PL")</f>
        <v>37204-62A3-004PL</v>
      </c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</row>
    <row r="803">
      <c r="A803" s="4" t="str">
        <f>IFERROR(__xludf.DUMMYFUNCTION("""COMPUTED_VALUE"""),"RESISTOR:   SMD 0402 2.2kΩ ±1% 0.100W   [ERJ-2RKF2201X] [SMD]")</f>
        <v>RESISTOR:   SMD 0402 2.2kΩ ±1% 0.100W   [ERJ-2RKF2201X] [SMD]</v>
      </c>
      <c r="B803" s="4" t="str">
        <f>IFERROR(__xludf.DUMMYFUNCTION("""COMPUTED_VALUE"""),"OEPS020174")</f>
        <v>OEPS020174</v>
      </c>
      <c r="C803" s="4" t="str">
        <f>IFERROR(__xludf.DUMMYFUNCTION("""COMPUTED_VALUE"""),"SMD")</f>
        <v>SMD</v>
      </c>
      <c r="D803" s="4" t="str">
        <f>IFERROR(__xludf.DUMMYFUNCTION("""COMPUTED_VALUE"""),"ERJ-2RKF2201X")</f>
        <v>ERJ-2RKF2201X</v>
      </c>
      <c r="E803" s="4">
        <f>IFERROR(__xludf.DUMMYFUNCTION("""COMPUTED_VALUE"""),30.0)</f>
        <v>30</v>
      </c>
      <c r="F803" s="4" t="str">
        <f>IFERROR(__xludf.DUMMYFUNCTION("""COMPUTED_VALUE"""),"Digikey")</f>
        <v>Digikey</v>
      </c>
      <c r="G803" s="4" t="str">
        <f>IFERROR(__xludf.DUMMYFUNCTION("""COMPUTED_VALUE"""),"P2.20KLDKR-ND")</f>
        <v>P2.20KLDKR-ND</v>
      </c>
      <c r="H803" s="4"/>
      <c r="I803" s="4"/>
      <c r="J803" s="4"/>
      <c r="K803" s="4"/>
      <c r="L803" s="4"/>
      <c r="M803" s="4"/>
      <c r="N803" s="9" t="str">
        <f>IFERROR(__xludf.DUMMYFUNCTION("""COMPUTED_VALUE"""),"OEPS070054")</f>
        <v>OEPS070054</v>
      </c>
      <c r="O803" s="4" t="str">
        <f>IFERROR(__xludf.DUMMYFUNCTION("""COMPUTED_VALUE"""),"37212-62M3-003PL")</f>
        <v>37212-62M3-003PL</v>
      </c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</row>
    <row r="804">
      <c r="A804" s="4" t="str">
        <f>IFERROR(__xludf.DUMMYFUNCTION("""COMPUTED_VALUE"""),"RESISTOR:   SMD 0402 2.4kΩ ±1% 0.100W   [ERJ-2RKF2401X] [SMD]")</f>
        <v>RESISTOR:   SMD 0402 2.4kΩ ±1% 0.100W   [ERJ-2RKF2401X] [SMD]</v>
      </c>
      <c r="B804" s="4" t="str">
        <f>IFERROR(__xludf.DUMMYFUNCTION("""COMPUTED_VALUE"""),"OEPS020089")</f>
        <v>OEPS020089</v>
      </c>
      <c r="C804" s="4" t="str">
        <f>IFERROR(__xludf.DUMMYFUNCTION("""COMPUTED_VALUE"""),"SMD")</f>
        <v>SMD</v>
      </c>
      <c r="D804" s="4" t="str">
        <f>IFERROR(__xludf.DUMMYFUNCTION("""COMPUTED_VALUE"""),"ERJ-2RKF2401X")</f>
        <v>ERJ-2RKF2401X</v>
      </c>
      <c r="E804" s="4">
        <f>IFERROR(__xludf.DUMMYFUNCTION("""COMPUTED_VALUE"""),30.0)</f>
        <v>30</v>
      </c>
      <c r="F804" s="4" t="str">
        <f>IFERROR(__xludf.DUMMYFUNCTION("""COMPUTED_VALUE"""),"DigiKey")</f>
        <v>DigiKey</v>
      </c>
      <c r="G804" s="4" t="str">
        <f>IFERROR(__xludf.DUMMYFUNCTION("""COMPUTED_VALUE"""),"P2.40KLDKR-ND")</f>
        <v>P2.40KLDKR-ND</v>
      </c>
      <c r="H804" s="4"/>
      <c r="I804" s="4"/>
      <c r="J804" s="4"/>
      <c r="K804" s="4"/>
      <c r="L804" s="4"/>
      <c r="M804" s="4"/>
      <c r="N804" s="9" t="str">
        <f>IFERROR(__xludf.DUMMYFUNCTION("""COMPUTED_VALUE"""),"OEPS070055")</f>
        <v>OEPS070055</v>
      </c>
      <c r="O804" s="4" t="str">
        <f>IFERROR(__xludf.DUMMYFUNCTION("""COMPUTED_VALUE"""),"37104-2165-000 FL 100")</f>
        <v>37104-2165-000 FL 100</v>
      </c>
      <c r="P804" s="4" t="str">
        <f>IFERROR(__xludf.DUMMYFUNCTION("""COMPUTED_VALUE"""),"14 ")</f>
        <v>14 </v>
      </c>
      <c r="Q804" s="4">
        <f>IFERROR(__xludf.DUMMYFUNCTION("""COMPUTED_VALUE"""),14.0)</f>
        <v>14</v>
      </c>
      <c r="R804" s="4">
        <f>IFERROR(__xludf.DUMMYFUNCTION("""COMPUTED_VALUE"""),14.0)</f>
        <v>14</v>
      </c>
      <c r="S804" s="4" t="str">
        <f>IFERROR(__xludf.DUMMYFUNCTION("""COMPUTED_VALUE"""),"Bag")</f>
        <v>Bag</v>
      </c>
      <c r="T804" s="4" t="str">
        <f>IFERROR(__xludf.DUMMYFUNCTION("""COMPUTED_VALUE"""),"0923")</f>
        <v>0923</v>
      </c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</row>
    <row r="805">
      <c r="A805" s="4" t="str">
        <f>IFERROR(__xludf.DUMMYFUNCTION("""COMPUTED_VALUE"""),"RESISTOR:   SMD 0402 2.7kΩ ±1% 0.100W   [ERJ-2RKF2701X] [SMD]")</f>
        <v>RESISTOR:   SMD 0402 2.7kΩ ±1% 0.100W   [ERJ-2RKF2701X] [SMD]</v>
      </c>
      <c r="B805" s="4" t="str">
        <f>IFERROR(__xludf.DUMMYFUNCTION("""COMPUTED_VALUE"""),"OEPS020063")</f>
        <v>OEPS020063</v>
      </c>
      <c r="C805" s="4" t="str">
        <f>IFERROR(__xludf.DUMMYFUNCTION("""COMPUTED_VALUE"""),"SMD")</f>
        <v>SMD</v>
      </c>
      <c r="D805" s="4" t="str">
        <f>IFERROR(__xludf.DUMMYFUNCTION("""COMPUTED_VALUE"""),"ERJ-2RKF2701X")</f>
        <v>ERJ-2RKF2701X</v>
      </c>
      <c r="E805" s="4">
        <f>IFERROR(__xludf.DUMMYFUNCTION("""COMPUTED_VALUE"""),30.0)</f>
        <v>30</v>
      </c>
      <c r="F805" s="4" t="str">
        <f>IFERROR(__xludf.DUMMYFUNCTION("""COMPUTED_VALUE"""),"DigiKey")</f>
        <v>DigiKey</v>
      </c>
      <c r="G805" s="4" t="str">
        <f>IFERROR(__xludf.DUMMYFUNCTION("""COMPUTED_VALUE"""),"P2.70KLDKR-ND")</f>
        <v>P2.70KLDKR-ND</v>
      </c>
      <c r="H805" s="4"/>
      <c r="I805" s="4"/>
      <c r="J805" s="4"/>
      <c r="K805" s="4"/>
      <c r="L805" s="4"/>
      <c r="M805" s="4"/>
      <c r="N805" s="9" t="str">
        <f>IFERROR(__xludf.DUMMYFUNCTION("""COMPUTED_VALUE"""),"OEPS070056")</f>
        <v>OEPS070056</v>
      </c>
      <c r="O805" s="4" t="str">
        <f>IFERROR(__xludf.DUMMYFUNCTION("""COMPUTED_VALUE"""),"37103-2165-000 FL 100")</f>
        <v>37103-2165-000 FL 100</v>
      </c>
      <c r="P805" s="4" t="str">
        <f>IFERROR(__xludf.DUMMYFUNCTION("""COMPUTED_VALUE"""),"18 ")</f>
        <v>18 </v>
      </c>
      <c r="Q805" s="4">
        <f>IFERROR(__xludf.DUMMYFUNCTION("""COMPUTED_VALUE"""),18.0)</f>
        <v>18</v>
      </c>
      <c r="R805" s="4">
        <f>IFERROR(__xludf.DUMMYFUNCTION("""COMPUTED_VALUE"""),18.0)</f>
        <v>18</v>
      </c>
      <c r="S805" s="4" t="str">
        <f>IFERROR(__xludf.DUMMYFUNCTION("""COMPUTED_VALUE"""),"Bag")</f>
        <v>Bag</v>
      </c>
      <c r="T805" s="4" t="str">
        <f>IFERROR(__xludf.DUMMYFUNCTION("""COMPUTED_VALUE"""),"0923")</f>
        <v>0923</v>
      </c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</row>
    <row r="806">
      <c r="A806" s="4" t="str">
        <f>IFERROR(__xludf.DUMMYFUNCTION("""COMPUTED_VALUE"""),"RESISTOR:   SMD 0402 200Ω ±0.1% 0.063W   [ERA-2AEB201X] [SMD]")</f>
        <v>RESISTOR:   SMD 0402 200Ω ±0.1% 0.063W   [ERA-2AEB201X] [SMD]</v>
      </c>
      <c r="B806" s="4" t="str">
        <f>IFERROR(__xludf.DUMMYFUNCTION("""COMPUTED_VALUE"""),"OEPS020171")</f>
        <v>OEPS020171</v>
      </c>
      <c r="C806" s="4" t="str">
        <f>IFERROR(__xludf.DUMMYFUNCTION("""COMPUTED_VALUE"""),"SMD")</f>
        <v>SMD</v>
      </c>
      <c r="D806" s="4" t="str">
        <f>IFERROR(__xludf.DUMMYFUNCTION("""COMPUTED_VALUE"""),"ERA-2AEB201X")</f>
        <v>ERA-2AEB201X</v>
      </c>
      <c r="E806" s="4">
        <f>IFERROR(__xludf.DUMMYFUNCTION("""COMPUTED_VALUE"""),30.0)</f>
        <v>30</v>
      </c>
      <c r="F806" s="4" t="str">
        <f>IFERROR(__xludf.DUMMYFUNCTION("""COMPUTED_VALUE"""),"Digikey")</f>
        <v>Digikey</v>
      </c>
      <c r="G806" s="4" t="str">
        <f>IFERROR(__xludf.DUMMYFUNCTION("""COMPUTED_VALUE"""),"P200DCDKR-ND")</f>
        <v>P200DCDKR-ND</v>
      </c>
      <c r="H806" s="4"/>
      <c r="I806" s="4"/>
      <c r="J806" s="4"/>
      <c r="K806" s="4"/>
      <c r="L806" s="4"/>
      <c r="M806" s="4"/>
      <c r="N806" s="9" t="str">
        <f>IFERROR(__xludf.DUMMYFUNCTION("""COMPUTED_VALUE"""),"OEPS070057")</f>
        <v>OEPS070057</v>
      </c>
      <c r="O806" s="4" t="str">
        <f>IFERROR(__xludf.DUMMYFUNCTION("""COMPUTED_VALUE"""),"20.155MH/2-E")</f>
        <v>20.155MH/2-E</v>
      </c>
      <c r="P806" s="4" t="str">
        <f>IFERROR(__xludf.DUMMYFUNCTION("""COMPUTED_VALUE"""),"6 ")</f>
        <v>6 </v>
      </c>
      <c r="Q806" s="4">
        <f>IFERROR(__xludf.DUMMYFUNCTION("""COMPUTED_VALUE"""),6.0)</f>
        <v>6</v>
      </c>
      <c r="R806" s="4"/>
      <c r="S806" s="4"/>
      <c r="T806" s="4"/>
      <c r="U806" s="4"/>
      <c r="V806" s="4"/>
      <c r="W806" s="4"/>
      <c r="X806" s="4">
        <f>IFERROR(__xludf.DUMMYFUNCTION("""COMPUTED_VALUE"""),6.0)</f>
        <v>6</v>
      </c>
      <c r="Y806" s="4" t="str">
        <f>IFERROR(__xludf.DUMMYFUNCTION("""COMPUTED_VALUE"""),"Bag")</f>
        <v>Bag</v>
      </c>
      <c r="Z806" s="4" t="str">
        <f>IFERROR(__xludf.DUMMYFUNCTION("""COMPUTED_VALUE"""),"XXXX")</f>
        <v>XXXX</v>
      </c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</row>
    <row r="807">
      <c r="A807" s="4" t="str">
        <f>IFERROR(__xludf.DUMMYFUNCTION("""COMPUTED_VALUE"""),"RESISTOR:   SMD 0402 21kΩ ±1% 0.100W   [ERJ-2RKF2102X] [SMD]")</f>
        <v>RESISTOR:   SMD 0402 21kΩ ±1% 0.100W   [ERJ-2RKF2102X] [SMD]</v>
      </c>
      <c r="B807" s="4" t="str">
        <f>IFERROR(__xludf.DUMMYFUNCTION("""COMPUTED_VALUE"""),"OEPS020016")</f>
        <v>OEPS020016</v>
      </c>
      <c r="C807" s="4" t="str">
        <f>IFERROR(__xludf.DUMMYFUNCTION("""COMPUTED_VALUE"""),"SMD")</f>
        <v>SMD</v>
      </c>
      <c r="D807" s="4" t="str">
        <f>IFERROR(__xludf.DUMMYFUNCTION("""COMPUTED_VALUE"""),"ERJ-2RKF2102X")</f>
        <v>ERJ-2RKF2102X</v>
      </c>
      <c r="E807" s="4">
        <f>IFERROR(__xludf.DUMMYFUNCTION("""COMPUTED_VALUE"""),30.0)</f>
        <v>30</v>
      </c>
      <c r="F807" s="4" t="str">
        <f>IFERROR(__xludf.DUMMYFUNCTION("""COMPUTED_VALUE"""),"DigiKey")</f>
        <v>DigiKey</v>
      </c>
      <c r="G807" s="4" t="str">
        <f>IFERROR(__xludf.DUMMYFUNCTION("""COMPUTED_VALUE"""),"P21.0KLDKR-ND")</f>
        <v>P21.0KLDKR-ND</v>
      </c>
      <c r="H807" s="4"/>
      <c r="I807" s="4"/>
      <c r="J807" s="4"/>
      <c r="K807" s="4"/>
      <c r="L807" s="4"/>
      <c r="M807" s="4"/>
      <c r="N807" s="9" t="str">
        <f>IFERROR(__xludf.DUMMYFUNCTION("""COMPUTED_VALUE"""),"OEPS070058")</f>
        <v>OEPS070058</v>
      </c>
      <c r="O807" s="4" t="str">
        <f>IFERROR(__xludf.DUMMYFUNCTION("""COMPUTED_VALUE"""),"20.155MH/4-E")</f>
        <v>20.155MH/4-E</v>
      </c>
      <c r="P807" s="4" t="str">
        <f>IFERROR(__xludf.DUMMYFUNCTION("""COMPUTED_VALUE"""),"1 2 6 ")</f>
        <v>1 2 6 </v>
      </c>
      <c r="Q807" s="4">
        <f>IFERROR(__xludf.DUMMYFUNCTION("""COMPUTED_VALUE"""),9.0)</f>
        <v>9</v>
      </c>
      <c r="R807" s="4">
        <f>IFERROR(__xludf.DUMMYFUNCTION("""COMPUTED_VALUE"""),1.0)</f>
        <v>1</v>
      </c>
      <c r="S807" s="4" t="str">
        <f>IFERROR(__xludf.DUMMYFUNCTION("""COMPUTED_VALUE"""),"Bag")</f>
        <v>Bag</v>
      </c>
      <c r="T807" s="4" t="str">
        <f>IFERROR(__xludf.DUMMYFUNCTION("""COMPUTED_VALUE"""),"XXXX")</f>
        <v>XXXX</v>
      </c>
      <c r="U807" s="4">
        <f>IFERROR(__xludf.DUMMYFUNCTION("""COMPUTED_VALUE"""),2.0)</f>
        <v>2</v>
      </c>
      <c r="V807" s="4" t="str">
        <f>IFERROR(__xludf.DUMMYFUNCTION("""COMPUTED_VALUE"""),"Bag")</f>
        <v>Bag</v>
      </c>
      <c r="W807" s="4" t="str">
        <f>IFERROR(__xludf.DUMMYFUNCTION("""COMPUTED_VALUE"""),"XXXX")</f>
        <v>XXXX</v>
      </c>
      <c r="X807" s="4">
        <f>IFERROR(__xludf.DUMMYFUNCTION("""COMPUTED_VALUE"""),6.0)</f>
        <v>6</v>
      </c>
      <c r="Y807" s="4" t="str">
        <f>IFERROR(__xludf.DUMMYFUNCTION("""COMPUTED_VALUE"""),"Bag")</f>
        <v>Bag</v>
      </c>
      <c r="Z807" s="4" t="str">
        <f>IFERROR(__xludf.DUMMYFUNCTION("""COMPUTED_VALUE"""),"XXXX")</f>
        <v>XXXX</v>
      </c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</row>
    <row r="808">
      <c r="A808" s="4" t="str">
        <f>IFERROR(__xludf.DUMMYFUNCTION("""COMPUTED_VALUE"""),"RESISTOR:   SMD 0402 22kΩ ±0.1% 0.063W   [ERA-2AEB223X] [SMD]")</f>
        <v>RESISTOR:   SMD 0402 22kΩ ±0.1% 0.063W   [ERA-2AEB223X] [SMD]</v>
      </c>
      <c r="B808" s="4" t="str">
        <f>IFERROR(__xludf.DUMMYFUNCTION("""COMPUTED_VALUE"""),"OEPS020212")</f>
        <v>OEPS020212</v>
      </c>
      <c r="C808" s="4" t="str">
        <f>IFERROR(__xludf.DUMMYFUNCTION("""COMPUTED_VALUE"""),"SMD")</f>
        <v>SMD</v>
      </c>
      <c r="D808" s="4" t="str">
        <f>IFERROR(__xludf.DUMMYFUNCTION("""COMPUTED_VALUE"""),"ERA-2AEB223X")</f>
        <v>ERA-2AEB223X</v>
      </c>
      <c r="E808" s="4">
        <f>IFERROR(__xludf.DUMMYFUNCTION("""COMPUTED_VALUE"""),30.0)</f>
        <v>30</v>
      </c>
      <c r="F808" s="4" t="str">
        <f>IFERROR(__xludf.DUMMYFUNCTION("""COMPUTED_VALUE"""),"Digikey")</f>
        <v>Digikey</v>
      </c>
      <c r="G808" s="4" t="str">
        <f>IFERROR(__xludf.DUMMYFUNCTION("""COMPUTED_VALUE"""),"P22KDCDKR-ND")</f>
        <v>P22KDCDKR-ND</v>
      </c>
      <c r="H808" s="4"/>
      <c r="I808" s="4"/>
      <c r="J808" s="4"/>
      <c r="K808" s="4"/>
      <c r="L808" s="4"/>
      <c r="M808" s="4"/>
      <c r="N808" s="9" t="str">
        <f>IFERROR(__xludf.DUMMYFUNCTION("""COMPUTED_VALUE"""),"OEPS070059")</f>
        <v>OEPS070059</v>
      </c>
      <c r="O808" s="4" t="str">
        <f>IFERROR(__xludf.DUMMYFUNCTION("""COMPUTED_VALUE"""),"20.1550M/2-E")</f>
        <v>20.1550M/2-E</v>
      </c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</row>
    <row r="809">
      <c r="A809" s="4" t="str">
        <f>IFERROR(__xludf.DUMMYFUNCTION("""COMPUTED_VALUE"""),"RESISTOR:   SMD 0402 240Ω ±1% 0.250W   [RCS0402240RFKED] [SMD]")</f>
        <v>RESISTOR:   SMD 0402 240Ω ±1% 0.250W   [RCS0402240RFKED] [SMD]</v>
      </c>
      <c r="B809" s="4" t="str">
        <f>IFERROR(__xludf.DUMMYFUNCTION("""COMPUTED_VALUE"""),"OEPS020031")</f>
        <v>OEPS020031</v>
      </c>
      <c r="C809" s="4" t="str">
        <f>IFERROR(__xludf.DUMMYFUNCTION("""COMPUTED_VALUE"""),"SMD")</f>
        <v>SMD</v>
      </c>
      <c r="D809" s="4" t="str">
        <f>IFERROR(__xludf.DUMMYFUNCTION("""COMPUTED_VALUE"""),"RCS0402240RFKED")</f>
        <v>RCS0402240RFKED</v>
      </c>
      <c r="E809" s="4">
        <f>IFERROR(__xludf.DUMMYFUNCTION("""COMPUTED_VALUE"""),30.0)</f>
        <v>30</v>
      </c>
      <c r="F809" s="4" t="str">
        <f>IFERROR(__xludf.DUMMYFUNCTION("""COMPUTED_VALUE"""),"DigiKey")</f>
        <v>DigiKey</v>
      </c>
      <c r="G809" s="4" t="str">
        <f>IFERROR(__xludf.DUMMYFUNCTION("""COMPUTED_VALUE"""),"541-RCS0402240RFKEDDKR-ND")</f>
        <v>541-RCS0402240RFKEDDKR-ND</v>
      </c>
      <c r="H809" s="4"/>
      <c r="I809" s="4"/>
      <c r="J809" s="4"/>
      <c r="K809" s="4"/>
      <c r="L809" s="4"/>
      <c r="M809" s="4"/>
      <c r="N809" s="9" t="str">
        <f>IFERROR(__xludf.DUMMYFUNCTION("""COMPUTED_VALUE"""),"OEPS070060")</f>
        <v>OEPS070060</v>
      </c>
      <c r="O809" s="4" t="str">
        <f>IFERROR(__xludf.DUMMYFUNCTION("""COMPUTED_VALUE"""),"20.1550M/4-E")</f>
        <v>20.1550M/4-E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</row>
    <row r="810">
      <c r="A810" s="4" t="str">
        <f>IFERROR(__xludf.DUMMYFUNCTION("""COMPUTED_VALUE"""),"RESISTOR:   SMD 0402 249kΩ ±1% 0.063W   [RMCF0402FT249K] [SMD]")</f>
        <v>RESISTOR:   SMD 0402 249kΩ ±1% 0.063W   [RMCF0402FT249K] [SMD]</v>
      </c>
      <c r="B810" s="4" t="str">
        <f>IFERROR(__xludf.DUMMYFUNCTION("""COMPUTED_VALUE"""),"OEPS020209")</f>
        <v>OEPS020209</v>
      </c>
      <c r="C810" s="4" t="str">
        <f>IFERROR(__xludf.DUMMYFUNCTION("""COMPUTED_VALUE"""),"SMD")</f>
        <v>SMD</v>
      </c>
      <c r="D810" s="4" t="str">
        <f>IFERROR(__xludf.DUMMYFUNCTION("""COMPUTED_VALUE"""),"RMCF0402FT249K")</f>
        <v>RMCF0402FT249K</v>
      </c>
      <c r="E810" s="4">
        <f>IFERROR(__xludf.DUMMYFUNCTION("""COMPUTED_VALUE"""),30.0)</f>
        <v>30</v>
      </c>
      <c r="F810" s="4" t="str">
        <f>IFERROR(__xludf.DUMMYFUNCTION("""COMPUTED_VALUE"""),"Digikey")</f>
        <v>Digikey</v>
      </c>
      <c r="G810" s="4" t="str">
        <f>IFERROR(__xludf.DUMMYFUNCTION("""COMPUTED_VALUE"""),"RMCF0402FT249KDKR-ND")</f>
        <v>RMCF0402FT249KDKR-ND</v>
      </c>
      <c r="H810" s="4"/>
      <c r="I810" s="4"/>
      <c r="J810" s="4"/>
      <c r="K810" s="4"/>
      <c r="L810" s="4"/>
      <c r="M810" s="4"/>
      <c r="N810" s="9" t="str">
        <f>IFERROR(__xludf.DUMMYFUNCTION("""COMPUTED_VALUE"""),"OEPS070062")</f>
        <v>OEPS070062</v>
      </c>
      <c r="O810" s="4" t="str">
        <f>IFERROR(__xludf.DUMMYFUNCTION("""COMPUTED_VALUE"""),"ZX62D-B-5P8(30)")</f>
        <v>ZX62D-B-5P8(30)</v>
      </c>
      <c r="P810" s="4" t="str">
        <f>IFERROR(__xludf.DUMMYFUNCTION("""COMPUTED_VALUE"""),"10(R) 2000(R) ")</f>
        <v>10(R) 2000(R) </v>
      </c>
      <c r="Q810" s="4">
        <f>IFERROR(__xludf.DUMMYFUNCTION("""COMPUTED_VALUE"""),2010.0)</f>
        <v>2010</v>
      </c>
      <c r="R810" s="4">
        <f>IFERROR(__xludf.DUMMYFUNCTION("""COMPUTED_VALUE"""),10.0)</f>
        <v>10</v>
      </c>
      <c r="S810" s="4" t="str">
        <f>IFERROR(__xludf.DUMMYFUNCTION("""COMPUTED_VALUE"""),"Reel")</f>
        <v>Reel</v>
      </c>
      <c r="T810" s="4" t="str">
        <f>IFERROR(__xludf.DUMMYFUNCTION("""COMPUTED_VALUE"""),"1222")</f>
        <v>1222</v>
      </c>
      <c r="U810" s="4">
        <f>IFERROR(__xludf.DUMMYFUNCTION("""COMPUTED_VALUE"""),2000.0)</f>
        <v>2000</v>
      </c>
      <c r="V810" s="4" t="str">
        <f>IFERROR(__xludf.DUMMYFUNCTION("""COMPUTED_VALUE"""),"Reel")</f>
        <v>Reel</v>
      </c>
      <c r="W810" s="4" t="str">
        <f>IFERROR(__xludf.DUMMYFUNCTION("""COMPUTED_VALUE"""),"XXXX")</f>
        <v>XXXX</v>
      </c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</row>
    <row r="811">
      <c r="A811" s="4" t="str">
        <f>IFERROR(__xludf.DUMMYFUNCTION("""COMPUTED_VALUE"""),"RESISTOR:   SMD 0402 24kΩ ±1% 0.100W   [ERJ-2RKF2402X] [SMD]")</f>
        <v>RESISTOR:   SMD 0402 24kΩ ±1% 0.100W   [ERJ-2RKF2402X] [SMD]</v>
      </c>
      <c r="B811" s="4" t="str">
        <f>IFERROR(__xludf.DUMMYFUNCTION("""COMPUTED_VALUE"""),"OEPS020048")</f>
        <v>OEPS020048</v>
      </c>
      <c r="C811" s="4" t="str">
        <f>IFERROR(__xludf.DUMMYFUNCTION("""COMPUTED_VALUE"""),"SMD")</f>
        <v>SMD</v>
      </c>
      <c r="D811" s="4" t="str">
        <f>IFERROR(__xludf.DUMMYFUNCTION("""COMPUTED_VALUE"""),"ERJ-2RKF2402X")</f>
        <v>ERJ-2RKF2402X</v>
      </c>
      <c r="E811" s="4">
        <f>IFERROR(__xludf.DUMMYFUNCTION("""COMPUTED_VALUE"""),30.0)</f>
        <v>30</v>
      </c>
      <c r="F811" s="4" t="str">
        <f>IFERROR(__xludf.DUMMYFUNCTION("""COMPUTED_VALUE"""),"DigiKey")</f>
        <v>DigiKey</v>
      </c>
      <c r="G811" s="4" t="str">
        <f>IFERROR(__xludf.DUMMYFUNCTION("""COMPUTED_VALUE"""),"P24.0KLDKR-ND")</f>
        <v>P24.0KLDKR-ND</v>
      </c>
      <c r="H811" s="4"/>
      <c r="I811" s="4"/>
      <c r="J811" s="4"/>
      <c r="K811" s="4"/>
      <c r="L811" s="4"/>
      <c r="M811" s="4"/>
      <c r="N811" s="9" t="str">
        <f>IFERROR(__xludf.DUMMYFUNCTION("""COMPUTED_VALUE"""),"OEPS070063")</f>
        <v>OEPS070063</v>
      </c>
      <c r="O811" s="4" t="str">
        <f>IFERROR(__xludf.DUMMYFUNCTION("""COMPUTED_VALUE"""),"U.FL-R-SMT-1(10)")</f>
        <v>U.FL-R-SMT-1(10)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</row>
    <row r="812">
      <c r="A812" s="4" t="str">
        <f>IFERROR(__xludf.DUMMYFUNCTION("""COMPUTED_VALUE"""),"RESISTOR:   SMD 0402 270Ω ±1% 0.063W   [CRCW0402270RFKEDC] [SMD]")</f>
        <v>RESISTOR:   SMD 0402 270Ω ±1% 0.063W   [CRCW0402270RFKEDC] [SMD]</v>
      </c>
      <c r="B812" s="4" t="str">
        <f>IFERROR(__xludf.DUMMYFUNCTION("""COMPUTED_VALUE"""),"OEPS020060")</f>
        <v>OEPS020060</v>
      </c>
      <c r="C812" s="4" t="str">
        <f>IFERROR(__xludf.DUMMYFUNCTION("""COMPUTED_VALUE"""),"SMD")</f>
        <v>SMD</v>
      </c>
      <c r="D812" s="4" t="str">
        <f>IFERROR(__xludf.DUMMYFUNCTION("""COMPUTED_VALUE"""),"CRCW0402270RFKEDC")</f>
        <v>CRCW0402270RFKEDC</v>
      </c>
      <c r="E812" s="4">
        <f>IFERROR(__xludf.DUMMYFUNCTION("""COMPUTED_VALUE"""),30.0)</f>
        <v>30</v>
      </c>
      <c r="F812" s="4" t="str">
        <f>IFERROR(__xludf.DUMMYFUNCTION("""COMPUTED_VALUE"""),"DigiKey")</f>
        <v>DigiKey</v>
      </c>
      <c r="G812" s="4" t="str">
        <f>IFERROR(__xludf.DUMMYFUNCTION("""COMPUTED_VALUE"""),"541-4842-6-ND")</f>
        <v>541-4842-6-ND</v>
      </c>
      <c r="H812" s="4"/>
      <c r="I812" s="4"/>
      <c r="J812" s="4"/>
      <c r="K812" s="4"/>
      <c r="L812" s="4"/>
      <c r="M812" s="4"/>
      <c r="N812" s="9" t="str">
        <f>IFERROR(__xludf.DUMMYFUNCTION("""COMPUTED_VALUE"""),"OEPS070065")</f>
        <v>OEPS070065</v>
      </c>
      <c r="O812" s="4" t="str">
        <f>IFERROR(__xludf.DUMMYFUNCTION("""COMPUTED_VALUE"""),"A79025-001")</f>
        <v>A79025-001</v>
      </c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</row>
    <row r="813">
      <c r="A813" s="4" t="str">
        <f>IFERROR(__xludf.DUMMYFUNCTION("""COMPUTED_VALUE"""),"RESISTOR:   SMD 0402 27Ω ±1% 0.063W   [RMCF0402FT27R0] [SMD]")</f>
        <v>RESISTOR:   SMD 0402 27Ω ±1% 0.063W   [RMCF0402FT27R0] [SMD]</v>
      </c>
      <c r="B813" s="4" t="str">
        <f>IFERROR(__xludf.DUMMYFUNCTION("""COMPUTED_VALUE"""),"OEPS020170")</f>
        <v>OEPS020170</v>
      </c>
      <c r="C813" s="4" t="str">
        <f>IFERROR(__xludf.DUMMYFUNCTION("""COMPUTED_VALUE"""),"SMD")</f>
        <v>SMD</v>
      </c>
      <c r="D813" s="4" t="str">
        <f>IFERROR(__xludf.DUMMYFUNCTION("""COMPUTED_VALUE"""),"RMCF0402FT27R0")</f>
        <v>RMCF0402FT27R0</v>
      </c>
      <c r="E813" s="4">
        <f>IFERROR(__xludf.DUMMYFUNCTION("""COMPUTED_VALUE"""),30.0)</f>
        <v>30</v>
      </c>
      <c r="F813" s="4" t="str">
        <f>IFERROR(__xludf.DUMMYFUNCTION("""COMPUTED_VALUE"""),"Digikey")</f>
        <v>Digikey</v>
      </c>
      <c r="G813" s="4" t="str">
        <f>IFERROR(__xludf.DUMMYFUNCTION("""COMPUTED_VALUE"""),"RMCF0402FT27R0DKR-ND")</f>
        <v>RMCF0402FT27R0DKR-ND</v>
      </c>
      <c r="H813" s="4"/>
      <c r="I813" s="4"/>
      <c r="J813" s="4"/>
      <c r="K813" s="4"/>
      <c r="L813" s="4"/>
      <c r="M813" s="4"/>
      <c r="N813" s="9" t="str">
        <f>IFERROR(__xludf.DUMMYFUNCTION("""COMPUTED_VALUE"""),"OEPS070066")</f>
        <v>OEPS070066</v>
      </c>
      <c r="O813" s="4" t="str">
        <f>IFERROR(__xludf.DUMMYFUNCTION("""COMPUTED_VALUE"""),"A79623-001")</f>
        <v>A79623-001</v>
      </c>
      <c r="P813" s="4" t="str">
        <f>IFERROR(__xludf.DUMMYFUNCTION("""COMPUTED_VALUE"""),"446(R) 497(R) 100(R) 100(R) 148(R) 496(R) 13R ")</f>
        <v>446(R) 497(R) 100(R) 100(R) 148(R) 496(R) 13R </v>
      </c>
      <c r="Q813" s="4">
        <f>IFERROR(__xludf.DUMMYFUNCTION("""COMPUTED_VALUE"""),1800.0)</f>
        <v>1800</v>
      </c>
      <c r="R813" s="4">
        <f>IFERROR(__xludf.DUMMYFUNCTION("""COMPUTED_VALUE"""),446.0)</f>
        <v>446</v>
      </c>
      <c r="S813" s="4" t="str">
        <f>IFERROR(__xludf.DUMMYFUNCTION("""COMPUTED_VALUE"""),"Reel")</f>
        <v>Reel</v>
      </c>
      <c r="T813" s="4" t="str">
        <f>IFERROR(__xludf.DUMMYFUNCTION("""COMPUTED_VALUE"""),"0726")</f>
        <v>0726</v>
      </c>
      <c r="U813" s="4">
        <f>IFERROR(__xludf.DUMMYFUNCTION("""COMPUTED_VALUE"""),497.0)</f>
        <v>497</v>
      </c>
      <c r="V813" s="4" t="str">
        <f>IFERROR(__xludf.DUMMYFUNCTION("""COMPUTED_VALUE"""),"Reel")</f>
        <v>Reel</v>
      </c>
      <c r="W813" s="4" t="str">
        <f>IFERROR(__xludf.DUMMYFUNCTION("""COMPUTED_VALUE"""),"0726")</f>
        <v>0726</v>
      </c>
      <c r="X813" s="4">
        <f>IFERROR(__xludf.DUMMYFUNCTION("""COMPUTED_VALUE"""),100.0)</f>
        <v>100</v>
      </c>
      <c r="Y813" s="4" t="str">
        <f>IFERROR(__xludf.DUMMYFUNCTION("""COMPUTED_VALUE"""),"Reel")</f>
        <v>Reel</v>
      </c>
      <c r="Z813" s="4" t="str">
        <f>IFERROR(__xludf.DUMMYFUNCTION("""COMPUTED_VALUE"""),"0726")</f>
        <v>0726</v>
      </c>
      <c r="AA813" s="4">
        <f>IFERROR(__xludf.DUMMYFUNCTION("""COMPUTED_VALUE"""),100.0)</f>
        <v>100</v>
      </c>
      <c r="AB813" s="4" t="str">
        <f>IFERROR(__xludf.DUMMYFUNCTION("""COMPUTED_VALUE"""),"Reel")</f>
        <v>Reel</v>
      </c>
      <c r="AC813" s="4" t="str">
        <f>IFERROR(__xludf.DUMMYFUNCTION("""COMPUTED_VALUE"""),"0726")</f>
        <v>0726</v>
      </c>
      <c r="AD813" s="4">
        <f>IFERROR(__xludf.DUMMYFUNCTION("""COMPUTED_VALUE"""),148.0)</f>
        <v>148</v>
      </c>
      <c r="AE813" s="4" t="str">
        <f>IFERROR(__xludf.DUMMYFUNCTION("""COMPUTED_VALUE"""),"Reel")</f>
        <v>Reel</v>
      </c>
      <c r="AF813" s="4" t="str">
        <f>IFERROR(__xludf.DUMMYFUNCTION("""COMPUTED_VALUE"""),"0726")</f>
        <v>0726</v>
      </c>
      <c r="AG813" s="4">
        <f>IFERROR(__xludf.DUMMYFUNCTION("""COMPUTED_VALUE"""),496.0)</f>
        <v>496</v>
      </c>
      <c r="AH813" s="4" t="str">
        <f>IFERROR(__xludf.DUMMYFUNCTION("""COMPUTED_VALUE"""),"Reel")</f>
        <v>Reel</v>
      </c>
      <c r="AI813" s="4" t="str">
        <f>IFERROR(__xludf.DUMMYFUNCTION("""COMPUTED_VALUE"""),"0726")</f>
        <v>0726</v>
      </c>
      <c r="AJ813" s="4">
        <f>IFERROR(__xludf.DUMMYFUNCTION("""COMPUTED_VALUE"""),13.0)</f>
        <v>13</v>
      </c>
      <c r="AK813" s="4" t="str">
        <f>IFERROR(__xludf.DUMMYFUNCTION("""COMPUTED_VALUE"""),"Reel")</f>
        <v>Reel</v>
      </c>
      <c r="AL813" s="4" t="str">
        <f>IFERROR(__xludf.DUMMYFUNCTION("""COMPUTED_VALUE"""),"0726")</f>
        <v>0726</v>
      </c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</row>
    <row r="814">
      <c r="A814" s="4" t="str">
        <f>IFERROR(__xludf.DUMMYFUNCTION("""COMPUTED_VALUE"""),"RESISTOR:   SMD 0402 29.8kΩ ±0.1% 0.063W   [RN73R1ETTP2982B25] [SMD]")</f>
        <v>RESISTOR:   SMD 0402 29.8kΩ ±0.1% 0.063W   [RN73R1ETTP2982B25] [SMD]</v>
      </c>
      <c r="B814" s="4" t="str">
        <f>IFERROR(__xludf.DUMMYFUNCTION("""COMPUTED_VALUE"""),"OEPS020222")</f>
        <v>OEPS020222</v>
      </c>
      <c r="C814" s="4" t="str">
        <f>IFERROR(__xludf.DUMMYFUNCTION("""COMPUTED_VALUE"""),"SMD")</f>
        <v>SMD</v>
      </c>
      <c r="D814" s="4" t="str">
        <f>IFERROR(__xludf.DUMMYFUNCTION("""COMPUTED_VALUE"""),"RN73R1ETTP2982B25")</f>
        <v>RN73R1ETTP2982B25</v>
      </c>
      <c r="E814" s="4">
        <f>IFERROR(__xludf.DUMMYFUNCTION("""COMPUTED_VALUE"""),30.0)</f>
        <v>30</v>
      </c>
      <c r="F814" s="4" t="str">
        <f>IFERROR(__xludf.DUMMYFUNCTION("""COMPUTED_VALUE"""),"Digikey")</f>
        <v>Digikey</v>
      </c>
      <c r="G814" s="4" t="str">
        <f>IFERROR(__xludf.DUMMYFUNCTION("""COMPUTED_VALUE"""),"2019-RN73R1ETTP2982B25DKR-ND")</f>
        <v>2019-RN73R1ETTP2982B25DKR-ND</v>
      </c>
      <c r="H814" s="4"/>
      <c r="I814" s="4"/>
      <c r="J814" s="4"/>
      <c r="K814" s="4"/>
      <c r="L814" s="4"/>
      <c r="M814" s="4"/>
      <c r="N814" s="9" t="str">
        <f>IFERROR(__xludf.DUMMYFUNCTION("""COMPUTED_VALUE"""),"OEPS070067")</f>
        <v>OEPS070067</v>
      </c>
      <c r="O814" s="4" t="str">
        <f>IFERROR(__xludf.DUMMYFUNCTION("""COMPUTED_VALUE"""),"A79622-001")</f>
        <v>A79622-001</v>
      </c>
      <c r="P814" s="4" t="str">
        <f>IFERROR(__xludf.DUMMYFUNCTION("""COMPUTED_VALUE"""),"85 13 ")</f>
        <v>85 13 </v>
      </c>
      <c r="Q814" s="4">
        <f>IFERROR(__xludf.DUMMYFUNCTION("""COMPUTED_VALUE"""),98.0)</f>
        <v>98</v>
      </c>
      <c r="R814" s="4">
        <f>IFERROR(__xludf.DUMMYFUNCTION("""COMPUTED_VALUE"""),85.0)</f>
        <v>85</v>
      </c>
      <c r="S814" s="4" t="str">
        <f>IFERROR(__xludf.DUMMYFUNCTION("""COMPUTED_VALUE"""),"Box")</f>
        <v>Box</v>
      </c>
      <c r="T814" s="4" t="str">
        <f>IFERROR(__xludf.DUMMYFUNCTION("""COMPUTED_VALUE"""),"1224")</f>
        <v>1224</v>
      </c>
      <c r="U814" s="4">
        <f>IFERROR(__xludf.DUMMYFUNCTION("""COMPUTED_VALUE"""),13.0)</f>
        <v>13</v>
      </c>
      <c r="V814" s="4" t="str">
        <f>IFERROR(__xludf.DUMMYFUNCTION("""COMPUTED_VALUE"""),"Box")</f>
        <v>Box</v>
      </c>
      <c r="W814" s="4" t="str">
        <f>IFERROR(__xludf.DUMMYFUNCTION("""COMPUTED_VALUE"""),"XXXX")</f>
        <v>XXXX</v>
      </c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</row>
    <row r="815">
      <c r="A815" s="4" t="str">
        <f>IFERROR(__xludf.DUMMYFUNCTION("""COMPUTED_VALUE"""),"RESISTOR:   SMD 0402 2kΩ ±1% 0.100W   [ERJ-2RKF2001X] [SMD]")</f>
        <v>RESISTOR:   SMD 0402 2kΩ ±1% 0.100W   [ERJ-2RKF2001X] [SMD]</v>
      </c>
      <c r="B815" s="4" t="str">
        <f>IFERROR(__xludf.DUMMYFUNCTION("""COMPUTED_VALUE"""),"OEPS020007")</f>
        <v>OEPS020007</v>
      </c>
      <c r="C815" s="4" t="str">
        <f>IFERROR(__xludf.DUMMYFUNCTION("""COMPUTED_VALUE"""),"SMD")</f>
        <v>SMD</v>
      </c>
      <c r="D815" s="4" t="str">
        <f>IFERROR(__xludf.DUMMYFUNCTION("""COMPUTED_VALUE"""),"ERJ-2RKF2001X")</f>
        <v>ERJ-2RKF2001X</v>
      </c>
      <c r="E815" s="4">
        <f>IFERROR(__xludf.DUMMYFUNCTION("""COMPUTED_VALUE"""),30.0)</f>
        <v>30</v>
      </c>
      <c r="F815" s="4" t="str">
        <f>IFERROR(__xludf.DUMMYFUNCTION("""COMPUTED_VALUE"""),"DigiKey")</f>
        <v>DigiKey</v>
      </c>
      <c r="G815" s="4" t="str">
        <f>IFERROR(__xludf.DUMMYFUNCTION("""COMPUTED_VALUE"""),"P2.00KLDKR-ND")</f>
        <v>P2.00KLDKR-ND</v>
      </c>
      <c r="H815" s="4"/>
      <c r="I815" s="4"/>
      <c r="J815" s="4"/>
      <c r="K815" s="4"/>
      <c r="L815" s="4"/>
      <c r="M815" s="4"/>
      <c r="N815" s="9" t="str">
        <f>IFERROR(__xludf.DUMMYFUNCTION("""COMPUTED_VALUE"""),"OEPS070068")</f>
        <v>OEPS070068</v>
      </c>
      <c r="O815" s="4" t="str">
        <f>IFERROR(__xludf.DUMMYFUNCTION("""COMPUTED_VALUE"""),"DF40C-70DP-0.4V(51)")</f>
        <v>DF40C-70DP-0.4V(51)</v>
      </c>
      <c r="P815" s="4" t="str">
        <f>IFERROR(__xludf.DUMMYFUNCTION("""COMPUTED_VALUE"""),"122(Tp) 14(R) ")</f>
        <v>122(Tp) 14(R) </v>
      </c>
      <c r="Q815" s="4">
        <f>IFERROR(__xludf.DUMMYFUNCTION("""COMPUTED_VALUE"""),136.0)</f>
        <v>136</v>
      </c>
      <c r="R815" s="4">
        <f>IFERROR(__xludf.DUMMYFUNCTION("""COMPUTED_VALUE"""),122.0)</f>
        <v>122</v>
      </c>
      <c r="S815" s="4" t="str">
        <f>IFERROR(__xludf.DUMMYFUNCTION("""COMPUTED_VALUE"""),"Tape")</f>
        <v>Tape</v>
      </c>
      <c r="T815" s="4" t="str">
        <f>IFERROR(__xludf.DUMMYFUNCTION("""COMPUTED_VALUE"""),"0125")</f>
        <v>0125</v>
      </c>
      <c r="U815" s="4">
        <f>IFERROR(__xludf.DUMMYFUNCTION("""COMPUTED_VALUE"""),14.0)</f>
        <v>14</v>
      </c>
      <c r="V815" s="4" t="str">
        <f>IFERROR(__xludf.DUMMYFUNCTION("""COMPUTED_VALUE"""),"Reel")</f>
        <v>Reel</v>
      </c>
      <c r="W815" s="4" t="str">
        <f>IFERROR(__xludf.DUMMYFUNCTION("""COMPUTED_VALUE"""),"0925")</f>
        <v>0925</v>
      </c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</row>
    <row r="816">
      <c r="A816" s="4" t="str">
        <f>IFERROR(__xludf.DUMMYFUNCTION("""COMPUTED_VALUE"""),"RESISTOR:   SMD 0402 2MΩ ±1% 0.063W   [CRCW04022M00FKEDC] [SMD]")</f>
        <v>RESISTOR:   SMD 0402 2MΩ ±1% 0.063W   [CRCW04022M00FKEDC] [SMD]</v>
      </c>
      <c r="B816" s="4" t="str">
        <f>IFERROR(__xludf.DUMMYFUNCTION("""COMPUTED_VALUE"""),"OEPS020210")</f>
        <v>OEPS020210</v>
      </c>
      <c r="C816" s="4" t="str">
        <f>IFERROR(__xludf.DUMMYFUNCTION("""COMPUTED_VALUE"""),"SMD")</f>
        <v>SMD</v>
      </c>
      <c r="D816" s="4" t="str">
        <f>IFERROR(__xludf.DUMMYFUNCTION("""COMPUTED_VALUE"""),"CRCW04022M00FKEDC")</f>
        <v>CRCW04022M00FKEDC</v>
      </c>
      <c r="E816" s="4">
        <f>IFERROR(__xludf.DUMMYFUNCTION("""COMPUTED_VALUE"""),30.0)</f>
        <v>30</v>
      </c>
      <c r="F816" s="4" t="str">
        <f>IFERROR(__xludf.DUMMYFUNCTION("""COMPUTED_VALUE"""),"Digikey")</f>
        <v>Digikey</v>
      </c>
      <c r="G816" s="4" t="str">
        <f>IFERROR(__xludf.DUMMYFUNCTION("""COMPUTED_VALUE"""),"541-4066-6-ND")</f>
        <v>541-4066-6-ND</v>
      </c>
      <c r="H816" s="4"/>
      <c r="I816" s="4"/>
      <c r="J816" s="4"/>
      <c r="K816" s="4"/>
      <c r="L816" s="4"/>
      <c r="M816" s="4"/>
      <c r="N816" s="9" t="str">
        <f>IFERROR(__xludf.DUMMYFUNCTION("""COMPUTED_VALUE"""),"OEPS070069")</f>
        <v>OEPS070069</v>
      </c>
      <c r="O816" s="4" t="str">
        <f>IFERROR(__xludf.DUMMYFUNCTION("""COMPUTED_VALUE"""),"A79026-001")</f>
        <v>A79026-001</v>
      </c>
      <c r="P816" s="4" t="str">
        <f>IFERROR(__xludf.DUMMYFUNCTION("""COMPUTED_VALUE"""),"214 ")</f>
        <v>214 </v>
      </c>
      <c r="Q816" s="4">
        <f>IFERROR(__xludf.DUMMYFUNCTION("""COMPUTED_VALUE"""),214.0)</f>
        <v>214</v>
      </c>
      <c r="R816" s="4">
        <f>IFERROR(__xludf.DUMMYFUNCTION("""COMPUTED_VALUE"""),214.0)</f>
        <v>214</v>
      </c>
      <c r="S816" s="4" t="str">
        <f>IFERROR(__xludf.DUMMYFUNCTION("""COMPUTED_VALUE"""),"Box")</f>
        <v>Box</v>
      </c>
      <c r="T816" s="4" t="str">
        <f>IFERROR(__xludf.DUMMYFUNCTION("""COMPUTED_VALUE"""),"0526")</f>
        <v>0526</v>
      </c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</row>
    <row r="817">
      <c r="A817" s="4" t="str">
        <f>IFERROR(__xludf.DUMMYFUNCTION("""COMPUTED_VALUE"""),"RESISTOR:   SMD 0402 3.16kΩ ±1% 0.100W   [ERJ-2RKF3161X] [SMD]")</f>
        <v>RESISTOR:   SMD 0402 3.16kΩ ±1% 0.100W   [ERJ-2RKF3161X] [SMD]</v>
      </c>
      <c r="B817" s="4" t="str">
        <f>IFERROR(__xludf.DUMMYFUNCTION("""COMPUTED_VALUE"""),"OEPS020082")</f>
        <v>OEPS020082</v>
      </c>
      <c r="C817" s="4" t="str">
        <f>IFERROR(__xludf.DUMMYFUNCTION("""COMPUTED_VALUE"""),"SMD")</f>
        <v>SMD</v>
      </c>
      <c r="D817" s="4" t="str">
        <f>IFERROR(__xludf.DUMMYFUNCTION("""COMPUTED_VALUE"""),"ERJ-2RKF3161X")</f>
        <v>ERJ-2RKF3161X</v>
      </c>
      <c r="E817" s="4">
        <f>IFERROR(__xludf.DUMMYFUNCTION("""COMPUTED_VALUE"""),30.0)</f>
        <v>30</v>
      </c>
      <c r="F817" s="4" t="str">
        <f>IFERROR(__xludf.DUMMYFUNCTION("""COMPUTED_VALUE"""),"DigiKey")</f>
        <v>DigiKey</v>
      </c>
      <c r="G817" s="4" t="str">
        <f>IFERROR(__xludf.DUMMYFUNCTION("""COMPUTED_VALUE"""),"P3.16KLDKR-ND")</f>
        <v>P3.16KLDKR-ND</v>
      </c>
      <c r="H817" s="4"/>
      <c r="I817" s="4"/>
      <c r="J817" s="4"/>
      <c r="K817" s="4"/>
      <c r="L817" s="4"/>
      <c r="M817" s="4"/>
      <c r="N817" s="9" t="str">
        <f>IFERROR(__xludf.DUMMYFUNCTION("""COMPUTED_VALUE"""),"OEPS070070")</f>
        <v>OEPS070070</v>
      </c>
      <c r="O817" s="4" t="str">
        <f>IFERROR(__xludf.DUMMYFUNCTION("""COMPUTED_VALUE"""),"XF2M-2615-1A")</f>
        <v>XF2M-2615-1A</v>
      </c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</row>
    <row r="818">
      <c r="A818" s="4" t="str">
        <f>IFERROR(__xludf.DUMMYFUNCTION("""COMPUTED_VALUE"""),"RESISTOR:   SMD 0402 3.3kΩ ±1% 0.100W   [ERJ-2RKF3301X] [SMD]")</f>
        <v>RESISTOR:   SMD 0402 3.3kΩ ±1% 0.100W   [ERJ-2RKF3301X] [SMD]</v>
      </c>
      <c r="B818" s="4" t="str">
        <f>IFERROR(__xludf.DUMMYFUNCTION("""COMPUTED_VALUE"""),"OEPS020083")</f>
        <v>OEPS020083</v>
      </c>
      <c r="C818" s="4" t="str">
        <f>IFERROR(__xludf.DUMMYFUNCTION("""COMPUTED_VALUE"""),"SMD")</f>
        <v>SMD</v>
      </c>
      <c r="D818" s="4" t="str">
        <f>IFERROR(__xludf.DUMMYFUNCTION("""COMPUTED_VALUE"""),"ERJ-2RKF3301X")</f>
        <v>ERJ-2RKF3301X</v>
      </c>
      <c r="E818" s="4">
        <f>IFERROR(__xludf.DUMMYFUNCTION("""COMPUTED_VALUE"""),30.0)</f>
        <v>30</v>
      </c>
      <c r="F818" s="4" t="str">
        <f>IFERROR(__xludf.DUMMYFUNCTION("""COMPUTED_VALUE"""),"DigiKey")</f>
        <v>DigiKey</v>
      </c>
      <c r="G818" s="4" t="str">
        <f>IFERROR(__xludf.DUMMYFUNCTION("""COMPUTED_VALUE"""),"P3.30KLDKR-ND")</f>
        <v>P3.30KLDKR-ND</v>
      </c>
      <c r="H818" s="4"/>
      <c r="I818" s="4"/>
      <c r="J818" s="4"/>
      <c r="K818" s="4"/>
      <c r="L818" s="4"/>
      <c r="M818" s="4"/>
      <c r="N818" s="9" t="str">
        <f>IFERROR(__xludf.DUMMYFUNCTION("""COMPUTED_VALUE"""),"OEPS070071")</f>
        <v>OEPS070071</v>
      </c>
      <c r="O818" s="4" t="str">
        <f>IFERROR(__xludf.DUMMYFUNCTION("""COMPUTED_VALUE"""),"691322110003")</f>
        <v>691322110003</v>
      </c>
      <c r="P818" s="4" t="str">
        <f>IFERROR(__xludf.DUMMYFUNCTION("""COMPUTED_VALUE"""),"5 ")</f>
        <v>5 </v>
      </c>
      <c r="Q818" s="4">
        <f>IFERROR(__xludf.DUMMYFUNCTION("""COMPUTED_VALUE"""),5.0)</f>
        <v>5</v>
      </c>
      <c r="R818" s="4">
        <f>IFERROR(__xludf.DUMMYFUNCTION("""COMPUTED_VALUE"""),5.0)</f>
        <v>5</v>
      </c>
      <c r="S818" s="4" t="str">
        <f>IFERROR(__xludf.DUMMYFUNCTION("""COMPUTED_VALUE"""),"Bag")</f>
        <v>Bag</v>
      </c>
      <c r="T818" s="4" t="str">
        <f>IFERROR(__xludf.DUMMYFUNCTION("""COMPUTED_VALUE"""),"1123")</f>
        <v>1123</v>
      </c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</row>
    <row r="819">
      <c r="A819" s="4" t="str">
        <f>IFERROR(__xludf.DUMMYFUNCTION("""COMPUTED_VALUE"""),"RESISTOR:   SMD 0402 3.48kΩ ±1% 0.100W   [ERJ-2RKF3481X] [SMD]")</f>
        <v>RESISTOR:   SMD 0402 3.48kΩ ±1% 0.100W   [ERJ-2RKF3481X] [SMD]</v>
      </c>
      <c r="B819" s="4" t="str">
        <f>IFERROR(__xludf.DUMMYFUNCTION("""COMPUTED_VALUE"""),"OEPS020009")</f>
        <v>OEPS020009</v>
      </c>
      <c r="C819" s="4" t="str">
        <f>IFERROR(__xludf.DUMMYFUNCTION("""COMPUTED_VALUE"""),"SMD")</f>
        <v>SMD</v>
      </c>
      <c r="D819" s="4" t="str">
        <f>IFERROR(__xludf.DUMMYFUNCTION("""COMPUTED_VALUE"""),"ERJ-2RKF3481X")</f>
        <v>ERJ-2RKF3481X</v>
      </c>
      <c r="E819" s="4">
        <f>IFERROR(__xludf.DUMMYFUNCTION("""COMPUTED_VALUE"""),30.0)</f>
        <v>30</v>
      </c>
      <c r="F819" s="4" t="str">
        <f>IFERROR(__xludf.DUMMYFUNCTION("""COMPUTED_VALUE"""),"DigiKey")</f>
        <v>DigiKey</v>
      </c>
      <c r="G819" s="4" t="str">
        <f>IFERROR(__xludf.DUMMYFUNCTION("""COMPUTED_VALUE"""),"P3.48KLDKR-ND")</f>
        <v>P3.48KLDKR-ND</v>
      </c>
      <c r="H819" s="4"/>
      <c r="I819" s="4"/>
      <c r="J819" s="4"/>
      <c r="K819" s="4"/>
      <c r="L819" s="4"/>
      <c r="M819" s="4"/>
      <c r="N819" s="9" t="str">
        <f>IFERROR(__xludf.DUMMYFUNCTION("""COMPUTED_VALUE"""),"OEPS070072")</f>
        <v>OEPS070072</v>
      </c>
      <c r="O819" s="4" t="str">
        <f>IFERROR(__xludf.DUMMYFUNCTION("""COMPUTED_VALUE"""),"MQ172X-4PA(30)")</f>
        <v>MQ172X-4PA(30)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</row>
    <row r="820">
      <c r="A820" s="4" t="str">
        <f>IFERROR(__xludf.DUMMYFUNCTION("""COMPUTED_VALUE"""),"RESISTOR:   SMD 0402 301Ω ±0.1% 0.063W   [RT0402BRD07301RL] [SMD]")</f>
        <v>RESISTOR:   SMD 0402 301Ω ±0.1% 0.063W   [RT0402BRD07301RL] [SMD]</v>
      </c>
      <c r="B820" s="4" t="str">
        <f>IFERROR(__xludf.DUMMYFUNCTION("""COMPUTED_VALUE"""),"OEPS020223")</f>
        <v>OEPS020223</v>
      </c>
      <c r="C820" s="4" t="str">
        <f>IFERROR(__xludf.DUMMYFUNCTION("""COMPUTED_VALUE"""),"SMD")</f>
        <v>SMD</v>
      </c>
      <c r="D820" s="4" t="str">
        <f>IFERROR(__xludf.DUMMYFUNCTION("""COMPUTED_VALUE"""),"RT0402BRD07301RL")</f>
        <v>RT0402BRD07301RL</v>
      </c>
      <c r="E820" s="4">
        <f>IFERROR(__xludf.DUMMYFUNCTION("""COMPUTED_VALUE"""),30.0)</f>
        <v>30</v>
      </c>
      <c r="F820" s="4" t="str">
        <f>IFERROR(__xludf.DUMMYFUNCTION("""COMPUTED_VALUE"""),"Digikey")</f>
        <v>Digikey</v>
      </c>
      <c r="G820" s="4" t="str">
        <f>IFERROR(__xludf.DUMMYFUNCTION("""COMPUTED_VALUE"""),"YAG4238DKR-ND")</f>
        <v>YAG4238DKR-ND</v>
      </c>
      <c r="H820" s="4"/>
      <c r="I820" s="4"/>
      <c r="J820" s="4"/>
      <c r="K820" s="4"/>
      <c r="L820" s="4"/>
      <c r="M820" s="4"/>
      <c r="N820" s="9" t="str">
        <f>IFERROR(__xludf.DUMMYFUNCTION("""COMPUTED_VALUE"""),"OEPS070075")</f>
        <v>OEPS070075</v>
      </c>
      <c r="O820" s="4" t="str">
        <f>IFERROR(__xludf.DUMMYFUNCTION("""COMPUTED_VALUE"""),"A79027-001")</f>
        <v>A79027-001</v>
      </c>
      <c r="P820" s="4" t="str">
        <f>IFERROR(__xludf.DUMMYFUNCTION("""COMPUTED_VALUE"""),"60 10 ")</f>
        <v>60 10 </v>
      </c>
      <c r="Q820" s="4">
        <f>IFERROR(__xludf.DUMMYFUNCTION("""COMPUTED_VALUE"""),70.0)</f>
        <v>70</v>
      </c>
      <c r="R820" s="4">
        <f>IFERROR(__xludf.DUMMYFUNCTION("""COMPUTED_VALUE"""),60.0)</f>
        <v>60</v>
      </c>
      <c r="S820" s="4" t="str">
        <f>IFERROR(__xludf.DUMMYFUNCTION("""COMPUTED_VALUE"""),"Box")</f>
        <v>Box</v>
      </c>
      <c r="T820" s="4" t="str">
        <f>IFERROR(__xludf.DUMMYFUNCTION("""COMPUTED_VALUE"""),"0225")</f>
        <v>0225</v>
      </c>
      <c r="U820" s="4">
        <f>IFERROR(__xludf.DUMMYFUNCTION("""COMPUTED_VALUE"""),10.0)</f>
        <v>10</v>
      </c>
      <c r="V820" s="4" t="str">
        <f>IFERROR(__xludf.DUMMYFUNCTION("""COMPUTED_VALUE"""),"Box")</f>
        <v>Box</v>
      </c>
      <c r="W820" s="4" t="str">
        <f>IFERROR(__xludf.DUMMYFUNCTION("""COMPUTED_VALUE"""),"XXXX")</f>
        <v>XXXX</v>
      </c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</row>
    <row r="821">
      <c r="A821" s="4" t="str">
        <f>IFERROR(__xludf.DUMMYFUNCTION("""COMPUTED_VALUE"""),"RESISTOR:   SMD 0402 31.6kΩ ±1% 0.063W   [RC0402FR-0731K6L] [SMD]")</f>
        <v>RESISTOR:   SMD 0402 31.6kΩ ±1% 0.063W   [RC0402FR-0731K6L] [SMD]</v>
      </c>
      <c r="B821" s="4" t="str">
        <f>IFERROR(__xludf.DUMMYFUNCTION("""COMPUTED_VALUE"""),"OEPS020038")</f>
        <v>OEPS020038</v>
      </c>
      <c r="C821" s="4" t="str">
        <f>IFERROR(__xludf.DUMMYFUNCTION("""COMPUTED_VALUE"""),"SMD")</f>
        <v>SMD</v>
      </c>
      <c r="D821" s="4" t="str">
        <f>IFERROR(__xludf.DUMMYFUNCTION("""COMPUTED_VALUE"""),"RC0402FR-0731K6L")</f>
        <v>RC0402FR-0731K6L</v>
      </c>
      <c r="E821" s="4">
        <f>IFERROR(__xludf.DUMMYFUNCTION("""COMPUTED_VALUE"""),30.0)</f>
        <v>30</v>
      </c>
      <c r="F821" s="4" t="str">
        <f>IFERROR(__xludf.DUMMYFUNCTION("""COMPUTED_VALUE"""),"DigiKey")</f>
        <v>DigiKey</v>
      </c>
      <c r="G821" s="4" t="str">
        <f>IFERROR(__xludf.DUMMYFUNCTION("""COMPUTED_VALUE"""),"YAG3115DKR-ND")</f>
        <v>YAG3115DKR-ND</v>
      </c>
      <c r="H821" s="4"/>
      <c r="I821" s="4"/>
      <c r="J821" s="4"/>
      <c r="K821" s="4"/>
      <c r="L821" s="4"/>
      <c r="M821" s="4"/>
      <c r="N821" s="9" t="str">
        <f>IFERROR(__xludf.DUMMYFUNCTION("""COMPUTED_VALUE"""),"OEPS070079")</f>
        <v>OEPS070079</v>
      </c>
      <c r="O821" s="4" t="str">
        <f>IFERROR(__xludf.DUMMYFUNCTION("""COMPUTED_VALUE"""),"68001-202HLF")</f>
        <v>68001-202HLF</v>
      </c>
      <c r="P821" s="4" t="str">
        <f>IFERROR(__xludf.DUMMYFUNCTION("""COMPUTED_VALUE"""),"6 ")</f>
        <v>6 </v>
      </c>
      <c r="Q821" s="4">
        <f>IFERROR(__xludf.DUMMYFUNCTION("""COMPUTED_VALUE"""),6.0)</f>
        <v>6</v>
      </c>
      <c r="R821" s="4">
        <f>IFERROR(__xludf.DUMMYFUNCTION("""COMPUTED_VALUE"""),6.0)</f>
        <v>6</v>
      </c>
      <c r="S821" s="4" t="str">
        <f>IFERROR(__xludf.DUMMYFUNCTION("""COMPUTED_VALUE"""),"Bag")</f>
        <v>Bag</v>
      </c>
      <c r="T821" s="4" t="str">
        <f>IFERROR(__xludf.DUMMYFUNCTION("""COMPUTED_VALUE"""),"0525")</f>
        <v>0525</v>
      </c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</row>
    <row r="822">
      <c r="A822" s="4" t="str">
        <f>IFERROR(__xludf.DUMMYFUNCTION("""COMPUTED_VALUE"""),"RESISTOR:   SMD 0402 330Ω ±1% 0.063W   [RC0402FR-07330RL] [SMD]")</f>
        <v>RESISTOR:   SMD 0402 330Ω ±1% 0.063W   [RC0402FR-07330RL] [SMD]</v>
      </c>
      <c r="B822" s="4" t="str">
        <f>IFERROR(__xludf.DUMMYFUNCTION("""COMPUTED_VALUE"""),"OEPS020037")</f>
        <v>OEPS020037</v>
      </c>
      <c r="C822" s="4" t="str">
        <f>IFERROR(__xludf.DUMMYFUNCTION("""COMPUTED_VALUE"""),"SMD")</f>
        <v>SMD</v>
      </c>
      <c r="D822" s="4" t="str">
        <f>IFERROR(__xludf.DUMMYFUNCTION("""COMPUTED_VALUE"""),"RC0402FR-07330RL")</f>
        <v>RC0402FR-07330RL</v>
      </c>
      <c r="E822" s="4">
        <f>IFERROR(__xludf.DUMMYFUNCTION("""COMPUTED_VALUE"""),30.0)</f>
        <v>30</v>
      </c>
      <c r="F822" s="4" t="str">
        <f>IFERROR(__xludf.DUMMYFUNCTION("""COMPUTED_VALUE"""),"DigiKey")</f>
        <v>DigiKey</v>
      </c>
      <c r="G822" s="4" t="str">
        <f>IFERROR(__xludf.DUMMYFUNCTION("""COMPUTED_VALUE"""),"311-330LRDKR-ND")</f>
        <v>311-330LRDKR-ND</v>
      </c>
      <c r="H822" s="4"/>
      <c r="I822" s="4"/>
      <c r="J822" s="4"/>
      <c r="K822" s="4"/>
      <c r="L822" s="4"/>
      <c r="M822" s="4"/>
      <c r="N822" s="9" t="str">
        <f>IFERROR(__xludf.DUMMYFUNCTION("""COMPUTED_VALUE"""),"OEPS070080")</f>
        <v>OEPS070080</v>
      </c>
      <c r="O822" s="4" t="str">
        <f>IFERROR(__xludf.DUMMYFUNCTION("""COMPUTED_VALUE"""),"68001-204HLF")</f>
        <v>68001-204HLF</v>
      </c>
      <c r="P822" s="4" t="str">
        <f>IFERROR(__xludf.DUMMYFUNCTION("""COMPUTED_VALUE"""),"4 ")</f>
        <v>4 </v>
      </c>
      <c r="Q822" s="4">
        <f>IFERROR(__xludf.DUMMYFUNCTION("""COMPUTED_VALUE"""),4.0)</f>
        <v>4</v>
      </c>
      <c r="R822" s="4">
        <f>IFERROR(__xludf.DUMMYFUNCTION("""COMPUTED_VALUE"""),4.0)</f>
        <v>4</v>
      </c>
      <c r="S822" s="4" t="str">
        <f>IFERROR(__xludf.DUMMYFUNCTION("""COMPUTED_VALUE"""),"Bag")</f>
        <v>Bag</v>
      </c>
      <c r="T822" s="4" t="str">
        <f>IFERROR(__xludf.DUMMYFUNCTION("""COMPUTED_VALUE"""),"0525")</f>
        <v>0525</v>
      </c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</row>
    <row r="823">
      <c r="A823" s="4" t="str">
        <f>IFERROR(__xludf.DUMMYFUNCTION("""COMPUTED_VALUE"""),"RESISTOR:   SMD 0402 330Ω ±1% 0.200W   [CRCW0402330RFKEDHP] [SMD]")</f>
        <v>RESISTOR:   SMD 0402 330Ω ±1% 0.200W   [CRCW0402330RFKEDHP] [SMD]</v>
      </c>
      <c r="B823" s="4" t="str">
        <f>IFERROR(__xludf.DUMMYFUNCTION("""COMPUTED_VALUE"""),"OEPS020191")</f>
        <v>OEPS020191</v>
      </c>
      <c r="C823" s="4" t="str">
        <f>IFERROR(__xludf.DUMMYFUNCTION("""COMPUTED_VALUE"""),"SMD")</f>
        <v>SMD</v>
      </c>
      <c r="D823" s="4" t="str">
        <f>IFERROR(__xludf.DUMMYFUNCTION("""COMPUTED_VALUE"""),"CRCW0402330RFKEDHP")</f>
        <v>CRCW0402330RFKEDHP</v>
      </c>
      <c r="E823" s="4">
        <f>IFERROR(__xludf.DUMMYFUNCTION("""COMPUTED_VALUE"""),30.0)</f>
        <v>30</v>
      </c>
      <c r="F823" s="4" t="str">
        <f>IFERROR(__xludf.DUMMYFUNCTION("""COMPUTED_VALUE"""),"DigiKey")</f>
        <v>DigiKey</v>
      </c>
      <c r="G823" s="4" t="str">
        <f>IFERROR(__xludf.DUMMYFUNCTION("""COMPUTED_VALUE"""),"541-330YDKR-ND")</f>
        <v>541-330YDKR-ND</v>
      </c>
      <c r="H823" s="4"/>
      <c r="I823" s="4"/>
      <c r="J823" s="4"/>
      <c r="K823" s="4"/>
      <c r="L823" s="4"/>
      <c r="M823" s="4"/>
      <c r="N823" s="9" t="str">
        <f>IFERROR(__xludf.DUMMYFUNCTION("""COMPUTED_VALUE"""),"OEPS070084")</f>
        <v>OEPS070084</v>
      </c>
      <c r="O823" s="4" t="str">
        <f>IFERROR(__xludf.DUMMYFUNCTION("""COMPUTED_VALUE"""),"5046183412")</f>
        <v>5046183412</v>
      </c>
      <c r="P823" s="4" t="str">
        <f>IFERROR(__xludf.DUMMYFUNCTION("""COMPUTED_VALUE"""),"180(R) ")</f>
        <v>180(R) </v>
      </c>
      <c r="Q823" s="4">
        <f>IFERROR(__xludf.DUMMYFUNCTION("""COMPUTED_VALUE"""),180.0)</f>
        <v>180</v>
      </c>
      <c r="R823" s="4">
        <f>IFERROR(__xludf.DUMMYFUNCTION("""COMPUTED_VALUE"""),180.0)</f>
        <v>180</v>
      </c>
      <c r="S823" s="4" t="str">
        <f>IFERROR(__xludf.DUMMYFUNCTION("""COMPUTED_VALUE"""),"Reel")</f>
        <v>Reel</v>
      </c>
      <c r="T823" s="4" t="str">
        <f>IFERROR(__xludf.DUMMYFUNCTION("""COMPUTED_VALUE"""),"1124")</f>
        <v>1124</v>
      </c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</row>
    <row r="824">
      <c r="A824" s="4" t="str">
        <f>IFERROR(__xludf.DUMMYFUNCTION("""COMPUTED_VALUE"""),"RESISTOR:   SMD 0402 34kΩ ±0.1% 0.063W   [RT0402BRD0734KL] [SMD]")</f>
        <v>RESISTOR:   SMD 0402 34kΩ ±0.1% 0.063W   [RT0402BRD0734KL] [SMD]</v>
      </c>
      <c r="B824" s="4" t="str">
        <f>IFERROR(__xludf.DUMMYFUNCTION("""COMPUTED_VALUE"""),"OEPS020044")</f>
        <v>OEPS020044</v>
      </c>
      <c r="C824" s="4" t="str">
        <f>IFERROR(__xludf.DUMMYFUNCTION("""COMPUTED_VALUE"""),"SMD")</f>
        <v>SMD</v>
      </c>
      <c r="D824" s="4" t="str">
        <f>IFERROR(__xludf.DUMMYFUNCTION("""COMPUTED_VALUE"""),"RT0402BRD0734KL")</f>
        <v>RT0402BRD0734KL</v>
      </c>
      <c r="E824" s="4">
        <f>IFERROR(__xludf.DUMMYFUNCTION("""COMPUTED_VALUE"""),30.0)</f>
        <v>30</v>
      </c>
      <c r="F824" s="4" t="str">
        <f>IFERROR(__xludf.DUMMYFUNCTION("""COMPUTED_VALUE"""),"DigiKey")</f>
        <v>DigiKey</v>
      </c>
      <c r="G824" s="4" t="str">
        <f>IFERROR(__xludf.DUMMYFUNCTION("""COMPUTED_VALUE"""),"YAG4247DKR-ND")</f>
        <v>YAG4247DKR-ND</v>
      </c>
      <c r="H824" s="4"/>
      <c r="I824" s="4"/>
      <c r="J824" s="4"/>
      <c r="K824" s="4"/>
      <c r="L824" s="4"/>
      <c r="M824" s="4"/>
      <c r="N824" s="9" t="str">
        <f>IFERROR(__xludf.DUMMYFUNCTION("""COMPUTED_VALUE"""),"OEPS070085")</f>
        <v>OEPS070085</v>
      </c>
      <c r="O824" s="4" t="str">
        <f>IFERROR(__xludf.DUMMYFUNCTION("""COMPUTED_VALUE"""),"5046223412")</f>
        <v>5046223412</v>
      </c>
      <c r="P824" s="4" t="str">
        <f>IFERROR(__xludf.DUMMYFUNCTION("""COMPUTED_VALUE"""),"12(Tp) ")</f>
        <v>12(Tp) </v>
      </c>
      <c r="Q824" s="4">
        <f>IFERROR(__xludf.DUMMYFUNCTION("""COMPUTED_VALUE"""),12.0)</f>
        <v>12</v>
      </c>
      <c r="R824" s="4">
        <f>IFERROR(__xludf.DUMMYFUNCTION("""COMPUTED_VALUE"""),12.0)</f>
        <v>12</v>
      </c>
      <c r="S824" s="4" t="str">
        <f>IFERROR(__xludf.DUMMYFUNCTION("""COMPUTED_VALUE"""),"Tape")</f>
        <v>Tape</v>
      </c>
      <c r="T824" s="4" t="str">
        <f>IFERROR(__xludf.DUMMYFUNCTION("""COMPUTED_VALUE"""),"0321")</f>
        <v>0321</v>
      </c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</row>
    <row r="825">
      <c r="A825" s="4" t="str">
        <f>IFERROR(__xludf.DUMMYFUNCTION("""COMPUTED_VALUE"""),"RESISTOR:   SMD 0402 39Ω ±1% 0.250W   [RCS040239R0FKED] [SMD]")</f>
        <v>RESISTOR:   SMD 0402 39Ω ±1% 0.250W   [RCS040239R0FKED] [SMD]</v>
      </c>
      <c r="B825" s="4" t="str">
        <f>IFERROR(__xludf.DUMMYFUNCTION("""COMPUTED_VALUE"""),"OEPS020034")</f>
        <v>OEPS020034</v>
      </c>
      <c r="C825" s="4" t="str">
        <f>IFERROR(__xludf.DUMMYFUNCTION("""COMPUTED_VALUE"""),"SMD")</f>
        <v>SMD</v>
      </c>
      <c r="D825" s="4" t="str">
        <f>IFERROR(__xludf.DUMMYFUNCTION("""COMPUTED_VALUE"""),"RCS040239R0FKED")</f>
        <v>RCS040239R0FKED</v>
      </c>
      <c r="E825" s="4">
        <f>IFERROR(__xludf.DUMMYFUNCTION("""COMPUTED_VALUE"""),30.0)</f>
        <v>30</v>
      </c>
      <c r="F825" s="4" t="str">
        <f>IFERROR(__xludf.DUMMYFUNCTION("""COMPUTED_VALUE"""),"DigiKey")</f>
        <v>DigiKey</v>
      </c>
      <c r="G825" s="4" t="str">
        <f>IFERROR(__xludf.DUMMYFUNCTION("""COMPUTED_VALUE"""),"541-10407-6-ND")</f>
        <v>541-10407-6-ND</v>
      </c>
      <c r="H825" s="4"/>
      <c r="I825" s="4"/>
      <c r="J825" s="4"/>
      <c r="K825" s="4"/>
      <c r="L825" s="4"/>
      <c r="M825" s="4"/>
      <c r="N825" s="9" t="str">
        <f>IFERROR(__xludf.DUMMYFUNCTION("""COMPUTED_VALUE"""),"OEPS070086")</f>
        <v>OEPS070086</v>
      </c>
      <c r="O825" s="4" t="str">
        <f>IFERROR(__xludf.DUMMYFUNCTION("""COMPUTED_VALUE"""),"10029449-111RLF")</f>
        <v>10029449-111RLF</v>
      </c>
      <c r="P825" s="4" t="str">
        <f>IFERROR(__xludf.DUMMYFUNCTION("""COMPUTED_VALUE"""),"5 ")</f>
        <v>5 </v>
      </c>
      <c r="Q825" s="4">
        <f>IFERROR(__xludf.DUMMYFUNCTION("""COMPUTED_VALUE"""),5.0)</f>
        <v>5</v>
      </c>
      <c r="R825" s="4">
        <f>IFERROR(__xludf.DUMMYFUNCTION("""COMPUTED_VALUE"""),5.0)</f>
        <v>5</v>
      </c>
      <c r="S825" s="4" t="str">
        <f>IFERROR(__xludf.DUMMYFUNCTION("""COMPUTED_VALUE"""),"Bag")</f>
        <v>Bag</v>
      </c>
      <c r="T825" s="4" t="str">
        <f>IFERROR(__xludf.DUMMYFUNCTION("""COMPUTED_VALUE"""),"0325")</f>
        <v>0325</v>
      </c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</row>
    <row r="826">
      <c r="A826" s="4" t="str">
        <f>IFERROR(__xludf.DUMMYFUNCTION("""COMPUTED_VALUE"""),"RESISTOR:   SMD 0402 3kΩ ±1% 0.100W   [ERJ-2RKF3001X] [SMD]")</f>
        <v>RESISTOR:   SMD 0402 3kΩ ±1% 0.100W   [ERJ-2RKF3001X] [SMD]</v>
      </c>
      <c r="B826" s="4" t="str">
        <f>IFERROR(__xludf.DUMMYFUNCTION("""COMPUTED_VALUE"""),"OEPS020008")</f>
        <v>OEPS020008</v>
      </c>
      <c r="C826" s="4" t="str">
        <f>IFERROR(__xludf.DUMMYFUNCTION("""COMPUTED_VALUE"""),"SMD")</f>
        <v>SMD</v>
      </c>
      <c r="D826" s="4" t="str">
        <f>IFERROR(__xludf.DUMMYFUNCTION("""COMPUTED_VALUE"""),"ERJ-2RKF3001X")</f>
        <v>ERJ-2RKF3001X</v>
      </c>
      <c r="E826" s="4">
        <f>IFERROR(__xludf.DUMMYFUNCTION("""COMPUTED_VALUE"""),30.0)</f>
        <v>30</v>
      </c>
      <c r="F826" s="4" t="str">
        <f>IFERROR(__xludf.DUMMYFUNCTION("""COMPUTED_VALUE"""),"DigiKey")</f>
        <v>DigiKey</v>
      </c>
      <c r="G826" s="4" t="str">
        <f>IFERROR(__xludf.DUMMYFUNCTION("""COMPUTED_VALUE"""),"P3.00KLDKR-ND")</f>
        <v>P3.00KLDKR-ND</v>
      </c>
      <c r="H826" s="4"/>
      <c r="I826" s="4"/>
      <c r="J826" s="4"/>
      <c r="K826" s="4"/>
      <c r="L826" s="4"/>
      <c r="M826" s="4"/>
      <c r="N826" s="9" t="str">
        <f>IFERROR(__xludf.DUMMYFUNCTION("""COMPUTED_VALUE"""),"OEPS070087")</f>
        <v>OEPS070087</v>
      </c>
      <c r="O826" s="4" t="str">
        <f>IFERROR(__xludf.DUMMYFUNCTION("""COMPUTED_VALUE"""),"M74VHC1GT126DT1G")</f>
        <v>M74VHC1GT126DT1G</v>
      </c>
      <c r="P826" s="4" t="str">
        <f>IFERROR(__xludf.DUMMYFUNCTION("""COMPUTED_VALUE"""),"1 ")</f>
        <v>1 </v>
      </c>
      <c r="Q826" s="4">
        <f>IFERROR(__xludf.DUMMYFUNCTION("""COMPUTED_VALUE"""),1.0)</f>
        <v>1</v>
      </c>
      <c r="R826" s="4">
        <f>IFERROR(__xludf.DUMMYFUNCTION("""COMPUTED_VALUE"""),1.0)</f>
        <v>1</v>
      </c>
      <c r="S826" s="4" t="str">
        <f>IFERROR(__xludf.DUMMYFUNCTION("""COMPUTED_VALUE"""),"Bag")</f>
        <v>Bag</v>
      </c>
      <c r="T826" s="4" t="str">
        <f>IFERROR(__xludf.DUMMYFUNCTION("""COMPUTED_VALUE"""),"XXXX")</f>
        <v>XXXX</v>
      </c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</row>
    <row r="827">
      <c r="A827" s="4" t="str">
        <f>IFERROR(__xludf.DUMMYFUNCTION("""COMPUTED_VALUE"""),"RESISTOR:   SMD 0402 4.53kΩ ±0.1% 0.063W   [RT0402BRD074K53L] [SMD]")</f>
        <v>RESISTOR:   SMD 0402 4.53kΩ ±0.1% 0.063W   [RT0402BRD074K53L] [SMD]</v>
      </c>
      <c r="B827" s="4" t="str">
        <f>IFERROR(__xludf.DUMMYFUNCTION("""COMPUTED_VALUE"""),"OEPS020040")</f>
        <v>OEPS020040</v>
      </c>
      <c r="C827" s="4" t="str">
        <f>IFERROR(__xludf.DUMMYFUNCTION("""COMPUTED_VALUE"""),"SMD")</f>
        <v>SMD</v>
      </c>
      <c r="D827" s="4" t="str">
        <f>IFERROR(__xludf.DUMMYFUNCTION("""COMPUTED_VALUE"""),"RT0402BRD074K53L")</f>
        <v>RT0402BRD074K53L</v>
      </c>
      <c r="E827" s="4">
        <f>IFERROR(__xludf.DUMMYFUNCTION("""COMPUTED_VALUE"""),30.0)</f>
        <v>30</v>
      </c>
      <c r="F827" s="4" t="str">
        <f>IFERROR(__xludf.DUMMYFUNCTION("""COMPUTED_VALUE"""),"DigiKey")</f>
        <v>DigiKey</v>
      </c>
      <c r="G827" s="4" t="str">
        <f>IFERROR(__xludf.DUMMYFUNCTION("""COMPUTED_VALUE"""),"YAG1444DKR-ND")</f>
        <v>YAG1444DKR-ND</v>
      </c>
      <c r="H827" s="4"/>
      <c r="I827" s="4"/>
      <c r="J827" s="4"/>
      <c r="K827" s="4"/>
      <c r="L827" s="4"/>
      <c r="M827" s="4"/>
      <c r="N827" s="9" t="str">
        <f>IFERROR(__xludf.DUMMYFUNCTION("""COMPUTED_VALUE"""),"OEPS070088")</f>
        <v>OEPS070088</v>
      </c>
      <c r="O827" s="4" t="str">
        <f>IFERROR(__xludf.DUMMYFUNCTION("""COMPUTED_VALUE"""),"112419")</f>
        <v>112419</v>
      </c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</row>
    <row r="828">
      <c r="A828" s="4" t="str">
        <f>IFERROR(__xludf.DUMMYFUNCTION("""COMPUTED_VALUE"""),"RESISTOR:   SMD 0402 4.7kΩ ±1% 0.100W   [ERJ-2RKF4701X] [SMD]")</f>
        <v>RESISTOR:   SMD 0402 4.7kΩ ±1% 0.100W   [ERJ-2RKF4701X] [SMD]</v>
      </c>
      <c r="B828" s="4" t="str">
        <f>IFERROR(__xludf.DUMMYFUNCTION("""COMPUTED_VALUE"""),"OEPS020010")</f>
        <v>OEPS020010</v>
      </c>
      <c r="C828" s="4" t="str">
        <f>IFERROR(__xludf.DUMMYFUNCTION("""COMPUTED_VALUE"""),"SMD")</f>
        <v>SMD</v>
      </c>
      <c r="D828" s="4" t="str">
        <f>IFERROR(__xludf.DUMMYFUNCTION("""COMPUTED_VALUE"""),"ERJ-2RKF4701X")</f>
        <v>ERJ-2RKF4701X</v>
      </c>
      <c r="E828" s="4">
        <f>IFERROR(__xludf.DUMMYFUNCTION("""COMPUTED_VALUE"""),30.0)</f>
        <v>30</v>
      </c>
      <c r="F828" s="4" t="str">
        <f>IFERROR(__xludf.DUMMYFUNCTION("""COMPUTED_VALUE"""),"DigiKey")</f>
        <v>DigiKey</v>
      </c>
      <c r="G828" s="4" t="str">
        <f>IFERROR(__xludf.DUMMYFUNCTION("""COMPUTED_VALUE"""),"P4.70KLDKR-ND")</f>
        <v>P4.70KLDKR-ND</v>
      </c>
      <c r="H828" s="4"/>
      <c r="I828" s="4"/>
      <c r="J828" s="4"/>
      <c r="K828" s="4"/>
      <c r="L828" s="4"/>
      <c r="M828" s="4"/>
      <c r="N828" s="9" t="str">
        <f>IFERROR(__xludf.DUMMYFUNCTION("""COMPUTED_VALUE"""),"OEPS070089")</f>
        <v>OEPS070089</v>
      </c>
      <c r="O828" s="4" t="str">
        <f>IFERROR(__xludf.DUMMYFUNCTION("""COMPUTED_VALUE"""),"BTE04001FDA")</f>
        <v>BTE04001FDA</v>
      </c>
      <c r="P828" s="4" t="str">
        <f>IFERROR(__xludf.DUMMYFUNCTION("""COMPUTED_VALUE"""),"7 1(Tb) ")</f>
        <v>7 1(Tb) </v>
      </c>
      <c r="Q828" s="4">
        <f>IFERROR(__xludf.DUMMYFUNCTION("""COMPUTED_VALUE"""),8.0)</f>
        <v>8</v>
      </c>
      <c r="R828" s="4">
        <f>IFERROR(__xludf.DUMMYFUNCTION("""COMPUTED_VALUE"""),7.0)</f>
        <v>7</v>
      </c>
      <c r="S828" s="4" t="str">
        <f>IFERROR(__xludf.DUMMYFUNCTION("""COMPUTED_VALUE"""),"Bag")</f>
        <v>Bag</v>
      </c>
      <c r="T828" s="4" t="str">
        <f>IFERROR(__xludf.DUMMYFUNCTION("""COMPUTED_VALUE"""),"1124")</f>
        <v>1124</v>
      </c>
      <c r="U828" s="4">
        <f>IFERROR(__xludf.DUMMYFUNCTION("""COMPUTED_VALUE"""),1.0)</f>
        <v>1</v>
      </c>
      <c r="V828" s="4" t="str">
        <f>IFERROR(__xludf.DUMMYFUNCTION("""COMPUTED_VALUE"""),"Tube")</f>
        <v>Tube</v>
      </c>
      <c r="W828" s="4" t="str">
        <f>IFERROR(__xludf.DUMMYFUNCTION("""COMPUTED_VALUE"""),"XXXX")</f>
        <v>XXXX</v>
      </c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</row>
    <row r="829">
      <c r="A829" s="4" t="str">
        <f>IFERROR(__xludf.DUMMYFUNCTION("""COMPUTED_VALUE"""),"RESISTOR:   SMD 0402 470Ω ±1% 0.063W   [RC0402FR-07470RL] [SMD]")</f>
        <v>RESISTOR:   SMD 0402 470Ω ±1% 0.063W   [RC0402FR-07470RL] [SMD]</v>
      </c>
      <c r="B829" s="4" t="str">
        <f>IFERROR(__xludf.DUMMYFUNCTION("""COMPUTED_VALUE"""),"OEPS020202")</f>
        <v>OEPS020202</v>
      </c>
      <c r="C829" s="4" t="str">
        <f>IFERROR(__xludf.DUMMYFUNCTION("""COMPUTED_VALUE"""),"SMD")</f>
        <v>SMD</v>
      </c>
      <c r="D829" s="4" t="str">
        <f>IFERROR(__xludf.DUMMYFUNCTION("""COMPUTED_VALUE"""),"RC0402FR-07470RL")</f>
        <v>RC0402FR-07470RL</v>
      </c>
      <c r="E829" s="4">
        <f>IFERROR(__xludf.DUMMYFUNCTION("""COMPUTED_VALUE"""),30.0)</f>
        <v>30</v>
      </c>
      <c r="F829" s="4" t="str">
        <f>IFERROR(__xludf.DUMMYFUNCTION("""COMPUTED_VALUE"""),"Digikey")</f>
        <v>Digikey</v>
      </c>
      <c r="G829" s="4" t="str">
        <f>IFERROR(__xludf.DUMMYFUNCTION("""COMPUTED_VALUE"""),"RC0402FR-07470RL")</f>
        <v>RC0402FR-07470RL</v>
      </c>
      <c r="H829" s="4"/>
      <c r="I829" s="4"/>
      <c r="J829" s="4"/>
      <c r="K829" s="4"/>
      <c r="L829" s="4"/>
      <c r="M829" s="4"/>
      <c r="N829" s="9" t="str">
        <f>IFERROR(__xludf.DUMMYFUNCTION("""COMPUTED_VALUE"""),"OEPS070090")</f>
        <v>OEPS070090</v>
      </c>
      <c r="O829" s="4" t="str">
        <f>IFERROR(__xludf.DUMMYFUNCTION("""COMPUTED_VALUE"""),"DF40C2070DS04V51")</f>
        <v>DF40C2070DS04V51</v>
      </c>
      <c r="P829" s="4" t="str">
        <f>IFERROR(__xludf.DUMMYFUNCTION("""COMPUTED_VALUE"""),"55(Tp) 1(Tp) 1(Tp) ")</f>
        <v>55(Tp) 1(Tp) 1(Tp) </v>
      </c>
      <c r="Q829" s="4">
        <f>IFERROR(__xludf.DUMMYFUNCTION("""COMPUTED_VALUE"""),57.0)</f>
        <v>57</v>
      </c>
      <c r="R829" s="4">
        <f>IFERROR(__xludf.DUMMYFUNCTION("""COMPUTED_VALUE"""),55.0)</f>
        <v>55</v>
      </c>
      <c r="S829" s="4" t="str">
        <f>IFERROR(__xludf.DUMMYFUNCTION("""COMPUTED_VALUE"""),"Tape")</f>
        <v>Tape</v>
      </c>
      <c r="T829" s="4" t="str">
        <f>IFERROR(__xludf.DUMMYFUNCTION("""COMPUTED_VALUE"""),"0425")</f>
        <v>0425</v>
      </c>
      <c r="U829" s="4">
        <f>IFERROR(__xludf.DUMMYFUNCTION("""COMPUTED_VALUE"""),1.0)</f>
        <v>1</v>
      </c>
      <c r="V829" s="4" t="str">
        <f>IFERROR(__xludf.DUMMYFUNCTION("""COMPUTED_VALUE"""),"Tape")</f>
        <v>Tape</v>
      </c>
      <c r="W829" s="4" t="str">
        <f>IFERROR(__xludf.DUMMYFUNCTION("""COMPUTED_VALUE"""),"0824")</f>
        <v>0824</v>
      </c>
      <c r="X829" s="4">
        <f>IFERROR(__xludf.DUMMYFUNCTION("""COMPUTED_VALUE"""),1.0)</f>
        <v>1</v>
      </c>
      <c r="Y829" s="4" t="str">
        <f>IFERROR(__xludf.DUMMYFUNCTION("""COMPUTED_VALUE"""),"Tape")</f>
        <v>Tape</v>
      </c>
      <c r="Z829" s="4" t="str">
        <f>IFERROR(__xludf.DUMMYFUNCTION("""COMPUTED_VALUE"""),"XXXX")</f>
        <v>XXXX</v>
      </c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</row>
    <row r="830">
      <c r="A830" s="4" t="str">
        <f>IFERROR(__xludf.DUMMYFUNCTION("""COMPUTED_VALUE"""),"RESISTOR:   SMD 0402 47kΩ ±1% 0.100W   [ERJ-2RKF4702X] [SMD]")</f>
        <v>RESISTOR:   SMD 0402 47kΩ ±1% 0.100W   [ERJ-2RKF4702X] [SMD]</v>
      </c>
      <c r="B830" s="4" t="str">
        <f>IFERROR(__xludf.DUMMYFUNCTION("""COMPUTED_VALUE"""),"OEPS020017")</f>
        <v>OEPS020017</v>
      </c>
      <c r="C830" s="4" t="str">
        <f>IFERROR(__xludf.DUMMYFUNCTION("""COMPUTED_VALUE"""),"SMD")</f>
        <v>SMD</v>
      </c>
      <c r="D830" s="4" t="str">
        <f>IFERROR(__xludf.DUMMYFUNCTION("""COMPUTED_VALUE"""),"ERJ-2RKF4702X")</f>
        <v>ERJ-2RKF4702X</v>
      </c>
      <c r="E830" s="4">
        <f>IFERROR(__xludf.DUMMYFUNCTION("""COMPUTED_VALUE"""),30.0)</f>
        <v>30</v>
      </c>
      <c r="F830" s="4" t="str">
        <f>IFERROR(__xludf.DUMMYFUNCTION("""COMPUTED_VALUE"""),"DigiKey")</f>
        <v>DigiKey</v>
      </c>
      <c r="G830" s="4" t="str">
        <f>IFERROR(__xludf.DUMMYFUNCTION("""COMPUTED_VALUE"""),"P47.0KLDKR-ND")</f>
        <v>P47.0KLDKR-ND</v>
      </c>
      <c r="H830" s="4"/>
      <c r="I830" s="4"/>
      <c r="J830" s="4"/>
      <c r="K830" s="4"/>
      <c r="L830" s="4"/>
      <c r="M830" s="4"/>
      <c r="N830" s="9" t="str">
        <f>IFERROR(__xludf.DUMMYFUNCTION("""COMPUTED_VALUE"""),"OEPS070095")</f>
        <v>OEPS070095</v>
      </c>
      <c r="O830" s="4" t="str">
        <f>IFERROR(__xludf.DUMMYFUNCTION("""COMPUTED_VALUE"""),"PPTC021LFBN-RC")</f>
        <v>PPTC021LFBN-RC</v>
      </c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</row>
    <row r="831">
      <c r="A831" s="4" t="str">
        <f>IFERROR(__xludf.DUMMYFUNCTION("""COMPUTED_VALUE"""),"RESISTOR:   SMD 0402 48.7kΩ ±1% 0.063W   [RC0402FR-0748K7L] [SMD]")</f>
        <v>RESISTOR:   SMD 0402 48.7kΩ ±1% 0.063W   [RC0402FR-0748K7L] [SMD]</v>
      </c>
      <c r="B831" s="4" t="str">
        <f>IFERROR(__xludf.DUMMYFUNCTION("""COMPUTED_VALUE"""),"OEPS020188")</f>
        <v>OEPS020188</v>
      </c>
      <c r="C831" s="4" t="str">
        <f>IFERROR(__xludf.DUMMYFUNCTION("""COMPUTED_VALUE"""),"SMD")</f>
        <v>SMD</v>
      </c>
      <c r="D831" s="4" t="str">
        <f>IFERROR(__xludf.DUMMYFUNCTION("""COMPUTED_VALUE"""),"RC0402FR-0748K7L")</f>
        <v>RC0402FR-0748K7L</v>
      </c>
      <c r="E831" s="4">
        <f>IFERROR(__xludf.DUMMYFUNCTION("""COMPUTED_VALUE"""),30.0)</f>
        <v>30</v>
      </c>
      <c r="F831" s="4" t="str">
        <f>IFERROR(__xludf.DUMMYFUNCTION("""COMPUTED_VALUE"""),"DigiKey")</f>
        <v>DigiKey</v>
      </c>
      <c r="G831" s="4" t="str">
        <f>IFERROR(__xludf.DUMMYFUNCTION("""COMPUTED_VALUE"""),"YAG3169DKR-ND")</f>
        <v>YAG3169DKR-ND</v>
      </c>
      <c r="H831" s="4"/>
      <c r="I831" s="4"/>
      <c r="J831" s="4"/>
      <c r="K831" s="4"/>
      <c r="L831" s="4"/>
      <c r="M831" s="4"/>
      <c r="N831" s="9" t="str">
        <f>IFERROR(__xludf.DUMMYFUNCTION("""COMPUTED_VALUE"""),"OEPS070096")</f>
        <v>OEPS070096</v>
      </c>
      <c r="O831" s="4" t="str">
        <f>IFERROR(__xludf.DUMMYFUNCTION("""COMPUTED_VALUE"""),"PPTC041LFBN-RC")</f>
        <v>PPTC041LFBN-RC</v>
      </c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</row>
    <row r="832">
      <c r="A832" s="4" t="str">
        <f>IFERROR(__xludf.DUMMYFUNCTION("""COMPUTED_VALUE"""),"RESISTOR:   SMD 0402 49.9Ω ±0.5% 0.063W   [RR0510R-49R9-D] [SMD]")</f>
        <v>RESISTOR:   SMD 0402 49.9Ω ±0.5% 0.063W   [RR0510R-49R9-D] [SMD]</v>
      </c>
      <c r="B832" s="4" t="str">
        <f>IFERROR(__xludf.DUMMYFUNCTION("""COMPUTED_VALUE"""),"OEPS020002")</f>
        <v>OEPS020002</v>
      </c>
      <c r="C832" s="4" t="str">
        <f>IFERROR(__xludf.DUMMYFUNCTION("""COMPUTED_VALUE"""),"SMD")</f>
        <v>SMD</v>
      </c>
      <c r="D832" s="4" t="str">
        <f>IFERROR(__xludf.DUMMYFUNCTION("""COMPUTED_VALUE"""),"RR0510R-49R9-D")</f>
        <v>RR0510R-49R9-D</v>
      </c>
      <c r="E832" s="4">
        <f>IFERROR(__xludf.DUMMYFUNCTION("""COMPUTED_VALUE"""),30.0)</f>
        <v>30</v>
      </c>
      <c r="F832" s="4" t="str">
        <f>IFERROR(__xludf.DUMMYFUNCTION("""COMPUTED_VALUE"""),"DigiKey")</f>
        <v>DigiKey</v>
      </c>
      <c r="G832" s="4" t="str">
        <f>IFERROR(__xludf.DUMMYFUNCTION("""COMPUTED_VALUE"""),"RR05R49.9DDKR-ND")</f>
        <v>RR05R49.9DDKR-ND</v>
      </c>
      <c r="H832" s="4"/>
      <c r="I832" s="4"/>
      <c r="J832" s="4"/>
      <c r="K832" s="4"/>
      <c r="L832" s="4"/>
      <c r="M832" s="4"/>
      <c r="N832" s="9" t="str">
        <f>IFERROR(__xludf.DUMMYFUNCTION("""COMPUTED_VALUE"""),"OEPS070098")</f>
        <v>OEPS070098</v>
      </c>
      <c r="O832" s="4" t="str">
        <f>IFERROR(__xludf.DUMMYFUNCTION("""COMPUTED_VALUE"""),"SSW-102-02-T-S-RA")</f>
        <v>SSW-102-02-T-S-RA</v>
      </c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</row>
    <row r="833">
      <c r="A833" s="4" t="str">
        <f>IFERROR(__xludf.DUMMYFUNCTION("""COMPUTED_VALUE"""),"RESISTOR:   SMD 0402 499Ω ±1% 0.100W   [ERJ-2RKF4990X] [SMD]")</f>
        <v>RESISTOR:   SMD 0402 499Ω ±1% 0.100W   [ERJ-2RKF4990X] [SMD]</v>
      </c>
      <c r="B833" s="4" t="str">
        <f>IFERROR(__xludf.DUMMYFUNCTION("""COMPUTED_VALUE"""),"OEPS020005")</f>
        <v>OEPS020005</v>
      </c>
      <c r="C833" s="4" t="str">
        <f>IFERROR(__xludf.DUMMYFUNCTION("""COMPUTED_VALUE"""),"SMD")</f>
        <v>SMD</v>
      </c>
      <c r="D833" s="4" t="str">
        <f>IFERROR(__xludf.DUMMYFUNCTION("""COMPUTED_VALUE"""),"ERJ-2RKF4990X")</f>
        <v>ERJ-2RKF4990X</v>
      </c>
      <c r="E833" s="4">
        <f>IFERROR(__xludf.DUMMYFUNCTION("""COMPUTED_VALUE"""),30.0)</f>
        <v>30</v>
      </c>
      <c r="F833" s="4" t="str">
        <f>IFERROR(__xludf.DUMMYFUNCTION("""COMPUTED_VALUE"""),"DigiKey")</f>
        <v>DigiKey</v>
      </c>
      <c r="G833" s="4" t="str">
        <f>IFERROR(__xludf.DUMMYFUNCTION("""COMPUTED_VALUE"""),"P499LDKR-ND")</f>
        <v>P499LDKR-ND</v>
      </c>
      <c r="H833" s="4"/>
      <c r="I833" s="4"/>
      <c r="J833" s="4"/>
      <c r="K833" s="4"/>
      <c r="L833" s="4"/>
      <c r="M833" s="4"/>
      <c r="N833" s="9" t="str">
        <f>IFERROR(__xludf.DUMMYFUNCTION("""COMPUTED_VALUE"""),"OEPS070099")</f>
        <v>OEPS070099</v>
      </c>
      <c r="O833" s="4" t="str">
        <f>IFERROR(__xludf.DUMMYFUNCTION("""COMPUTED_VALUE"""),"M20-8760242")</f>
        <v>M20-8760242</v>
      </c>
      <c r="P833" s="4" t="str">
        <f>IFERROR(__xludf.DUMMYFUNCTION("""COMPUTED_VALUE"""),"25 ")</f>
        <v>25 </v>
      </c>
      <c r="Q833" s="4">
        <f>IFERROR(__xludf.DUMMYFUNCTION("""COMPUTED_VALUE"""),25.0)</f>
        <v>25</v>
      </c>
      <c r="R833" s="4">
        <f>IFERROR(__xludf.DUMMYFUNCTION("""COMPUTED_VALUE"""),25.0)</f>
        <v>25</v>
      </c>
      <c r="S833" s="4" t="str">
        <f>IFERROR(__xludf.DUMMYFUNCTION("""COMPUTED_VALUE"""),"Bag")</f>
        <v>Bag</v>
      </c>
      <c r="T833" s="4" t="str">
        <f>IFERROR(__xludf.DUMMYFUNCTION("""COMPUTED_VALUE"""),"0425")</f>
        <v>0425</v>
      </c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</row>
    <row r="834">
      <c r="A834" s="4" t="str">
        <f>IFERROR(__xludf.DUMMYFUNCTION("""COMPUTED_VALUE"""),"RESISTOR:   SMD 0402 5.1kΩ ±0.1% 0.063W   [RT0402BRD075K1L] [SMD]")</f>
        <v>RESISTOR:   SMD 0402 5.1kΩ ±0.1% 0.063W   [RT0402BRD075K1L] [SMD]</v>
      </c>
      <c r="B834" s="4" t="str">
        <f>IFERROR(__xludf.DUMMYFUNCTION("""COMPUTED_VALUE"""),"OEPS020203")</f>
        <v>OEPS020203</v>
      </c>
      <c r="C834" s="4" t="str">
        <f>IFERROR(__xludf.DUMMYFUNCTION("""COMPUTED_VALUE"""),"SMD")</f>
        <v>SMD</v>
      </c>
      <c r="D834" s="4" t="str">
        <f>IFERROR(__xludf.DUMMYFUNCTION("""COMPUTED_VALUE"""),"RT0402BRD075K1L")</f>
        <v>RT0402BRD075K1L</v>
      </c>
      <c r="E834" s="4">
        <f>IFERROR(__xludf.DUMMYFUNCTION("""COMPUTED_VALUE"""),30.0)</f>
        <v>30</v>
      </c>
      <c r="F834" s="4" t="str">
        <f>IFERROR(__xludf.DUMMYFUNCTION("""COMPUTED_VALUE"""),"DigiKey")</f>
        <v>DigiKey</v>
      </c>
      <c r="G834" s="4" t="str">
        <f>IFERROR(__xludf.DUMMYFUNCTION("""COMPUTED_VALUE"""),"YAG1457DKR-ND")</f>
        <v>YAG1457DKR-ND</v>
      </c>
      <c r="H834" s="4"/>
      <c r="I834" s="4"/>
      <c r="J834" s="4"/>
      <c r="K834" s="4"/>
      <c r="L834" s="4"/>
      <c r="M834" s="4"/>
      <c r="N834" s="9" t="str">
        <f>IFERROR(__xludf.DUMMYFUNCTION("""COMPUTED_VALUE"""),"OEPS070100")</f>
        <v>OEPS070100</v>
      </c>
      <c r="O834" s="4" t="str">
        <f>IFERROR(__xludf.DUMMYFUNCTION("""COMPUTED_VALUE"""),"BSE-040-01-F-D-A-TR")</f>
        <v>BSE-040-01-F-D-A-TR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</row>
    <row r="835">
      <c r="A835" s="4" t="str">
        <f>IFERROR(__xludf.DUMMYFUNCTION("""COMPUTED_VALUE"""),"RESISTOR:   SMD 0402 5.1kΩ ±1% 0.100W   [ERJ-2RKF5101X] [SMD]")</f>
        <v>RESISTOR:   SMD 0402 5.1kΩ ±1% 0.100W   [ERJ-2RKF5101X] [SMD]</v>
      </c>
      <c r="B835" s="4" t="str">
        <f>IFERROR(__xludf.DUMMYFUNCTION("""COMPUTED_VALUE"""),"OEPS020173")</f>
        <v>OEPS020173</v>
      </c>
      <c r="C835" s="4" t="str">
        <f>IFERROR(__xludf.DUMMYFUNCTION("""COMPUTED_VALUE"""),"SMD")</f>
        <v>SMD</v>
      </c>
      <c r="D835" s="4" t="str">
        <f>IFERROR(__xludf.DUMMYFUNCTION("""COMPUTED_VALUE"""),"ERJ-2RKF5101X")</f>
        <v>ERJ-2RKF5101X</v>
      </c>
      <c r="E835" s="4">
        <f>IFERROR(__xludf.DUMMYFUNCTION("""COMPUTED_VALUE"""),30.0)</f>
        <v>30</v>
      </c>
      <c r="F835" s="4" t="str">
        <f>IFERROR(__xludf.DUMMYFUNCTION("""COMPUTED_VALUE"""),"Digikey")</f>
        <v>Digikey</v>
      </c>
      <c r="G835" s="4" t="str">
        <f>IFERROR(__xludf.DUMMYFUNCTION("""COMPUTED_VALUE"""),"P5.10KLDKR-ND")</f>
        <v>P5.10KLDKR-ND</v>
      </c>
      <c r="H835" s="4"/>
      <c r="I835" s="4"/>
      <c r="J835" s="4"/>
      <c r="K835" s="4"/>
      <c r="L835" s="4"/>
      <c r="M835" s="4"/>
      <c r="N835" s="9" t="str">
        <f>IFERROR(__xludf.DUMMYFUNCTION("""COMPUTED_VALUE"""),"OEPS070101")</f>
        <v>OEPS070101</v>
      </c>
      <c r="O835" s="4" t="str">
        <f>IFERROR(__xludf.DUMMYFUNCTION("""COMPUTED_VALUE"""),"S7060R")</f>
        <v>S7060R</v>
      </c>
      <c r="P835" s="4" t="str">
        <f>IFERROR(__xludf.DUMMYFUNCTION("""COMPUTED_VALUE"""),"30 ")</f>
        <v>30 </v>
      </c>
      <c r="Q835" s="4">
        <f>IFERROR(__xludf.DUMMYFUNCTION("""COMPUTED_VALUE"""),30.0)</f>
        <v>30</v>
      </c>
      <c r="R835" s="4">
        <f>IFERROR(__xludf.DUMMYFUNCTION("""COMPUTED_VALUE"""),30.0)</f>
        <v>30</v>
      </c>
      <c r="S835" s="4" t="str">
        <f>IFERROR(__xludf.DUMMYFUNCTION("""COMPUTED_VALUE"""),"Bag")</f>
        <v>Bag</v>
      </c>
      <c r="T835" s="4" t="str">
        <f>IFERROR(__xludf.DUMMYFUNCTION("""COMPUTED_VALUE"""),"0426")</f>
        <v>0426</v>
      </c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</row>
    <row r="836">
      <c r="A836" s="4" t="str">
        <f>IFERROR(__xludf.DUMMYFUNCTION("""COMPUTED_VALUE"""),"RESISTOR:   SMD 0402 5.6kΩ ±1% 0.100W   [ERJ-2RKF5601X] [SMD]")</f>
        <v>RESISTOR:   SMD 0402 5.6kΩ ±1% 0.100W   [ERJ-2RKF5601X] [SMD]</v>
      </c>
      <c r="B836" s="4" t="str">
        <f>IFERROR(__xludf.DUMMYFUNCTION("""COMPUTED_VALUE"""),"OEPS020011")</f>
        <v>OEPS020011</v>
      </c>
      <c r="C836" s="4" t="str">
        <f>IFERROR(__xludf.DUMMYFUNCTION("""COMPUTED_VALUE"""),"SMD")</f>
        <v>SMD</v>
      </c>
      <c r="D836" s="4" t="str">
        <f>IFERROR(__xludf.DUMMYFUNCTION("""COMPUTED_VALUE"""),"ERJ-2RKF5601X")</f>
        <v>ERJ-2RKF5601X</v>
      </c>
      <c r="E836" s="4">
        <f>IFERROR(__xludf.DUMMYFUNCTION("""COMPUTED_VALUE"""),30.0)</f>
        <v>30</v>
      </c>
      <c r="F836" s="4" t="str">
        <f>IFERROR(__xludf.DUMMYFUNCTION("""COMPUTED_VALUE"""),"DigiKey")</f>
        <v>DigiKey</v>
      </c>
      <c r="G836" s="4" t="str">
        <f>IFERROR(__xludf.DUMMYFUNCTION("""COMPUTED_VALUE"""),"P5.60KLDKR-ND")</f>
        <v>P5.60KLDKR-ND</v>
      </c>
      <c r="H836" s="4"/>
      <c r="I836" s="4"/>
      <c r="J836" s="4"/>
      <c r="K836" s="4"/>
      <c r="L836" s="4"/>
      <c r="M836" s="4"/>
      <c r="N836" s="9" t="str">
        <f>IFERROR(__xludf.DUMMYFUNCTION("""COMPUTED_VALUE"""),"OEPS070102")</f>
        <v>OEPS070102</v>
      </c>
      <c r="O836" s="4" t="str">
        <f>IFERROR(__xludf.DUMMYFUNCTION("""COMPUTED_VALUE"""),"S038S")</f>
        <v>S038S</v>
      </c>
      <c r="P836" s="4" t="str">
        <f>IFERROR(__xludf.DUMMYFUNCTION("""COMPUTED_VALUE"""),"30 ")</f>
        <v>30 </v>
      </c>
      <c r="Q836" s="4">
        <f>IFERROR(__xludf.DUMMYFUNCTION("""COMPUTED_VALUE"""),30.0)</f>
        <v>30</v>
      </c>
      <c r="R836" s="4">
        <f>IFERROR(__xludf.DUMMYFUNCTION("""COMPUTED_VALUE"""),30.0)</f>
        <v>30</v>
      </c>
      <c r="S836" s="4" t="str">
        <f>IFERROR(__xludf.DUMMYFUNCTION("""COMPUTED_VALUE"""),"Bag")</f>
        <v>Bag</v>
      </c>
      <c r="T836" s="4" t="str">
        <f>IFERROR(__xludf.DUMMYFUNCTION("""COMPUTED_VALUE"""),"0426")</f>
        <v>0426</v>
      </c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</row>
    <row r="837">
      <c r="A837" s="4" t="str">
        <f>IFERROR(__xludf.DUMMYFUNCTION("""COMPUTED_VALUE"""),"RESISTOR:   SMD 0402 51kΩ ±0.1% 0.063W   [ERA-2AEB513X] [SMD]")</f>
        <v>RESISTOR:   SMD 0402 51kΩ ±0.1% 0.063W   [ERA-2AEB513X] [SMD]</v>
      </c>
      <c r="B837" s="4" t="str">
        <f>IFERROR(__xludf.DUMMYFUNCTION("""COMPUTED_VALUE"""),"OEPS020046")</f>
        <v>OEPS020046</v>
      </c>
      <c r="C837" s="4" t="str">
        <f>IFERROR(__xludf.DUMMYFUNCTION("""COMPUTED_VALUE"""),"SMD")</f>
        <v>SMD</v>
      </c>
      <c r="D837" s="4" t="str">
        <f>IFERROR(__xludf.DUMMYFUNCTION("""COMPUTED_VALUE"""),"ERA-2AEB513X")</f>
        <v>ERA-2AEB513X</v>
      </c>
      <c r="E837" s="4">
        <f>IFERROR(__xludf.DUMMYFUNCTION("""COMPUTED_VALUE"""),30.0)</f>
        <v>30</v>
      </c>
      <c r="F837" s="4" t="str">
        <f>IFERROR(__xludf.DUMMYFUNCTION("""COMPUTED_VALUE"""),"DigiKey")</f>
        <v>DigiKey</v>
      </c>
      <c r="G837" s="4" t="str">
        <f>IFERROR(__xludf.DUMMYFUNCTION("""COMPUTED_VALUE"""),"P51KDCDKR-ND")</f>
        <v>P51KDCDKR-ND</v>
      </c>
      <c r="H837" s="4"/>
      <c r="I837" s="4"/>
      <c r="J837" s="4"/>
      <c r="K837" s="4"/>
      <c r="L837" s="4"/>
      <c r="M837" s="4"/>
      <c r="N837" s="9" t="str">
        <f>IFERROR(__xludf.DUMMYFUNCTION("""COMPUTED_VALUE"""),"OEPS070103")</f>
        <v>OEPS070103</v>
      </c>
      <c r="O837" s="4" t="str">
        <f>IFERROR(__xludf.DUMMYFUNCTION("""COMPUTED_VALUE"""),"BTE-040-03-L-D-A")</f>
        <v>BTE-040-03-L-D-A</v>
      </c>
      <c r="P837" s="4" t="str">
        <f>IFERROR(__xludf.DUMMYFUNCTION("""COMPUTED_VALUE"""),"1 ")</f>
        <v>1 </v>
      </c>
      <c r="Q837" s="4">
        <f>IFERROR(__xludf.DUMMYFUNCTION("""COMPUTED_VALUE"""),1.0)</f>
        <v>1</v>
      </c>
      <c r="R837" s="4">
        <f>IFERROR(__xludf.DUMMYFUNCTION("""COMPUTED_VALUE"""),1.0)</f>
        <v>1</v>
      </c>
      <c r="S837" s="4" t="str">
        <f>IFERROR(__xludf.DUMMYFUNCTION("""COMPUTED_VALUE"""),"Bag")</f>
        <v>Bag</v>
      </c>
      <c r="T837" s="4" t="str">
        <f>IFERROR(__xludf.DUMMYFUNCTION("""COMPUTED_VALUE"""),"XXXX")</f>
        <v>XXXX</v>
      </c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</row>
    <row r="838">
      <c r="A838" s="4" t="str">
        <f>IFERROR(__xludf.DUMMYFUNCTION("""COMPUTED_VALUE"""),"RESISTOR:   SMD 0402 560Ω ±1% 0.063W   [CRCW0402560RFKED] [SMD]")</f>
        <v>RESISTOR:   SMD 0402 560Ω ±1% 0.063W   [CRCW0402560RFKED] [SMD]</v>
      </c>
      <c r="B838" s="4" t="str">
        <f>IFERROR(__xludf.DUMMYFUNCTION("""COMPUTED_VALUE"""),"OEPS020193")</f>
        <v>OEPS020193</v>
      </c>
      <c r="C838" s="4" t="str">
        <f>IFERROR(__xludf.DUMMYFUNCTION("""COMPUTED_VALUE"""),"SMD")</f>
        <v>SMD</v>
      </c>
      <c r="D838" s="4" t="str">
        <f>IFERROR(__xludf.DUMMYFUNCTION("""COMPUTED_VALUE"""),"CRCW0402560RFKED")</f>
        <v>CRCW0402560RFKED</v>
      </c>
      <c r="E838" s="4">
        <f>IFERROR(__xludf.DUMMYFUNCTION("""COMPUTED_VALUE"""),30.0)</f>
        <v>30</v>
      </c>
      <c r="F838" s="4" t="str">
        <f>IFERROR(__xludf.DUMMYFUNCTION("""COMPUTED_VALUE"""),"Digikey")</f>
        <v>Digikey</v>
      </c>
      <c r="G838" s="4" t="str">
        <f>IFERROR(__xludf.DUMMYFUNCTION("""COMPUTED_VALUE"""),"541-560LDKR-ND")</f>
        <v>541-560LDKR-ND</v>
      </c>
      <c r="H838" s="4"/>
      <c r="I838" s="4"/>
      <c r="J838" s="4"/>
      <c r="K838" s="4"/>
      <c r="L838" s="4"/>
      <c r="M838" s="4"/>
      <c r="N838" s="9" t="str">
        <f>IFERROR(__xludf.DUMMYFUNCTION("""COMPUTED_VALUE"""),"OEPS070104")</f>
        <v>OEPS070104</v>
      </c>
      <c r="O838" s="4" t="str">
        <f>IFERROR(__xludf.DUMMYFUNCTION("""COMPUTED_VALUE"""),"FH12-16S-0.5SH(55)")</f>
        <v>FH12-16S-0.5SH(55)</v>
      </c>
      <c r="P838" s="4" t="str">
        <f>IFERROR(__xludf.DUMMYFUNCTION("""COMPUTED_VALUE"""),"1(Tp) ")</f>
        <v>1(Tp) </v>
      </c>
      <c r="Q838" s="4">
        <f>IFERROR(__xludf.DUMMYFUNCTION("""COMPUTED_VALUE"""),1.0)</f>
        <v>1</v>
      </c>
      <c r="R838" s="4">
        <f>IFERROR(__xludf.DUMMYFUNCTION("""COMPUTED_VALUE"""),1.0)</f>
        <v>1</v>
      </c>
      <c r="S838" s="4" t="str">
        <f>IFERROR(__xludf.DUMMYFUNCTION("""COMPUTED_VALUE"""),"Tape")</f>
        <v>Tape</v>
      </c>
      <c r="T838" s="4" t="str">
        <f>IFERROR(__xludf.DUMMYFUNCTION("""COMPUTED_VALUE"""),"0425")</f>
        <v>0425</v>
      </c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</row>
    <row r="839">
      <c r="A839" s="4" t="str">
        <f>IFERROR(__xludf.DUMMYFUNCTION("""COMPUTED_VALUE"""),"RESISTOR:   SMD 0402 5kΩ ±0.1% 0.050W   [PNM0402E5001BST1] [SMD]")</f>
        <v>RESISTOR:   SMD 0402 5kΩ ±0.1% 0.050W   [PNM0402E5001BST1] [SMD]</v>
      </c>
      <c r="B839" s="4" t="str">
        <f>IFERROR(__xludf.DUMMYFUNCTION("""COMPUTED_VALUE"""),"OEPS020206")</f>
        <v>OEPS020206</v>
      </c>
      <c r="C839" s="4" t="str">
        <f>IFERROR(__xludf.DUMMYFUNCTION("""COMPUTED_VALUE"""),"SMD")</f>
        <v>SMD</v>
      </c>
      <c r="D839" s="4" t="str">
        <f>IFERROR(__xludf.DUMMYFUNCTION("""COMPUTED_VALUE"""),"PNM0402E5001BST1")</f>
        <v>PNM0402E5001BST1</v>
      </c>
      <c r="E839" s="4">
        <f>IFERROR(__xludf.DUMMYFUNCTION("""COMPUTED_VALUE"""),30.0)</f>
        <v>30</v>
      </c>
      <c r="F839" s="4" t="str">
        <f>IFERROR(__xludf.DUMMYFUNCTION("""COMPUTED_VALUE"""),"Digikey")</f>
        <v>Digikey</v>
      </c>
      <c r="G839" s="4" t="str">
        <f>IFERROR(__xludf.DUMMYFUNCTION("""COMPUTED_VALUE"""),"541-1901-6-ND")</f>
        <v>541-1901-6-ND</v>
      </c>
      <c r="H839" s="4"/>
      <c r="I839" s="4"/>
      <c r="J839" s="4"/>
      <c r="K839" s="4"/>
      <c r="L839" s="4"/>
      <c r="M839" s="4"/>
      <c r="N839" s="9" t="str">
        <f>IFERROR(__xludf.DUMMYFUNCTION("""COMPUTED_VALUE"""),"OEPS070105")</f>
        <v>OEPS070105</v>
      </c>
      <c r="O839" s="4" t="str">
        <f>IFERROR(__xludf.DUMMYFUNCTION("""COMPUTED_VALUE"""),"USB4105-GF-A")</f>
        <v>USB4105-GF-A</v>
      </c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</row>
    <row r="840">
      <c r="A840" s="4" t="str">
        <f>IFERROR(__xludf.DUMMYFUNCTION("""COMPUTED_VALUE"""),"RESISTOR:   SMD 0402 6.12kΩ ±0.1% 0.100W   [RN73R1ETTP6121B25] [SMD]")</f>
        <v>RESISTOR:   SMD 0402 6.12kΩ ±0.1% 0.100W   [RN73R1ETTP6121B25] [SMD]</v>
      </c>
      <c r="B840" s="4" t="str">
        <f>IFERROR(__xludf.DUMMYFUNCTION("""COMPUTED_VALUE"""),"OEPS020162")</f>
        <v>OEPS020162</v>
      </c>
      <c r="C840" s="4" t="str">
        <f>IFERROR(__xludf.DUMMYFUNCTION("""COMPUTED_VALUE"""),"SMD")</f>
        <v>SMD</v>
      </c>
      <c r="D840" s="4" t="str">
        <f>IFERROR(__xludf.DUMMYFUNCTION("""COMPUTED_VALUE"""),"RN73R1ETTP6121B25")</f>
        <v>RN73R1ETTP6121B25</v>
      </c>
      <c r="E840" s="4">
        <f>IFERROR(__xludf.DUMMYFUNCTION("""COMPUTED_VALUE"""),30.0)</f>
        <v>30</v>
      </c>
      <c r="F840" s="4" t="str">
        <f>IFERROR(__xludf.DUMMYFUNCTION("""COMPUTED_VALUE"""),"DigiKey")</f>
        <v>DigiKey</v>
      </c>
      <c r="G840" s="4" t="str">
        <f>IFERROR(__xludf.DUMMYFUNCTION("""COMPUTED_VALUE"""),"2019-RN73R1ETTP6121B25DKR-ND")</f>
        <v>2019-RN73R1ETTP6121B25DKR-ND</v>
      </c>
      <c r="H840" s="4"/>
      <c r="I840" s="4"/>
      <c r="J840" s="4"/>
      <c r="K840" s="4"/>
      <c r="L840" s="4"/>
      <c r="M840" s="4"/>
      <c r="N840" s="9" t="str">
        <f>IFERROR(__xludf.DUMMYFUNCTION("""COMPUTED_VALUE"""),"OEPS070106")</f>
        <v>OEPS070106</v>
      </c>
      <c r="O840" s="4" t="str">
        <f>IFERROR(__xludf.DUMMYFUNCTION("""COMPUTED_VALUE"""),"S2B-PH-SM4-TB")</f>
        <v>S2B-PH-SM4-TB</v>
      </c>
      <c r="P840" s="4" t="str">
        <f>IFERROR(__xludf.DUMMYFUNCTION("""COMPUTED_VALUE"""),"1 ")</f>
        <v>1 </v>
      </c>
      <c r="Q840" s="4">
        <f>IFERROR(__xludf.DUMMYFUNCTION("""COMPUTED_VALUE"""),1.0)</f>
        <v>1</v>
      </c>
      <c r="R840" s="4">
        <f>IFERROR(__xludf.DUMMYFUNCTION("""COMPUTED_VALUE"""),1.0)</f>
        <v>1</v>
      </c>
      <c r="S840" s="4" t="str">
        <f>IFERROR(__xludf.DUMMYFUNCTION("""COMPUTED_VALUE"""),"Bag")</f>
        <v>Bag</v>
      </c>
      <c r="T840" s="4" t="str">
        <f>IFERROR(__xludf.DUMMYFUNCTION("""COMPUTED_VALUE"""),"0725")</f>
        <v>0725</v>
      </c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</row>
    <row r="841">
      <c r="A841" s="4" t="str">
        <f>IFERROR(__xludf.DUMMYFUNCTION("""COMPUTED_VALUE"""),"RESISTOR:   SMD 0402 6.19kΩ ±0.1% 0.100W   [RP73PF1E6K19BTD] [SMD]")</f>
        <v>RESISTOR:   SMD 0402 6.19kΩ ±0.1% 0.100W   [RP73PF1E6K19BTD] [SMD]</v>
      </c>
      <c r="B841" s="4" t="str">
        <f>IFERROR(__xludf.DUMMYFUNCTION("""COMPUTED_VALUE"""),"OEPS020161")</f>
        <v>OEPS020161</v>
      </c>
      <c r="C841" s="4" t="str">
        <f>IFERROR(__xludf.DUMMYFUNCTION("""COMPUTED_VALUE"""),"SMD")</f>
        <v>SMD</v>
      </c>
      <c r="D841" s="4" t="str">
        <f>IFERROR(__xludf.DUMMYFUNCTION("""COMPUTED_VALUE"""),"RP73PF1E6K19BTD")</f>
        <v>RP73PF1E6K19BTD</v>
      </c>
      <c r="E841" s="4">
        <f>IFERROR(__xludf.DUMMYFUNCTION("""COMPUTED_VALUE"""),30.0)</f>
        <v>30</v>
      </c>
      <c r="F841" s="4" t="str">
        <f>IFERROR(__xludf.DUMMYFUNCTION("""COMPUTED_VALUE"""),"DigiKey")</f>
        <v>DigiKey</v>
      </c>
      <c r="G841" s="4" t="str">
        <f>IFERROR(__xludf.DUMMYFUNCTION("""COMPUTED_VALUE"""),"A127395DKR-ND")</f>
        <v>A127395DKR-ND</v>
      </c>
      <c r="H841" s="4"/>
      <c r="I841" s="4"/>
      <c r="J841" s="4"/>
      <c r="K841" s="4"/>
      <c r="L841" s="4"/>
      <c r="M841" s="4"/>
      <c r="N841" s="9" t="str">
        <f>IFERROR(__xludf.DUMMYFUNCTION("""COMPUTED_VALUE"""),"OEPS070107")</f>
        <v>OEPS070107</v>
      </c>
      <c r="O841" s="4" t="str">
        <f>IFERROR(__xludf.DUMMYFUNCTION("""COMPUTED_VALUE"""),"1-1337445-0")</f>
        <v>1-1337445-0</v>
      </c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</row>
    <row r="842">
      <c r="A842" s="4" t="str">
        <f>IFERROR(__xludf.DUMMYFUNCTION("""COMPUTED_VALUE"""),"RESISTOR:   SMD 0402 6.8kΩ ±1% 0.063W   [RC0402FR-076K8L] [SMD]")</f>
        <v>RESISTOR:   SMD 0402 6.8kΩ ±1% 0.063W   [RC0402FR-076K8L] [SMD]</v>
      </c>
      <c r="B842" s="4" t="str">
        <f>IFERROR(__xludf.DUMMYFUNCTION("""COMPUTED_VALUE"""),"OEPS020242")</f>
        <v>OEPS020242</v>
      </c>
      <c r="C842" s="4" t="str">
        <f>IFERROR(__xludf.DUMMYFUNCTION("""COMPUTED_VALUE"""),"SMD")</f>
        <v>SMD</v>
      </c>
      <c r="D842" s="4" t="str">
        <f>IFERROR(__xludf.DUMMYFUNCTION("""COMPUTED_VALUE"""),"RC0402FR-076K8L")</f>
        <v>RC0402FR-076K8L</v>
      </c>
      <c r="E842" s="4">
        <f>IFERROR(__xludf.DUMMYFUNCTION("""COMPUTED_VALUE"""),30.0)</f>
        <v>30</v>
      </c>
      <c r="F842" s="4" t="str">
        <f>IFERROR(__xludf.DUMMYFUNCTION("""COMPUTED_VALUE"""),"DigiKey")</f>
        <v>DigiKey</v>
      </c>
      <c r="G842" s="4" t="str">
        <f>IFERROR(__xludf.DUMMYFUNCTION("""COMPUTED_VALUE"""),"311-6.80KLRDKR-ND")</f>
        <v>311-6.80KLRDKR-ND</v>
      </c>
      <c r="H842" s="4"/>
      <c r="I842" s="4"/>
      <c r="J842" s="4"/>
      <c r="K842" s="4"/>
      <c r="L842" s="4"/>
      <c r="M842" s="4"/>
      <c r="N842" s="9" t="str">
        <f>IFERROR(__xludf.DUMMYFUNCTION("""COMPUTED_VALUE"""),"OEPS070108")</f>
        <v>OEPS070108</v>
      </c>
      <c r="O842" s="4" t="str">
        <f>IFERROR(__xludf.DUMMYFUNCTION("""COMPUTED_VALUE"""),"T4041037041-000")</f>
        <v>T4041037041-000</v>
      </c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</row>
    <row r="843">
      <c r="A843" s="4" t="str">
        <f>IFERROR(__xludf.DUMMYFUNCTION("""COMPUTED_VALUE"""),"RESISTOR:   SMD 0402 60.4Ω ±1% 0.063W   [RC0402FR-0760R4L] [SMD]")</f>
        <v>RESISTOR:   SMD 0402 60.4Ω ±1% 0.063W   [RC0402FR-0760R4L] [SMD]</v>
      </c>
      <c r="B843" s="4" t="str">
        <f>IFERROR(__xludf.DUMMYFUNCTION("""COMPUTED_VALUE"""),"OEPS020003")</f>
        <v>OEPS020003</v>
      </c>
      <c r="C843" s="4" t="str">
        <f>IFERROR(__xludf.DUMMYFUNCTION("""COMPUTED_VALUE"""),"SMD")</f>
        <v>SMD</v>
      </c>
      <c r="D843" s="4" t="str">
        <f>IFERROR(__xludf.DUMMYFUNCTION("""COMPUTED_VALUE"""),"RC0402FR-0760R4L")</f>
        <v>RC0402FR-0760R4L</v>
      </c>
      <c r="E843" s="4">
        <f>IFERROR(__xludf.DUMMYFUNCTION("""COMPUTED_VALUE"""),30.0)</f>
        <v>30</v>
      </c>
      <c r="F843" s="4" t="str">
        <f>IFERROR(__xludf.DUMMYFUNCTION("""COMPUTED_VALUE"""),"DigiKey")</f>
        <v>DigiKey</v>
      </c>
      <c r="G843" s="4" t="str">
        <f>IFERROR(__xludf.DUMMYFUNCTION("""COMPUTED_VALUE"""),"311-60.4LRDKR-ND")</f>
        <v>311-60.4LRDKR-ND</v>
      </c>
      <c r="H843" s="4"/>
      <c r="I843" s="4"/>
      <c r="J843" s="4"/>
      <c r="K843" s="4"/>
      <c r="L843" s="4"/>
      <c r="M843" s="4"/>
      <c r="N843" s="9" t="str">
        <f>IFERROR(__xludf.DUMMYFUNCTION("""COMPUTED_VALUE"""),"OEPS070109")</f>
        <v>OEPS070109</v>
      </c>
      <c r="O843" s="4" t="str">
        <f>IFERROR(__xludf.DUMMYFUNCTION("""COMPUTED_VALUE"""),"TSW-116-06-T-S")</f>
        <v>TSW-116-06-T-S</v>
      </c>
      <c r="P843" s="4" t="str">
        <f>IFERROR(__xludf.DUMMYFUNCTION("""COMPUTED_VALUE"""),"8 ")</f>
        <v>8 </v>
      </c>
      <c r="Q843" s="4">
        <f>IFERROR(__xludf.DUMMYFUNCTION("""COMPUTED_VALUE"""),8.0)</f>
        <v>8</v>
      </c>
      <c r="R843" s="4">
        <f>IFERROR(__xludf.DUMMYFUNCTION("""COMPUTED_VALUE"""),8.0)</f>
        <v>8</v>
      </c>
      <c r="S843" s="4" t="str">
        <f>IFERROR(__xludf.DUMMYFUNCTION("""COMPUTED_VALUE"""),"Bag")</f>
        <v>Bag</v>
      </c>
      <c r="T843" s="4" t="str">
        <f>IFERROR(__xludf.DUMMYFUNCTION("""COMPUTED_VALUE"""),"XXXX")</f>
        <v>XXXX</v>
      </c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</row>
    <row r="844">
      <c r="A844" s="4" t="str">
        <f>IFERROR(__xludf.DUMMYFUNCTION("""COMPUTED_VALUE"""),"RESISTOR:   SMD 0402 61.2kΩ ±0.1% 0.063W   [RN73R1ETTP6122B25] [SMD]")</f>
        <v>RESISTOR:   SMD 0402 61.2kΩ ±0.1% 0.063W   [RN73R1ETTP6122B25] [SMD]</v>
      </c>
      <c r="B844" s="4" t="str">
        <f>IFERROR(__xludf.DUMMYFUNCTION("""COMPUTED_VALUE"""),"OEPS020214")</f>
        <v>OEPS020214</v>
      </c>
      <c r="C844" s="4" t="str">
        <f>IFERROR(__xludf.DUMMYFUNCTION("""COMPUTED_VALUE"""),"SMD")</f>
        <v>SMD</v>
      </c>
      <c r="D844" s="4" t="str">
        <f>IFERROR(__xludf.DUMMYFUNCTION("""COMPUTED_VALUE"""),"RN73R1ETTP6122B25")</f>
        <v>RN73R1ETTP6122B25</v>
      </c>
      <c r="E844" s="4">
        <f>IFERROR(__xludf.DUMMYFUNCTION("""COMPUTED_VALUE"""),30.0)</f>
        <v>30</v>
      </c>
      <c r="F844" s="4" t="str">
        <f>IFERROR(__xludf.DUMMYFUNCTION("""COMPUTED_VALUE"""),"Digikey")</f>
        <v>Digikey</v>
      </c>
      <c r="G844" s="4" t="str">
        <f>IFERROR(__xludf.DUMMYFUNCTION("""COMPUTED_VALUE"""),"2019-RN73R1ETTP6122B25DKR-ND")</f>
        <v>2019-RN73R1ETTP6122B25DKR-ND</v>
      </c>
      <c r="H844" s="4"/>
      <c r="I844" s="4"/>
      <c r="J844" s="4"/>
      <c r="K844" s="4"/>
      <c r="L844" s="4"/>
      <c r="M844" s="4"/>
      <c r="N844" s="9" t="str">
        <f>IFERROR(__xludf.DUMMYFUNCTION("""COMPUTED_VALUE"""),"OEPS070110")</f>
        <v>OEPS070110</v>
      </c>
      <c r="O844" s="4" t="str">
        <f>IFERROR(__xludf.DUMMYFUNCTION("""COMPUTED_VALUE"""),"CES-116-01-T-S")</f>
        <v>CES-116-01-T-S</v>
      </c>
      <c r="P844" s="4" t="str">
        <f>IFERROR(__xludf.DUMMYFUNCTION("""COMPUTED_VALUE"""),"14 20 ")</f>
        <v>14 20 </v>
      </c>
      <c r="Q844" s="4">
        <f>IFERROR(__xludf.DUMMYFUNCTION("""COMPUTED_VALUE"""),34.0)</f>
        <v>34</v>
      </c>
      <c r="R844" s="4">
        <f>IFERROR(__xludf.DUMMYFUNCTION("""COMPUTED_VALUE"""),14.0)</f>
        <v>14</v>
      </c>
      <c r="S844" s="4" t="str">
        <f>IFERROR(__xludf.DUMMYFUNCTION("""COMPUTED_VALUE"""),"Bag")</f>
        <v>Bag</v>
      </c>
      <c r="T844" s="4" t="str">
        <f>IFERROR(__xludf.DUMMYFUNCTION("""COMPUTED_VALUE"""),"0425")</f>
        <v>0425</v>
      </c>
      <c r="U844" s="4">
        <f>IFERROR(__xludf.DUMMYFUNCTION("""COMPUTED_VALUE"""),20.0)</f>
        <v>20</v>
      </c>
      <c r="V844" s="4" t="str">
        <f>IFERROR(__xludf.DUMMYFUNCTION("""COMPUTED_VALUE"""),"Bag")</f>
        <v>Bag</v>
      </c>
      <c r="W844" s="4" t="str">
        <f>IFERROR(__xludf.DUMMYFUNCTION("""COMPUTED_VALUE"""),"XXXX")</f>
        <v>XXXX</v>
      </c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</row>
    <row r="845">
      <c r="A845" s="4" t="str">
        <f>IFERROR(__xludf.DUMMYFUNCTION("""COMPUTED_VALUE"""),"RESISTOR:   SMD 0402 649kΩ ±1% 0.100W   [ERJ-2RKF6493X] [SMD]")</f>
        <v>RESISTOR:   SMD 0402 649kΩ ±1% 0.100W   [ERJ-2RKF6493X] [SMD]</v>
      </c>
      <c r="B845" s="4" t="str">
        <f>IFERROR(__xludf.DUMMYFUNCTION("""COMPUTED_VALUE"""),"OEPS020022")</f>
        <v>OEPS020022</v>
      </c>
      <c r="C845" s="4" t="str">
        <f>IFERROR(__xludf.DUMMYFUNCTION("""COMPUTED_VALUE"""),"SMD")</f>
        <v>SMD</v>
      </c>
      <c r="D845" s="4" t="str">
        <f>IFERROR(__xludf.DUMMYFUNCTION("""COMPUTED_VALUE"""),"ERJ-2RKF6493X")</f>
        <v>ERJ-2RKF6493X</v>
      </c>
      <c r="E845" s="4">
        <f>IFERROR(__xludf.DUMMYFUNCTION("""COMPUTED_VALUE"""),30.0)</f>
        <v>30</v>
      </c>
      <c r="F845" s="4" t="str">
        <f>IFERROR(__xludf.DUMMYFUNCTION("""COMPUTED_VALUE"""),"DigiKey")</f>
        <v>DigiKey</v>
      </c>
      <c r="G845" s="4" t="str">
        <f>IFERROR(__xludf.DUMMYFUNCTION("""COMPUTED_VALUE"""),"P649KLDKR-ND")</f>
        <v>P649KLDKR-ND</v>
      </c>
      <c r="H845" s="4"/>
      <c r="I845" s="4"/>
      <c r="J845" s="4"/>
      <c r="K845" s="4"/>
      <c r="L845" s="4"/>
      <c r="M845" s="4"/>
      <c r="N845" s="9" t="str">
        <f>IFERROR(__xludf.DUMMYFUNCTION("""COMPUTED_VALUE"""),"OEPS070111")</f>
        <v>OEPS070111</v>
      </c>
      <c r="O845" s="4" t="str">
        <f>IFERROR(__xludf.DUMMYFUNCTION("""COMPUTED_VALUE"""),"532610571")</f>
        <v>532610571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</row>
    <row r="846">
      <c r="A846" s="4" t="str">
        <f>IFERROR(__xludf.DUMMYFUNCTION("""COMPUTED_VALUE"""),"RESISTOR:   SMD 0402 680kΩ ±1% 0.063W   [RC0402FR-13680KL] [SMD]")</f>
        <v>RESISTOR:   SMD 0402 680kΩ ±1% 0.063W   [RC0402FR-13680KL] [SMD]</v>
      </c>
      <c r="B846" s="4" t="str">
        <f>IFERROR(__xludf.DUMMYFUNCTION("""COMPUTED_VALUE"""),"OEPS020176")</f>
        <v>OEPS020176</v>
      </c>
      <c r="C846" s="4" t="str">
        <f>IFERROR(__xludf.DUMMYFUNCTION("""COMPUTED_VALUE"""),"SMD")</f>
        <v>SMD</v>
      </c>
      <c r="D846" s="4" t="str">
        <f>IFERROR(__xludf.DUMMYFUNCTION("""COMPUTED_VALUE"""),"RC0402FR-13680KL")</f>
        <v>RC0402FR-13680KL</v>
      </c>
      <c r="E846" s="4">
        <f>IFERROR(__xludf.DUMMYFUNCTION("""COMPUTED_VALUE"""),30.0)</f>
        <v>30</v>
      </c>
      <c r="F846" s="4" t="str">
        <f>IFERROR(__xludf.DUMMYFUNCTION("""COMPUTED_VALUE"""),"Digikey")</f>
        <v>Digikey</v>
      </c>
      <c r="G846" s="4" t="str">
        <f>IFERROR(__xludf.DUMMYFUNCTION("""COMPUTED_VALUE"""),"13-RC0402FR-13680KLDKR-ND")</f>
        <v>13-RC0402FR-13680KLDKR-ND</v>
      </c>
      <c r="H846" s="4"/>
      <c r="I846" s="4"/>
      <c r="J846" s="4"/>
      <c r="K846" s="4"/>
      <c r="L846" s="4"/>
      <c r="M846" s="4"/>
      <c r="N846" s="9" t="str">
        <f>IFERROR(__xludf.DUMMYFUNCTION("""COMPUTED_VALUE"""),"OEPS070112")</f>
        <v>OEPS070112</v>
      </c>
      <c r="O846" s="4" t="str">
        <f>IFERROR(__xludf.DUMMYFUNCTION("""COMPUTED_VALUE"""),"400MSP1R6BLKM6QE")</f>
        <v>400MSP1R6BLKM6QE</v>
      </c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</row>
    <row r="847">
      <c r="A847" s="4" t="str">
        <f>IFERROR(__xludf.DUMMYFUNCTION("""COMPUTED_VALUE"""),"RESISTOR:   SMD 0402 68Ω ±1% 0.250W   [RCS040268R0FKED] [SMD]")</f>
        <v>RESISTOR:   SMD 0402 68Ω ±1% 0.250W   [RCS040268R0FKED] [SMD]</v>
      </c>
      <c r="B847" s="4" t="str">
        <f>IFERROR(__xludf.DUMMYFUNCTION("""COMPUTED_VALUE"""),"OEPS020032")</f>
        <v>OEPS020032</v>
      </c>
      <c r="C847" s="4" t="str">
        <f>IFERROR(__xludf.DUMMYFUNCTION("""COMPUTED_VALUE"""),"SMD")</f>
        <v>SMD</v>
      </c>
      <c r="D847" s="4" t="str">
        <f>IFERROR(__xludf.DUMMYFUNCTION("""COMPUTED_VALUE"""),"RCS040268R0FKED")</f>
        <v>RCS040268R0FKED</v>
      </c>
      <c r="E847" s="4">
        <f>IFERROR(__xludf.DUMMYFUNCTION("""COMPUTED_VALUE"""),30.0)</f>
        <v>30</v>
      </c>
      <c r="F847" s="4" t="str">
        <f>IFERROR(__xludf.DUMMYFUNCTION("""COMPUTED_VALUE"""),"DigiKey")</f>
        <v>DigiKey</v>
      </c>
      <c r="G847" s="4" t="str">
        <f>IFERROR(__xludf.DUMMYFUNCTION("""COMPUTED_VALUE"""),"541-10421-6-ND")</f>
        <v>541-10421-6-ND</v>
      </c>
      <c r="H847" s="4"/>
      <c r="I847" s="4"/>
      <c r="J847" s="4"/>
      <c r="K847" s="4"/>
      <c r="L847" s="4"/>
      <c r="M847" s="4"/>
      <c r="N847" s="9" t="str">
        <f>IFERROR(__xludf.DUMMYFUNCTION("""COMPUTED_VALUE"""),"OEPS070113")</f>
        <v>OEPS070113</v>
      </c>
      <c r="O847" s="4" t="str">
        <f>IFERROR(__xludf.DUMMYFUNCTION("""COMPUTED_VALUE"""),"PEC12R-4222F-S0024")</f>
        <v>PEC12R-4222F-S0024</v>
      </c>
      <c r="P847" s="4" t="str">
        <f>IFERROR(__xludf.DUMMYFUNCTION("""COMPUTED_VALUE"""),"1 ")</f>
        <v>1 </v>
      </c>
      <c r="Q847" s="4">
        <f>IFERROR(__xludf.DUMMYFUNCTION("""COMPUTED_VALUE"""),1.0)</f>
        <v>1</v>
      </c>
      <c r="R847" s="4">
        <f>IFERROR(__xludf.DUMMYFUNCTION("""COMPUTED_VALUE"""),1.0)</f>
        <v>1</v>
      </c>
      <c r="S847" s="4" t="str">
        <f>IFERROR(__xludf.DUMMYFUNCTION("""COMPUTED_VALUE"""),"Bag")</f>
        <v>Bag</v>
      </c>
      <c r="T847" s="4" t="str">
        <f>IFERROR(__xludf.DUMMYFUNCTION("""COMPUTED_VALUE"""),"0725")</f>
        <v>0725</v>
      </c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</row>
    <row r="848">
      <c r="A848" s="4" t="str">
        <f>IFERROR(__xludf.DUMMYFUNCTION("""COMPUTED_VALUE"""),"RESISTOR:   SMD 0402 73.2kΩ ±1% 0.100W   [ERJ-2RKF7322X] [SMD]")</f>
        <v>RESISTOR:   SMD 0402 73.2kΩ ±1% 0.100W   [ERJ-2RKF7322X] [SMD]</v>
      </c>
      <c r="B848" s="4" t="str">
        <f>IFERROR(__xludf.DUMMYFUNCTION("""COMPUTED_VALUE"""),"OEPS020018")</f>
        <v>OEPS020018</v>
      </c>
      <c r="C848" s="4" t="str">
        <f>IFERROR(__xludf.DUMMYFUNCTION("""COMPUTED_VALUE"""),"SMD")</f>
        <v>SMD</v>
      </c>
      <c r="D848" s="4" t="str">
        <f>IFERROR(__xludf.DUMMYFUNCTION("""COMPUTED_VALUE"""),"ERJ-2RKF7322X")</f>
        <v>ERJ-2RKF7322X</v>
      </c>
      <c r="E848" s="4">
        <f>IFERROR(__xludf.DUMMYFUNCTION("""COMPUTED_VALUE"""),30.0)</f>
        <v>30</v>
      </c>
      <c r="F848" s="4" t="str">
        <f>IFERROR(__xludf.DUMMYFUNCTION("""COMPUTED_VALUE"""),"DigiKey")</f>
        <v>DigiKey</v>
      </c>
      <c r="G848" s="4" t="str">
        <f>IFERROR(__xludf.DUMMYFUNCTION("""COMPUTED_VALUE"""),"P73.2KLDKR-ND")</f>
        <v>P73.2KLDKR-ND</v>
      </c>
      <c r="H848" s="4"/>
      <c r="I848" s="4"/>
      <c r="J848" s="4"/>
      <c r="K848" s="4"/>
      <c r="L848" s="4"/>
      <c r="M848" s="4"/>
      <c r="N848" s="9" t="str">
        <f>IFERROR(__xludf.DUMMYFUNCTION("""COMPUTED_VALUE"""),"OEPS070116")</f>
        <v>OEPS070116</v>
      </c>
      <c r="O848" s="4" t="str">
        <f>IFERROR(__xludf.DUMMYFUNCTION("""COMPUTED_VALUE"""),"3000")</f>
        <v>3000</v>
      </c>
      <c r="P848" s="4" t="str">
        <f>IFERROR(__xludf.DUMMYFUNCTION("""COMPUTED_VALUE"""),"2 7(Tp) 1 9 1 ")</f>
        <v>2 7(Tp) 1 9 1 </v>
      </c>
      <c r="Q848" s="4">
        <f>IFERROR(__xludf.DUMMYFUNCTION("""COMPUTED_VALUE"""),20.0)</f>
        <v>20</v>
      </c>
      <c r="R848" s="4">
        <f>IFERROR(__xludf.DUMMYFUNCTION("""COMPUTED_VALUE"""),2.0)</f>
        <v>2</v>
      </c>
      <c r="S848" s="4" t="str">
        <f>IFERROR(__xludf.DUMMYFUNCTION("""COMPUTED_VALUE"""),"Bag")</f>
        <v>Bag</v>
      </c>
      <c r="T848" s="4" t="str">
        <f>IFERROR(__xludf.DUMMYFUNCTION("""COMPUTED_VALUE"""),"0425")</f>
        <v>0425</v>
      </c>
      <c r="U848" s="4">
        <f>IFERROR(__xludf.DUMMYFUNCTION("""COMPUTED_VALUE"""),7.0)</f>
        <v>7</v>
      </c>
      <c r="V848" s="4" t="str">
        <f>IFERROR(__xludf.DUMMYFUNCTION("""COMPUTED_VALUE"""),"Tape")</f>
        <v>Tape</v>
      </c>
      <c r="W848" s="4" t="str">
        <f>IFERROR(__xludf.DUMMYFUNCTION("""COMPUTED_VALUE"""),"XXXX")</f>
        <v>XXXX</v>
      </c>
      <c r="X848" s="4">
        <f>IFERROR(__xludf.DUMMYFUNCTION("""COMPUTED_VALUE"""),1.0)</f>
        <v>1</v>
      </c>
      <c r="Y848" s="4" t="str">
        <f>IFERROR(__xludf.DUMMYFUNCTION("""COMPUTED_VALUE"""),"Bag")</f>
        <v>Bag</v>
      </c>
      <c r="Z848" s="4" t="str">
        <f>IFERROR(__xludf.DUMMYFUNCTION("""COMPUTED_VALUE"""),"XXXX")</f>
        <v>XXXX</v>
      </c>
      <c r="AA848" s="4">
        <f>IFERROR(__xludf.DUMMYFUNCTION("""COMPUTED_VALUE"""),9.0)</f>
        <v>9</v>
      </c>
      <c r="AB848" s="4" t="str">
        <f>IFERROR(__xludf.DUMMYFUNCTION("""COMPUTED_VALUE"""),"Bag")</f>
        <v>Bag</v>
      </c>
      <c r="AC848" s="4" t="str">
        <f>IFERROR(__xludf.DUMMYFUNCTION("""COMPUTED_VALUE"""),"0722")</f>
        <v>0722</v>
      </c>
      <c r="AD848" s="4">
        <f>IFERROR(__xludf.DUMMYFUNCTION("""COMPUTED_VALUE"""),1.0)</f>
        <v>1</v>
      </c>
      <c r="AE848" s="4" t="str">
        <f>IFERROR(__xludf.DUMMYFUNCTION("""COMPUTED_VALUE"""),"Bag")</f>
        <v>Bag</v>
      </c>
      <c r="AF848" s="4" t="str">
        <f>IFERROR(__xludf.DUMMYFUNCTION("""COMPUTED_VALUE"""),"0725")</f>
        <v>0725</v>
      </c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</row>
    <row r="849">
      <c r="A849" s="4" t="str">
        <f>IFERROR(__xludf.DUMMYFUNCTION("""COMPUTED_VALUE"""),"RESISTOR:   SMD 0402 76.8kΩ ±0.1% 0.063W   [ERA-2AEB7682X] [SMD]")</f>
        <v>RESISTOR:   SMD 0402 76.8kΩ ±0.1% 0.063W   [ERA-2AEB7682X] [SMD]</v>
      </c>
      <c r="B849" s="4" t="str">
        <f>IFERROR(__xludf.DUMMYFUNCTION("""COMPUTED_VALUE"""),"OEPS020155")</f>
        <v>OEPS020155</v>
      </c>
      <c r="C849" s="4" t="str">
        <f>IFERROR(__xludf.DUMMYFUNCTION("""COMPUTED_VALUE"""),"SMD")</f>
        <v>SMD</v>
      </c>
      <c r="D849" s="4" t="str">
        <f>IFERROR(__xludf.DUMMYFUNCTION("""COMPUTED_VALUE"""),"ERA-2AEB7682X")</f>
        <v>ERA-2AEB7682X</v>
      </c>
      <c r="E849" s="4">
        <f>IFERROR(__xludf.DUMMYFUNCTION("""COMPUTED_VALUE"""),30.0)</f>
        <v>30</v>
      </c>
      <c r="F849" s="4" t="str">
        <f>IFERROR(__xludf.DUMMYFUNCTION("""COMPUTED_VALUE"""),"DigiKey")</f>
        <v>DigiKey</v>
      </c>
      <c r="G849" s="4" t="str">
        <f>IFERROR(__xludf.DUMMYFUNCTION("""COMPUTED_VALUE"""),"P76.8KDCDKR-ND")</f>
        <v>P76.8KDCDKR-ND</v>
      </c>
      <c r="H849" s="4"/>
      <c r="I849" s="4"/>
      <c r="J849" s="4"/>
      <c r="K849" s="4"/>
      <c r="L849" s="4"/>
      <c r="M849" s="4"/>
      <c r="N849" s="9" t="str">
        <f>IFERROR(__xludf.DUMMYFUNCTION("""COMPUTED_VALUE"""),"OEPS070117")</f>
        <v>OEPS070117</v>
      </c>
      <c r="O849" s="4" t="str">
        <f>IFERROR(__xludf.DUMMYFUNCTION("""COMPUTED_VALUE"""),"ZX62D-B-5PA8(30)")</f>
        <v>ZX62D-B-5PA8(30)</v>
      </c>
      <c r="P849" s="4" t="str">
        <f>IFERROR(__xludf.DUMMYFUNCTION("""COMPUTED_VALUE"""),"2(Tp) 2(Tp) ")</f>
        <v>2(Tp) 2(Tp) </v>
      </c>
      <c r="Q849" s="4">
        <f>IFERROR(__xludf.DUMMYFUNCTION("""COMPUTED_VALUE"""),4.0)</f>
        <v>4</v>
      </c>
      <c r="R849" s="4">
        <f>IFERROR(__xludf.DUMMYFUNCTION("""COMPUTED_VALUE"""),2.0)</f>
        <v>2</v>
      </c>
      <c r="S849" s="4" t="str">
        <f>IFERROR(__xludf.DUMMYFUNCTION("""COMPUTED_VALUE"""),"Tape")</f>
        <v>Tape</v>
      </c>
      <c r="T849" s="4" t="str">
        <f>IFERROR(__xludf.DUMMYFUNCTION("""COMPUTED_VALUE"""),"0425")</f>
        <v>0425</v>
      </c>
      <c r="U849" s="4">
        <f>IFERROR(__xludf.DUMMYFUNCTION("""COMPUTED_VALUE"""),2.0)</f>
        <v>2</v>
      </c>
      <c r="V849" s="4" t="str">
        <f>IFERROR(__xludf.DUMMYFUNCTION("""COMPUTED_VALUE"""),"Tape")</f>
        <v>Tape</v>
      </c>
      <c r="W849" s="4" t="str">
        <f>IFERROR(__xludf.DUMMYFUNCTION("""COMPUTED_VALUE"""),"0725")</f>
        <v>0725</v>
      </c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</row>
    <row r="850">
      <c r="A850" s="4" t="str">
        <f>IFERROR(__xludf.DUMMYFUNCTION("""COMPUTED_VALUE"""),"RESISTOR:   SMD 0402 8.25kΩ ±1% 0.100W   [ERJ-2RKF8251X] [SMD]")</f>
        <v>RESISTOR:   SMD 0402 8.25kΩ ±1% 0.100W   [ERJ-2RKF8251X] [SMD]</v>
      </c>
      <c r="B850" s="4" t="str">
        <f>IFERROR(__xludf.DUMMYFUNCTION("""COMPUTED_VALUE"""),"OEPS020012")</f>
        <v>OEPS020012</v>
      </c>
      <c r="C850" s="4" t="str">
        <f>IFERROR(__xludf.DUMMYFUNCTION("""COMPUTED_VALUE"""),"SMD")</f>
        <v>SMD</v>
      </c>
      <c r="D850" s="4" t="str">
        <f>IFERROR(__xludf.DUMMYFUNCTION("""COMPUTED_VALUE"""),"ERJ-2RKF8251X")</f>
        <v>ERJ-2RKF8251X</v>
      </c>
      <c r="E850" s="4">
        <f>IFERROR(__xludf.DUMMYFUNCTION("""COMPUTED_VALUE"""),30.0)</f>
        <v>30</v>
      </c>
      <c r="F850" s="4" t="str">
        <f>IFERROR(__xludf.DUMMYFUNCTION("""COMPUTED_VALUE"""),"DigiKey")</f>
        <v>DigiKey</v>
      </c>
      <c r="G850" s="4" t="str">
        <f>IFERROR(__xludf.DUMMYFUNCTION("""COMPUTED_VALUE"""),"P8.25KLDKR-ND")</f>
        <v>P8.25KLDKR-ND</v>
      </c>
      <c r="H850" s="4"/>
      <c r="I850" s="4"/>
      <c r="J850" s="4"/>
      <c r="K850" s="4"/>
      <c r="L850" s="4"/>
      <c r="M850" s="4"/>
      <c r="N850" s="9" t="str">
        <f>IFERROR(__xludf.DUMMYFUNCTION("""COMPUTED_VALUE"""),"OEPS070118")</f>
        <v>OEPS070118</v>
      </c>
      <c r="O850" s="4" t="str">
        <f>IFERROR(__xludf.DUMMYFUNCTION("""COMPUTED_VALUE"""),"61300611021")</f>
        <v>61300611021</v>
      </c>
      <c r="P850" s="4" t="str">
        <f>IFERROR(__xludf.DUMMYFUNCTION("""COMPUTED_VALUE"""),"27 1 4 ")</f>
        <v>27 1 4 </v>
      </c>
      <c r="Q850" s="4">
        <f>IFERROR(__xludf.DUMMYFUNCTION("""COMPUTED_VALUE"""),32.0)</f>
        <v>32</v>
      </c>
      <c r="R850" s="4">
        <f>IFERROR(__xludf.DUMMYFUNCTION("""COMPUTED_VALUE"""),27.0)</f>
        <v>27</v>
      </c>
      <c r="S850" s="4" t="str">
        <f>IFERROR(__xludf.DUMMYFUNCTION("""COMPUTED_VALUE"""),"Bag")</f>
        <v>Bag</v>
      </c>
      <c r="T850" s="4" t="str">
        <f>IFERROR(__xludf.DUMMYFUNCTION("""COMPUTED_VALUE"""),"0623")</f>
        <v>0623</v>
      </c>
      <c r="U850" s="4">
        <f>IFERROR(__xludf.DUMMYFUNCTION("""COMPUTED_VALUE"""),1.0)</f>
        <v>1</v>
      </c>
      <c r="V850" s="4" t="str">
        <f>IFERROR(__xludf.DUMMYFUNCTION("""COMPUTED_VALUE"""),"Bag")</f>
        <v>Bag</v>
      </c>
      <c r="W850" s="4" t="str">
        <f>IFERROR(__xludf.DUMMYFUNCTION("""COMPUTED_VALUE"""),"0226")</f>
        <v>0226</v>
      </c>
      <c r="X850" s="4">
        <f>IFERROR(__xludf.DUMMYFUNCTION("""COMPUTED_VALUE"""),4.0)</f>
        <v>4</v>
      </c>
      <c r="Y850" s="4" t="str">
        <f>IFERROR(__xludf.DUMMYFUNCTION("""COMPUTED_VALUE"""),"Bag")</f>
        <v>Bag</v>
      </c>
      <c r="Z850" s="4" t="str">
        <f>IFERROR(__xludf.DUMMYFUNCTION("""COMPUTED_VALUE"""),"0425")</f>
        <v>0425</v>
      </c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</row>
    <row r="851">
      <c r="A851" s="4" t="str">
        <f>IFERROR(__xludf.DUMMYFUNCTION("""COMPUTED_VALUE"""),"RESISTOR:   SMD 0402 820Ω ±1% 0.100W (OEPS H02 007)   [ERJ-2RKF8200X] [SMD]")</f>
        <v>RESISTOR:   SMD 0402 820Ω ±1% 0.100W (OEPS H02 007)   [ERJ-2RKF8200X] [SMD]</v>
      </c>
      <c r="B851" s="4" t="str">
        <f>IFERROR(__xludf.DUMMYFUNCTION("""COMPUTED_VALUE"""),"OEPS020078")</f>
        <v>OEPS020078</v>
      </c>
      <c r="C851" s="4" t="str">
        <f>IFERROR(__xludf.DUMMYFUNCTION("""COMPUTED_VALUE"""),"SMD")</f>
        <v>SMD</v>
      </c>
      <c r="D851" s="4" t="str">
        <f>IFERROR(__xludf.DUMMYFUNCTION("""COMPUTED_VALUE"""),"ERJ-2RKF8200X")</f>
        <v>ERJ-2RKF8200X</v>
      </c>
      <c r="E851" s="4">
        <f>IFERROR(__xludf.DUMMYFUNCTION("""COMPUTED_VALUE"""),30.0)</f>
        <v>30</v>
      </c>
      <c r="F851" s="4" t="str">
        <f>IFERROR(__xludf.DUMMYFUNCTION("""COMPUTED_VALUE"""),"DigiKey")</f>
        <v>DigiKey</v>
      </c>
      <c r="G851" s="4" t="str">
        <f>IFERROR(__xludf.DUMMYFUNCTION("""COMPUTED_VALUE"""),"P820LDKR-ND")</f>
        <v>P820LDKR-ND</v>
      </c>
      <c r="H851" s="4"/>
      <c r="I851" s="4"/>
      <c r="J851" s="4"/>
      <c r="K851" s="4"/>
      <c r="L851" s="4"/>
      <c r="M851" s="4"/>
      <c r="N851" s="9" t="str">
        <f>IFERROR(__xludf.DUMMYFUNCTION("""COMPUTED_VALUE"""),"OEPS070119")</f>
        <v>OEPS070119</v>
      </c>
      <c r="O851" s="4" t="str">
        <f>IFERROR(__xludf.DUMMYFUNCTION("""COMPUTED_VALUE"""),"693071010811")</f>
        <v>693071010811</v>
      </c>
      <c r="P851" s="4" t="str">
        <f>IFERROR(__xludf.DUMMYFUNCTION("""COMPUTED_VALUE"""),"1(Tp) ")</f>
        <v>1(Tp) </v>
      </c>
      <c r="Q851" s="4">
        <f>IFERROR(__xludf.DUMMYFUNCTION("""COMPUTED_VALUE"""),1.0)</f>
        <v>1</v>
      </c>
      <c r="R851" s="4">
        <f>IFERROR(__xludf.DUMMYFUNCTION("""COMPUTED_VALUE"""),1.0)</f>
        <v>1</v>
      </c>
      <c r="S851" s="4" t="str">
        <f>IFERROR(__xludf.DUMMYFUNCTION("""COMPUTED_VALUE"""),"Tape")</f>
        <v>Tape</v>
      </c>
      <c r="T851" s="4" t="str">
        <f>IFERROR(__xludf.DUMMYFUNCTION("""COMPUTED_VALUE"""),"0825")</f>
        <v>0825</v>
      </c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</row>
    <row r="852">
      <c r="A852" s="4" t="str">
        <f>IFERROR(__xludf.DUMMYFUNCTION("""COMPUTED_VALUE"""),"RESISTOR:   SMD 0402 9.42kΩ ±0.1% 0.063W   [RT0402BRD079K42L] [SMD]")</f>
        <v>RESISTOR:   SMD 0402 9.42kΩ ±0.1% 0.063W   [RT0402BRD079K42L] [SMD]</v>
      </c>
      <c r="B852" s="4" t="str">
        <f>IFERROR(__xludf.DUMMYFUNCTION("""COMPUTED_VALUE"""),"OEPS020169")</f>
        <v>OEPS020169</v>
      </c>
      <c r="C852" s="4" t="str">
        <f>IFERROR(__xludf.DUMMYFUNCTION("""COMPUTED_VALUE"""),"SMD")</f>
        <v>SMD</v>
      </c>
      <c r="D852" s="4" t="str">
        <f>IFERROR(__xludf.DUMMYFUNCTION("""COMPUTED_VALUE"""),"RT0402BRD079K42L")</f>
        <v>RT0402BRD079K42L</v>
      </c>
      <c r="E852" s="4">
        <f>IFERROR(__xludf.DUMMYFUNCTION("""COMPUTED_VALUE"""),30.0)</f>
        <v>30</v>
      </c>
      <c r="F852" s="4" t="str">
        <f>IFERROR(__xludf.DUMMYFUNCTION("""COMPUTED_VALUE"""),"DigiKey")</f>
        <v>DigiKey</v>
      </c>
      <c r="G852" s="4" t="str">
        <f>IFERROR(__xludf.DUMMYFUNCTION("""COMPUTED_VALUE"""),"13-RT0402BRD079K42LDKR-ND")</f>
        <v>13-RT0402BRD079K42LDKR-ND</v>
      </c>
      <c r="H852" s="4"/>
      <c r="I852" s="4"/>
      <c r="J852" s="4"/>
      <c r="K852" s="4"/>
      <c r="L852" s="4"/>
      <c r="M852" s="4"/>
      <c r="N852" s="9" t="str">
        <f>IFERROR(__xludf.DUMMYFUNCTION("""COMPUTED_VALUE"""),"OEPS070122")</f>
        <v>OEPS070122</v>
      </c>
      <c r="O852" s="4" t="str">
        <f>IFERROR(__xludf.DUMMYFUNCTION("""COMPUTED_VALUE"""),"PJ-036AH-SMT-TR")</f>
        <v>PJ-036AH-SMT-TR</v>
      </c>
      <c r="P852" s="4" t="str">
        <f>IFERROR(__xludf.DUMMYFUNCTION("""COMPUTED_VALUE"""),"2(Tp) ")</f>
        <v>2(Tp) </v>
      </c>
      <c r="Q852" s="4">
        <f>IFERROR(__xludf.DUMMYFUNCTION("""COMPUTED_VALUE"""),2.0)</f>
        <v>2</v>
      </c>
      <c r="R852" s="4">
        <f>IFERROR(__xludf.DUMMYFUNCTION("""COMPUTED_VALUE"""),2.0)</f>
        <v>2</v>
      </c>
      <c r="S852" s="4" t="str">
        <f>IFERROR(__xludf.DUMMYFUNCTION("""COMPUTED_VALUE"""),"Tape")</f>
        <v>Tape</v>
      </c>
      <c r="T852" s="4" t="str">
        <f>IFERROR(__xludf.DUMMYFUNCTION("""COMPUTED_VALUE"""),"0425")</f>
        <v>0425</v>
      </c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</row>
    <row r="853">
      <c r="A853" s="4" t="str">
        <f>IFERROR(__xludf.DUMMYFUNCTION("""COMPUTED_VALUE"""),"RESISTOR:   SMD 0402 9.76kΩ ±1% 0.100W   [ERJ-2RKF9761X] [SMD]")</f>
        <v>RESISTOR:   SMD 0402 9.76kΩ ±1% 0.100W   [ERJ-2RKF9761X] [SMD]</v>
      </c>
      <c r="B853" s="4" t="str">
        <f>IFERROR(__xludf.DUMMYFUNCTION("""COMPUTED_VALUE"""),"OEPS020081")</f>
        <v>OEPS020081</v>
      </c>
      <c r="C853" s="4" t="str">
        <f>IFERROR(__xludf.DUMMYFUNCTION("""COMPUTED_VALUE"""),"SMD")</f>
        <v>SMD</v>
      </c>
      <c r="D853" s="4" t="str">
        <f>IFERROR(__xludf.DUMMYFUNCTION("""COMPUTED_VALUE"""),"ERJ-2RKF9761X")</f>
        <v>ERJ-2RKF9761X</v>
      </c>
      <c r="E853" s="4">
        <f>IFERROR(__xludf.DUMMYFUNCTION("""COMPUTED_VALUE"""),30.0)</f>
        <v>30</v>
      </c>
      <c r="F853" s="4" t="str">
        <f>IFERROR(__xludf.DUMMYFUNCTION("""COMPUTED_VALUE"""),"DigiKey")</f>
        <v>DigiKey</v>
      </c>
      <c r="G853" s="4" t="str">
        <f>IFERROR(__xludf.DUMMYFUNCTION("""COMPUTED_VALUE"""),"P9.76KLDKR-ND")</f>
        <v>P9.76KLDKR-ND</v>
      </c>
      <c r="H853" s="4"/>
      <c r="I853" s="4"/>
      <c r="J853" s="4"/>
      <c r="K853" s="4"/>
      <c r="L853" s="4"/>
      <c r="M853" s="4"/>
      <c r="N853" s="9" t="str">
        <f>IFERROR(__xludf.DUMMYFUNCTION("""COMPUTED_VALUE"""),"OEPS070123")</f>
        <v>OEPS070123</v>
      </c>
      <c r="O853" s="4" t="str">
        <f>IFERROR(__xludf.DUMMYFUNCTION("""COMPUTED_VALUE"""),"1729144")</f>
        <v>1729144</v>
      </c>
      <c r="P853" s="4" t="str">
        <f>IFERROR(__xludf.DUMMYFUNCTION("""COMPUTED_VALUE"""),"3 ")</f>
        <v>3 </v>
      </c>
      <c r="Q853" s="4">
        <f>IFERROR(__xludf.DUMMYFUNCTION("""COMPUTED_VALUE"""),3.0)</f>
        <v>3</v>
      </c>
      <c r="R853" s="4">
        <f>IFERROR(__xludf.DUMMYFUNCTION("""COMPUTED_VALUE"""),3.0)</f>
        <v>3</v>
      </c>
      <c r="S853" s="4" t="str">
        <f>IFERROR(__xludf.DUMMYFUNCTION("""COMPUTED_VALUE"""),"Box")</f>
        <v>Box</v>
      </c>
      <c r="T853" s="4" t="str">
        <f>IFERROR(__xludf.DUMMYFUNCTION("""COMPUTED_VALUE"""),"0525")</f>
        <v>0525</v>
      </c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</row>
    <row r="854">
      <c r="A854" s="4" t="str">
        <f>IFERROR(__xludf.DUMMYFUNCTION("""COMPUTED_VALUE"""),"RESISTOR:   SMD 0603 0.1Ω ±0.5% 0.200W   [273-KDV06DR100ETDKR-ND] [SMD]")</f>
        <v>RESISTOR:   SMD 0603 0.1Ω ±0.5% 0.200W   [273-KDV06DR100ETDKR-ND] [SMD]</v>
      </c>
      <c r="B854" s="4" t="str">
        <f>IFERROR(__xludf.DUMMYFUNCTION("""COMPUTED_VALUE"""),"OEPS020217")</f>
        <v>OEPS020217</v>
      </c>
      <c r="C854" s="4" t="str">
        <f>IFERROR(__xludf.DUMMYFUNCTION("""COMPUTED_VALUE"""),"SMD")</f>
        <v>SMD</v>
      </c>
      <c r="D854" s="4" t="str">
        <f>IFERROR(__xludf.DUMMYFUNCTION("""COMPUTED_VALUE"""),"273-KDV06DR100ETDKR-ND")</f>
        <v>273-KDV06DR100ETDKR-ND</v>
      </c>
      <c r="E854" s="4">
        <f>IFERROR(__xludf.DUMMYFUNCTION("""COMPUTED_VALUE"""),20.0)</f>
        <v>20</v>
      </c>
      <c r="F854" s="4" t="str">
        <f>IFERROR(__xludf.DUMMYFUNCTION("""COMPUTED_VALUE"""),"Digikey")</f>
        <v>Digikey</v>
      </c>
      <c r="G854" s="4" t="str">
        <f>IFERROR(__xludf.DUMMYFUNCTION("""COMPUTED_VALUE"""),"273-KDV06DR100ETDKR-ND")</f>
        <v>273-KDV06DR100ETDKR-ND</v>
      </c>
      <c r="H854" s="4"/>
      <c r="I854" s="4"/>
      <c r="J854" s="4"/>
      <c r="K854" s="4"/>
      <c r="L854" s="4"/>
      <c r="M854" s="4"/>
      <c r="N854" s="9" t="str">
        <f>IFERROR(__xludf.DUMMYFUNCTION("""COMPUTED_VALUE"""),"OEPS070124")</f>
        <v>OEPS070124</v>
      </c>
      <c r="O854" s="4" t="str">
        <f>IFERROR(__xludf.DUMMYFUNCTION("""COMPUTED_VALUE"""),"PR20203VBDN")</f>
        <v>PR20203VBDN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</row>
    <row r="855">
      <c r="A855" s="4" t="str">
        <f>IFERROR(__xludf.DUMMYFUNCTION("""COMPUTED_VALUE"""),"RESISTOR:   SMD 0603 0.1Ω ±1% 0.100W   [ERJ-3RSFR10V] [SMD]")</f>
        <v>RESISTOR:   SMD 0603 0.1Ω ±1% 0.100W   [ERJ-3RSFR10V] [SMD]</v>
      </c>
      <c r="B855" s="4" t="str">
        <f>IFERROR(__xludf.DUMMYFUNCTION("""COMPUTED_VALUE"""),"OEPS020115")</f>
        <v>OEPS020115</v>
      </c>
      <c r="C855" s="4" t="str">
        <f>IFERROR(__xludf.DUMMYFUNCTION("""COMPUTED_VALUE"""),"SMD")</f>
        <v>SMD</v>
      </c>
      <c r="D855" s="4" t="str">
        <f>IFERROR(__xludf.DUMMYFUNCTION("""COMPUTED_VALUE"""),"ERJ-3RSFR10V")</f>
        <v>ERJ-3RSFR10V</v>
      </c>
      <c r="E855" s="4">
        <f>IFERROR(__xludf.DUMMYFUNCTION("""COMPUTED_VALUE"""),30.0)</f>
        <v>30</v>
      </c>
      <c r="F855" s="4" t="str">
        <f>IFERROR(__xludf.DUMMYFUNCTION("""COMPUTED_VALUE"""),"Digikey")</f>
        <v>Digikey</v>
      </c>
      <c r="G855" s="4" t="str">
        <f>IFERROR(__xludf.DUMMYFUNCTION("""COMPUTED_VALUE"""),"P.10AJDKR-ND")</f>
        <v>P.10AJDKR-ND</v>
      </c>
      <c r="H855" s="4"/>
      <c r="I855" s="4"/>
      <c r="J855" s="4"/>
      <c r="K855" s="4"/>
      <c r="L855" s="4"/>
      <c r="M855" s="4"/>
      <c r="N855" s="9" t="str">
        <f>IFERROR(__xludf.DUMMYFUNCTION("""COMPUTED_VALUE"""),"OEPS070125")</f>
        <v>OEPS070125</v>
      </c>
      <c r="O855" s="4" t="str">
        <f>IFERROR(__xludf.DUMMYFUNCTION("""COMPUTED_VALUE"""),"BM04B-SRSS-TB(LF)(SN)")</f>
        <v>BM04B-SRSS-TB(LF)(SN)</v>
      </c>
      <c r="P855" s="4" t="str">
        <f>IFERROR(__xludf.DUMMYFUNCTION("""COMPUTED_VALUE"""),"2(Tp) 1 ")</f>
        <v>2(Tp) 1 </v>
      </c>
      <c r="Q855" s="4">
        <f>IFERROR(__xludf.DUMMYFUNCTION("""COMPUTED_VALUE"""),3.0)</f>
        <v>3</v>
      </c>
      <c r="R855" s="4">
        <f>IFERROR(__xludf.DUMMYFUNCTION("""COMPUTED_VALUE"""),2.0)</f>
        <v>2</v>
      </c>
      <c r="S855" s="4" t="str">
        <f>IFERROR(__xludf.DUMMYFUNCTION("""COMPUTED_VALUE"""),"Tape")</f>
        <v>Tape</v>
      </c>
      <c r="T855" s="4" t="str">
        <f>IFERROR(__xludf.DUMMYFUNCTION("""COMPUTED_VALUE"""),"0625")</f>
        <v>0625</v>
      </c>
      <c r="U855" s="4">
        <f>IFERROR(__xludf.DUMMYFUNCTION("""COMPUTED_VALUE"""),1.0)</f>
        <v>1</v>
      </c>
      <c r="V855" s="4" t="str">
        <f>IFERROR(__xludf.DUMMYFUNCTION("""COMPUTED_VALUE"""),"Bag")</f>
        <v>Bag</v>
      </c>
      <c r="W855" s="4" t="str">
        <f>IFERROR(__xludf.DUMMYFUNCTION("""COMPUTED_VALUE"""),"XXXX")</f>
        <v>XXXX</v>
      </c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</row>
    <row r="856">
      <c r="A856" s="4" t="str">
        <f>IFERROR(__xludf.DUMMYFUNCTION("""COMPUTED_VALUE"""),"RESISTOR:   SMD 0603 0Ω 1A   [RC0603FR-070RL] [SMD]")</f>
        <v>RESISTOR:   SMD 0603 0Ω 1A   [RC0603FR-070RL] [SMD]</v>
      </c>
      <c r="B856" s="4" t="str">
        <f>IFERROR(__xludf.DUMMYFUNCTION("""COMPUTED_VALUE"""),"OEPS020079")</f>
        <v>OEPS020079</v>
      </c>
      <c r="C856" s="4" t="str">
        <f>IFERROR(__xludf.DUMMYFUNCTION("""COMPUTED_VALUE"""),"SMD")</f>
        <v>SMD</v>
      </c>
      <c r="D856" s="4" t="str">
        <f>IFERROR(__xludf.DUMMYFUNCTION("""COMPUTED_VALUE"""),"RC0603FR-070RL")</f>
        <v>RC0603FR-070RL</v>
      </c>
      <c r="E856" s="4">
        <f>IFERROR(__xludf.DUMMYFUNCTION("""COMPUTED_VALUE"""),30.0)</f>
        <v>30</v>
      </c>
      <c r="F856" s="4" t="str">
        <f>IFERROR(__xludf.DUMMYFUNCTION("""COMPUTED_VALUE"""),"DigiKey")</f>
        <v>DigiKey</v>
      </c>
      <c r="G856" s="4" t="str">
        <f>IFERROR(__xludf.DUMMYFUNCTION("""COMPUTED_VALUE"""),"311-0.0HRDKR-ND")</f>
        <v>311-0.0HRDKR-ND</v>
      </c>
      <c r="H856" s="4"/>
      <c r="I856" s="4"/>
      <c r="J856" s="4"/>
      <c r="K856" s="4"/>
      <c r="L856" s="4"/>
      <c r="M856" s="4"/>
      <c r="N856" s="9" t="str">
        <f>IFERROR(__xludf.DUMMYFUNCTION("""COMPUTED_VALUE"""),"OEPS070128")</f>
        <v>OEPS070128</v>
      </c>
      <c r="O856" s="4" t="str">
        <f>IFERROR(__xludf.DUMMYFUNCTION("""COMPUTED_VALUE"""),"12401610E4#2A")</f>
        <v>12401610E4#2A</v>
      </c>
      <c r="P856" s="4" t="str">
        <f>IFERROR(__xludf.DUMMYFUNCTION("""COMPUTED_VALUE"""),"5(Tp) ")</f>
        <v>5(Tp) </v>
      </c>
      <c r="Q856" s="4">
        <f>IFERROR(__xludf.DUMMYFUNCTION("""COMPUTED_VALUE"""),5.0)</f>
        <v>5</v>
      </c>
      <c r="R856" s="4">
        <f>IFERROR(__xludf.DUMMYFUNCTION("""COMPUTED_VALUE"""),5.0)</f>
        <v>5</v>
      </c>
      <c r="S856" s="4" t="str">
        <f>IFERROR(__xludf.DUMMYFUNCTION("""COMPUTED_VALUE"""),"Tape")</f>
        <v>Tape</v>
      </c>
      <c r="T856" s="4" t="str">
        <f>IFERROR(__xludf.DUMMYFUNCTION("""COMPUTED_VALUE"""),"XXXX")</f>
        <v>XXXX</v>
      </c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</row>
    <row r="857">
      <c r="A857" s="4" t="str">
        <f>IFERROR(__xludf.DUMMYFUNCTION("""COMPUTED_VALUE"""),"RESISTOR:   SMD 0603 0Ω 1A   [RCS06030000Z0EA] [SMD]")</f>
        <v>RESISTOR:   SMD 0603 0Ω 1A   [RCS06030000Z0EA] [SMD]</v>
      </c>
      <c r="B857" s="4" t="str">
        <f>IFERROR(__xludf.DUMMYFUNCTION("""COMPUTED_VALUE"""),"OEPS020151")</f>
        <v>OEPS020151</v>
      </c>
      <c r="C857" s="4" t="str">
        <f>IFERROR(__xludf.DUMMYFUNCTION("""COMPUTED_VALUE"""),"SMD")</f>
        <v>SMD</v>
      </c>
      <c r="D857" s="4" t="str">
        <f>IFERROR(__xludf.DUMMYFUNCTION("""COMPUTED_VALUE"""),"RCS06030000Z0EA")</f>
        <v>RCS06030000Z0EA</v>
      </c>
      <c r="E857" s="4">
        <f>IFERROR(__xludf.DUMMYFUNCTION("""COMPUTED_VALUE"""),1.0)</f>
        <v>1</v>
      </c>
      <c r="F857" s="4" t="str">
        <f>IFERROR(__xludf.DUMMYFUNCTION("""COMPUTED_VALUE"""),"Digikey")</f>
        <v>Digikey</v>
      </c>
      <c r="G857" s="4" t="str">
        <f>IFERROR(__xludf.DUMMYFUNCTION("""COMPUTED_VALUE"""),"541-2779-6-ND")</f>
        <v>541-2779-6-ND</v>
      </c>
      <c r="H857" s="4"/>
      <c r="I857" s="4"/>
      <c r="J857" s="4"/>
      <c r="K857" s="4"/>
      <c r="L857" s="4"/>
      <c r="M857" s="4"/>
      <c r="N857" s="9" t="str">
        <f>IFERROR(__xludf.DUMMYFUNCTION("""COMPUTED_VALUE"""),"OEPS070129")</f>
        <v>OEPS070129</v>
      </c>
      <c r="O857" s="4" t="str">
        <f>IFERROR(__xludf.DUMMYFUNCTION("""COMPUTED_VALUE"""),"PJ-316A-6A")</f>
        <v>PJ-316A-6A</v>
      </c>
      <c r="P857" s="4" t="str">
        <f>IFERROR(__xludf.DUMMYFUNCTION("""COMPUTED_VALUE"""),"50(Tp) ")</f>
        <v>50(Tp) </v>
      </c>
      <c r="Q857" s="4">
        <f>IFERROR(__xludf.DUMMYFUNCTION("""COMPUTED_VALUE"""),50.0)</f>
        <v>50</v>
      </c>
      <c r="R857" s="4">
        <f>IFERROR(__xludf.DUMMYFUNCTION("""COMPUTED_VALUE"""),50.0)</f>
        <v>50</v>
      </c>
      <c r="S857" s="4" t="str">
        <f>IFERROR(__xludf.DUMMYFUNCTION("""COMPUTED_VALUE"""),"Tape")</f>
        <v>Tape</v>
      </c>
      <c r="T857" s="4" t="str">
        <f>IFERROR(__xludf.DUMMYFUNCTION("""COMPUTED_VALUE"""),"0725")</f>
        <v>0725</v>
      </c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</row>
    <row r="858">
      <c r="A858" s="4" t="str">
        <f>IFERROR(__xludf.DUMMYFUNCTION("""COMPUTED_VALUE"""),"RESISTOR:   SMD 0603 1.15kΩ ±0.1% 0.063W   [RT0402BRD071K15L] [SMD]")</f>
        <v>RESISTOR:   SMD 0603 1.15kΩ ±0.1% 0.063W   [RT0402BRD071K15L] [SMD]</v>
      </c>
      <c r="B858" s="4" t="str">
        <f>IFERROR(__xludf.DUMMYFUNCTION("""COMPUTED_VALUE"""),"OEPS020187")</f>
        <v>OEPS020187</v>
      </c>
      <c r="C858" s="4" t="str">
        <f>IFERROR(__xludf.DUMMYFUNCTION("""COMPUTED_VALUE"""),"SMD")</f>
        <v>SMD</v>
      </c>
      <c r="D858" s="4" t="str">
        <f>IFERROR(__xludf.DUMMYFUNCTION("""COMPUTED_VALUE"""),"RT0402BRD071K15L")</f>
        <v>RT0402BRD071K15L</v>
      </c>
      <c r="E858" s="4">
        <f>IFERROR(__xludf.DUMMYFUNCTION("""COMPUTED_VALUE"""),30.0)</f>
        <v>30</v>
      </c>
      <c r="F858" s="4" t="str">
        <f>IFERROR(__xludf.DUMMYFUNCTION("""COMPUTED_VALUE"""),"DigiKey")</f>
        <v>DigiKey</v>
      </c>
      <c r="G858" s="4" t="str">
        <f>IFERROR(__xludf.DUMMYFUNCTION("""COMPUTED_VALUE"""),"YAG4190DKR-ND")</f>
        <v>YAG4190DKR-ND</v>
      </c>
      <c r="H858" s="4"/>
      <c r="I858" s="4"/>
      <c r="J858" s="4"/>
      <c r="K858" s="4"/>
      <c r="L858" s="4"/>
      <c r="M858" s="4"/>
      <c r="N858" s="9" t="str">
        <f>IFERROR(__xludf.DUMMYFUNCTION("""COMPUTED_VALUE"""),"OEPS070130")</f>
        <v>OEPS070130</v>
      </c>
      <c r="O858" s="4" t="str">
        <f>IFERROR(__xludf.DUMMYFUNCTION("""COMPUTED_VALUE"""),"B2B-PH-K-S(LF)(SN)")</f>
        <v>B2B-PH-K-S(LF)(SN)</v>
      </c>
      <c r="P858" s="4" t="str">
        <f>IFERROR(__xludf.DUMMYFUNCTION("""COMPUTED_VALUE"""),"57 1 133 ")</f>
        <v>57 1 133 </v>
      </c>
      <c r="Q858" s="4">
        <f>IFERROR(__xludf.DUMMYFUNCTION("""COMPUTED_VALUE"""),191.0)</f>
        <v>191</v>
      </c>
      <c r="R858" s="4">
        <f>IFERROR(__xludf.DUMMYFUNCTION("""COMPUTED_VALUE"""),57.0)</f>
        <v>57</v>
      </c>
      <c r="S858" s="4" t="str">
        <f>IFERROR(__xludf.DUMMYFUNCTION("""COMPUTED_VALUE"""),"Bag")</f>
        <v>Bag</v>
      </c>
      <c r="T858" s="4" t="str">
        <f>IFERROR(__xludf.DUMMYFUNCTION("""COMPUTED_VALUE"""),"XXXX")</f>
        <v>XXXX</v>
      </c>
      <c r="U858" s="4">
        <f>IFERROR(__xludf.DUMMYFUNCTION("""COMPUTED_VALUE"""),1.0)</f>
        <v>1</v>
      </c>
      <c r="V858" s="4" t="str">
        <f>IFERROR(__xludf.DUMMYFUNCTION("""COMPUTED_VALUE"""),"Bag")</f>
        <v>Bag</v>
      </c>
      <c r="W858" s="4" t="str">
        <f>IFERROR(__xludf.DUMMYFUNCTION("""COMPUTED_VALUE"""),"0226")</f>
        <v>0226</v>
      </c>
      <c r="X858" s="4">
        <f>IFERROR(__xludf.DUMMYFUNCTION("""COMPUTED_VALUE"""),133.0)</f>
        <v>133</v>
      </c>
      <c r="Y858" s="4" t="str">
        <f>IFERROR(__xludf.DUMMYFUNCTION("""COMPUTED_VALUE"""),"Bag")</f>
        <v>Bag</v>
      </c>
      <c r="Z858" s="4" t="str">
        <f>IFERROR(__xludf.DUMMYFUNCTION("""COMPUTED_VALUE"""),"XXXX")</f>
        <v>XXXX</v>
      </c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</row>
    <row r="859">
      <c r="A859" s="4" t="str">
        <f>IFERROR(__xludf.DUMMYFUNCTION("""COMPUTED_VALUE"""),"RESISTOR:   SMD 0603 1.15kΩ ±1% 0.100W (OEPS J30 020)   [RC0603FR-071K15L] [SMD]")</f>
        <v>RESISTOR:   SMD 0603 1.15kΩ ±1% 0.100W (OEPS J30 020)   [RC0603FR-071K15L] [SMD]</v>
      </c>
      <c r="B859" s="4" t="str">
        <f>IFERROR(__xludf.DUMMYFUNCTION("""COMPUTED_VALUE"""),"OEPS020147")</f>
        <v>OEPS020147</v>
      </c>
      <c r="C859" s="4" t="str">
        <f>IFERROR(__xludf.DUMMYFUNCTION("""COMPUTED_VALUE"""),"SMD")</f>
        <v>SMD</v>
      </c>
      <c r="D859" s="4" t="str">
        <f>IFERROR(__xludf.DUMMYFUNCTION("""COMPUTED_VALUE"""),"RC0603FR-071K15L")</f>
        <v>RC0603FR-071K15L</v>
      </c>
      <c r="E859" s="4">
        <f>IFERROR(__xludf.DUMMYFUNCTION("""COMPUTED_VALUE"""),30.0)</f>
        <v>30</v>
      </c>
      <c r="F859" s="4" t="str">
        <f>IFERROR(__xludf.DUMMYFUNCTION("""COMPUTED_VALUE"""),"Digikey")</f>
        <v>Digikey</v>
      </c>
      <c r="G859" s="4" t="str">
        <f>IFERROR(__xludf.DUMMYFUNCTION("""COMPUTED_VALUE"""),"311-1.15KHRDKR-ND")</f>
        <v>311-1.15KHRDKR-ND</v>
      </c>
      <c r="H859" s="4"/>
      <c r="I859" s="4"/>
      <c r="J859" s="4"/>
      <c r="K859" s="4"/>
      <c r="L859" s="4"/>
      <c r="M859" s="4"/>
      <c r="N859" s="9" t="str">
        <f>IFERROR(__xludf.DUMMYFUNCTION("""COMPUTED_VALUE"""),"OEPS070131")</f>
        <v>OEPS070131</v>
      </c>
      <c r="O859" s="4" t="str">
        <f>IFERROR(__xludf.DUMMYFUNCTION("""COMPUTED_VALUE"""),"M20-9990546")</f>
        <v>M20-9990546</v>
      </c>
      <c r="P859" s="4" t="str">
        <f>IFERROR(__xludf.DUMMYFUNCTION("""COMPUTED_VALUE"""),"1 ")</f>
        <v>1 </v>
      </c>
      <c r="Q859" s="4">
        <f>IFERROR(__xludf.DUMMYFUNCTION("""COMPUTED_VALUE"""),1.0)</f>
        <v>1</v>
      </c>
      <c r="R859" s="4">
        <f>IFERROR(__xludf.DUMMYFUNCTION("""COMPUTED_VALUE"""),1.0)</f>
        <v>1</v>
      </c>
      <c r="S859" s="4" t="str">
        <f>IFERROR(__xludf.DUMMYFUNCTION("""COMPUTED_VALUE"""),"Bag")</f>
        <v>Bag</v>
      </c>
      <c r="T859" s="4" t="str">
        <f>IFERROR(__xludf.DUMMYFUNCTION("""COMPUTED_VALUE"""),"0226")</f>
        <v>0226</v>
      </c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</row>
    <row r="860">
      <c r="A860" s="4" t="str">
        <f>IFERROR(__xludf.DUMMYFUNCTION("""COMPUTED_VALUE"""),"RESISTOR:   SMD 0603 1.2kΩ ±0.1% 0.100W   [RT0603BRC071K2L] [SMD]")</f>
        <v>RESISTOR:   SMD 0603 1.2kΩ ±0.1% 0.100W   [RT0603BRC071K2L] [SMD]</v>
      </c>
      <c r="B860" s="4" t="str">
        <f>IFERROR(__xludf.DUMMYFUNCTION("""COMPUTED_VALUE"""),"OEPS020165")</f>
        <v>OEPS020165</v>
      </c>
      <c r="C860" s="4" t="str">
        <f>IFERROR(__xludf.DUMMYFUNCTION("""COMPUTED_VALUE"""),"SMD")</f>
        <v>SMD</v>
      </c>
      <c r="D860" s="4" t="str">
        <f>IFERROR(__xludf.DUMMYFUNCTION("""COMPUTED_VALUE"""),"RT0603BRC071K2L")</f>
        <v>RT0603BRC071K2L</v>
      </c>
      <c r="E860" s="4">
        <f>IFERROR(__xludf.DUMMYFUNCTION("""COMPUTED_VALUE"""),30.0)</f>
        <v>30</v>
      </c>
      <c r="F860" s="4" t="str">
        <f>IFERROR(__xludf.DUMMYFUNCTION("""COMPUTED_VALUE"""),"DigiKey")</f>
        <v>DigiKey</v>
      </c>
      <c r="G860" s="4" t="str">
        <f>IFERROR(__xludf.DUMMYFUNCTION("""COMPUTED_VALUE"""),"13-RT0603BRC071K2LDKR-ND")</f>
        <v>13-RT0603BRC071K2LDKR-ND</v>
      </c>
      <c r="H860" s="4"/>
      <c r="I860" s="4"/>
      <c r="J860" s="4"/>
      <c r="K860" s="4"/>
      <c r="L860" s="4"/>
      <c r="M860" s="4"/>
      <c r="N860" s="9" t="str">
        <f>IFERROR(__xludf.DUMMYFUNCTION("""COMPUTED_VALUE"""),"OEPS070132")</f>
        <v>OEPS070132</v>
      </c>
      <c r="O860" s="4" t="str">
        <f>IFERROR(__xludf.DUMMYFUNCTION("""COMPUTED_VALUE"""),"MOLC-110-11-S-Q")</f>
        <v>MOLC-110-11-S-Q</v>
      </c>
      <c r="P860" s="4" t="str">
        <f>IFERROR(__xludf.DUMMYFUNCTION("""COMPUTED_VALUE"""),"8(Tb) 16 ")</f>
        <v>8(Tb) 16 </v>
      </c>
      <c r="Q860" s="4">
        <f>IFERROR(__xludf.DUMMYFUNCTION("""COMPUTED_VALUE"""),24.0)</f>
        <v>24</v>
      </c>
      <c r="R860" s="4">
        <f>IFERROR(__xludf.DUMMYFUNCTION("""COMPUTED_VALUE"""),8.0)</f>
        <v>8</v>
      </c>
      <c r="S860" s="4" t="str">
        <f>IFERROR(__xludf.DUMMYFUNCTION("""COMPUTED_VALUE"""),"Tube")</f>
        <v>Tube</v>
      </c>
      <c r="T860" s="4" t="str">
        <f>IFERROR(__xludf.DUMMYFUNCTION("""COMPUTED_VALUE"""),"XXXX")</f>
        <v>XXXX</v>
      </c>
      <c r="U860" s="4">
        <f>IFERROR(__xludf.DUMMYFUNCTION("""COMPUTED_VALUE"""),16.0)</f>
        <v>16</v>
      </c>
      <c r="V860" s="4" t="str">
        <f>IFERROR(__xludf.DUMMYFUNCTION("""COMPUTED_VALUE"""),"Bag")</f>
        <v>Bag</v>
      </c>
      <c r="W860" s="4" t="str">
        <f>IFERROR(__xludf.DUMMYFUNCTION("""COMPUTED_VALUE"""),"XXXX")</f>
        <v>XXXX</v>
      </c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</row>
    <row r="861">
      <c r="A861" s="4" t="str">
        <f>IFERROR(__xludf.DUMMYFUNCTION("""COMPUTED_VALUE"""),"RESISTOR:   SMD 0603 1.2MΩ ±1% 0.100W   [AC0603FR-071M2L] [SMD]")</f>
        <v>RESISTOR:   SMD 0603 1.2MΩ ±1% 0.100W   [AC0603FR-071M2L] [SMD]</v>
      </c>
      <c r="B861" s="4" t="str">
        <f>IFERROR(__xludf.DUMMYFUNCTION("""COMPUTED_VALUE"""),"OEPS020239")</f>
        <v>OEPS020239</v>
      </c>
      <c r="C861" s="4" t="str">
        <f>IFERROR(__xludf.DUMMYFUNCTION("""COMPUTED_VALUE"""),"SMD")</f>
        <v>SMD</v>
      </c>
      <c r="D861" s="4" t="str">
        <f>IFERROR(__xludf.DUMMYFUNCTION("""COMPUTED_VALUE"""),"AC0603FR-071M2L")</f>
        <v>AC0603FR-071M2L</v>
      </c>
      <c r="E861" s="4">
        <f>IFERROR(__xludf.DUMMYFUNCTION("""COMPUTED_VALUE"""),20.0)</f>
        <v>20</v>
      </c>
      <c r="F861" s="4" t="str">
        <f>IFERROR(__xludf.DUMMYFUNCTION("""COMPUTED_VALUE"""),"Digikey")</f>
        <v>Digikey</v>
      </c>
      <c r="G861" s="4" t="str">
        <f>IFERROR(__xludf.DUMMYFUNCTION("""COMPUTED_VALUE"""),"13-AC0603FR-071M2LDKR-ND")</f>
        <v>13-AC0603FR-071M2LDKR-ND</v>
      </c>
      <c r="H861" s="4"/>
      <c r="I861" s="4"/>
      <c r="J861" s="4"/>
      <c r="K861" s="4"/>
      <c r="L861" s="4"/>
      <c r="M861" s="4"/>
      <c r="N861" s="9" t="str">
        <f>IFERROR(__xludf.DUMMYFUNCTION("""COMPUTED_VALUE"""),"OEPS070133")</f>
        <v>OEPS070133</v>
      </c>
      <c r="O861" s="4" t="str">
        <f>IFERROR(__xludf.DUMMYFUNCTION("""COMPUTED_VALUE"""),"OSTVN02A150")</f>
        <v>OSTVN02A150</v>
      </c>
      <c r="P861" s="4" t="str">
        <f>IFERROR(__xludf.DUMMYFUNCTION("""COMPUTED_VALUE"""),"42 ")</f>
        <v>42 </v>
      </c>
      <c r="Q861" s="4">
        <f>IFERROR(__xludf.DUMMYFUNCTION("""COMPUTED_VALUE"""),42.0)</f>
        <v>42</v>
      </c>
      <c r="R861" s="4">
        <f>IFERROR(__xludf.DUMMYFUNCTION("""COMPUTED_VALUE"""),42.0)</f>
        <v>42</v>
      </c>
      <c r="S861" s="4" t="str">
        <f>IFERROR(__xludf.DUMMYFUNCTION("""COMPUTED_VALUE"""),"Bag")</f>
        <v>Bag</v>
      </c>
      <c r="T861" s="4" t="str">
        <f>IFERROR(__xludf.DUMMYFUNCTION("""COMPUTED_VALUE"""),"0925")</f>
        <v>0925</v>
      </c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</row>
    <row r="862">
      <c r="A862" s="4" t="str">
        <f>IFERROR(__xludf.DUMMYFUNCTION("""COMPUTED_VALUE"""),"RESISTOR:   SMD 0603 1.33kΩ ±1% 0.100W   [ERJ-3EKF1331V] [SMD]")</f>
        <v>RESISTOR:   SMD 0603 1.33kΩ ±1% 0.100W   [ERJ-3EKF1331V] [SMD]</v>
      </c>
      <c r="B862" s="4" t="str">
        <f>IFERROR(__xludf.DUMMYFUNCTION("""COMPUTED_VALUE"""),"OEPS020238")</f>
        <v>OEPS020238</v>
      </c>
      <c r="C862" s="4" t="str">
        <f>IFERROR(__xludf.DUMMYFUNCTION("""COMPUTED_VALUE"""),"SMD")</f>
        <v>SMD</v>
      </c>
      <c r="D862" s="4" t="str">
        <f>IFERROR(__xludf.DUMMYFUNCTION("""COMPUTED_VALUE"""),"ERJ-3EKF1331V")</f>
        <v>ERJ-3EKF1331V</v>
      </c>
      <c r="E862" s="4">
        <f>IFERROR(__xludf.DUMMYFUNCTION("""COMPUTED_VALUE"""),20.0)</f>
        <v>20</v>
      </c>
      <c r="F862" s="4" t="str">
        <f>IFERROR(__xludf.DUMMYFUNCTION("""COMPUTED_VALUE"""),"Digikey")</f>
        <v>Digikey</v>
      </c>
      <c r="G862" s="4" t="str">
        <f>IFERROR(__xludf.DUMMYFUNCTION("""COMPUTED_VALUE"""),"P1.33KHDKR-ND")</f>
        <v>P1.33KHDKR-ND</v>
      </c>
      <c r="H862" s="4"/>
      <c r="I862" s="4"/>
      <c r="J862" s="4"/>
      <c r="K862" s="4"/>
      <c r="L862" s="4"/>
      <c r="M862" s="4"/>
      <c r="N862" s="9" t="str">
        <f>IFERROR(__xludf.DUMMYFUNCTION("""COMPUTED_VALUE"""),"OEPS070137")</f>
        <v>OEPS070137</v>
      </c>
      <c r="O862" s="4" t="str">
        <f>IFERROR(__xludf.DUMMYFUNCTION("""COMPUTED_VALUE"""),"2212S-03SG-85")</f>
        <v>2212S-03SG-85</v>
      </c>
      <c r="P862" s="4" t="str">
        <f>IFERROR(__xludf.DUMMYFUNCTION("""COMPUTED_VALUE"""),"3 ")</f>
        <v>3 </v>
      </c>
      <c r="Q862" s="4">
        <f>IFERROR(__xludf.DUMMYFUNCTION("""COMPUTED_VALUE"""),3.0)</f>
        <v>3</v>
      </c>
      <c r="R862" s="4">
        <f>IFERROR(__xludf.DUMMYFUNCTION("""COMPUTED_VALUE"""),3.0)</f>
        <v>3</v>
      </c>
      <c r="S862" s="4" t="str">
        <f>IFERROR(__xludf.DUMMYFUNCTION("""COMPUTED_VALUE"""),"Bag")</f>
        <v>Bag</v>
      </c>
      <c r="T862" s="4" t="str">
        <f>IFERROR(__xludf.DUMMYFUNCTION("""COMPUTED_VALUE"""),"XXXX")</f>
        <v>XXXX</v>
      </c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</row>
    <row r="863">
      <c r="A863" s="4" t="str">
        <f>IFERROR(__xludf.DUMMYFUNCTION("""COMPUTED_VALUE"""),"RESISTOR:   SMD 0603 1.5MΩ ±1% 0.100W   [AC0603FR-071M5L] [SMD]")</f>
        <v>RESISTOR:   SMD 0603 1.5MΩ ±1% 0.100W   [AC0603FR-071M5L] [SMD]</v>
      </c>
      <c r="B863" s="4" t="str">
        <f>IFERROR(__xludf.DUMMYFUNCTION("""COMPUTED_VALUE"""),"OEPS020237")</f>
        <v>OEPS020237</v>
      </c>
      <c r="C863" s="4" t="str">
        <f>IFERROR(__xludf.DUMMYFUNCTION("""COMPUTED_VALUE"""),"SMD")</f>
        <v>SMD</v>
      </c>
      <c r="D863" s="4" t="str">
        <f>IFERROR(__xludf.DUMMYFUNCTION("""COMPUTED_VALUE"""),"AC0603FR-071M5L")</f>
        <v>AC0603FR-071M5L</v>
      </c>
      <c r="E863" s="4">
        <f>IFERROR(__xludf.DUMMYFUNCTION("""COMPUTED_VALUE"""),20.0)</f>
        <v>20</v>
      </c>
      <c r="F863" s="4" t="str">
        <f>IFERROR(__xludf.DUMMYFUNCTION("""COMPUTED_VALUE"""),"Digikey")</f>
        <v>Digikey</v>
      </c>
      <c r="G863" s="4" t="str">
        <f>IFERROR(__xludf.DUMMYFUNCTION("""COMPUTED_VALUE"""),"13-AC0603FR-071M5LDKR-ND")</f>
        <v>13-AC0603FR-071M5LDKR-ND</v>
      </c>
      <c r="H863" s="4"/>
      <c r="I863" s="4"/>
      <c r="J863" s="4"/>
      <c r="K863" s="4"/>
      <c r="L863" s="4"/>
      <c r="M863" s="4"/>
      <c r="N863" s="9" t="str">
        <f>IFERROR(__xludf.DUMMYFUNCTION("""COMPUTED_VALUE"""),"OEPS070138")</f>
        <v>OEPS070138</v>
      </c>
      <c r="O863" s="4" t="str">
        <f>IFERROR(__xludf.DUMMYFUNCTION("""COMPUTED_VALUE"""),"SM04B-SRSS-TB")</f>
        <v>SM04B-SRSS-TB</v>
      </c>
      <c r="P863" s="4" t="str">
        <f>IFERROR(__xludf.DUMMYFUNCTION("""COMPUTED_VALUE"""),"4(Tp) ")</f>
        <v>4(Tp) </v>
      </c>
      <c r="Q863" s="4">
        <f>IFERROR(__xludf.DUMMYFUNCTION("""COMPUTED_VALUE"""),4.0)</f>
        <v>4</v>
      </c>
      <c r="R863" s="4">
        <f>IFERROR(__xludf.DUMMYFUNCTION("""COMPUTED_VALUE"""),4.0)</f>
        <v>4</v>
      </c>
      <c r="S863" s="4" t="str">
        <f>IFERROR(__xludf.DUMMYFUNCTION("""COMPUTED_VALUE"""),"Tape")</f>
        <v>Tape</v>
      </c>
      <c r="T863" s="4" t="str">
        <f>IFERROR(__xludf.DUMMYFUNCTION("""COMPUTED_VALUE"""),"1125")</f>
        <v>1125</v>
      </c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</row>
    <row r="864">
      <c r="A864" s="4" t="str">
        <f>IFERROR(__xludf.DUMMYFUNCTION("""COMPUTED_VALUE"""),"RESISTOR:   SMD 0603 1.87kΩ ±0.1% 0.100W   [RT0603BRD071K87L] [SMD]")</f>
        <v>RESISTOR:   SMD 0603 1.87kΩ ±0.1% 0.100W   [RT0603BRD071K87L] [SMD]</v>
      </c>
      <c r="B864" s="4" t="str">
        <f>IFERROR(__xludf.DUMMYFUNCTION("""COMPUTED_VALUE"""),"OEPS020168")</f>
        <v>OEPS020168</v>
      </c>
      <c r="C864" s="4" t="str">
        <f>IFERROR(__xludf.DUMMYFUNCTION("""COMPUTED_VALUE"""),"SMD")</f>
        <v>SMD</v>
      </c>
      <c r="D864" s="4" t="str">
        <f>IFERROR(__xludf.DUMMYFUNCTION("""COMPUTED_VALUE"""),"RT0603BRD071K87L")</f>
        <v>RT0603BRD071K87L</v>
      </c>
      <c r="E864" s="4">
        <f>IFERROR(__xludf.DUMMYFUNCTION("""COMPUTED_VALUE"""),30.0)</f>
        <v>30</v>
      </c>
      <c r="F864" s="4" t="str">
        <f>IFERROR(__xludf.DUMMYFUNCTION("""COMPUTED_VALUE"""),"DigiKey")</f>
        <v>DigiKey</v>
      </c>
      <c r="G864" s="4" t="str">
        <f>IFERROR(__xludf.DUMMYFUNCTION("""COMPUTED_VALUE"""),"YAG4497DKR-ND")</f>
        <v>YAG4497DKR-ND</v>
      </c>
      <c r="H864" s="4"/>
      <c r="I864" s="4"/>
      <c r="J864" s="4"/>
      <c r="K864" s="4"/>
      <c r="L864" s="4"/>
      <c r="M864" s="4"/>
      <c r="N864" s="9" t="str">
        <f>IFERROR(__xludf.DUMMYFUNCTION("""COMPUTED_VALUE"""),"OEPS070140")</f>
        <v>OEPS070140</v>
      </c>
      <c r="O864" s="4" t="str">
        <f>IFERROR(__xludf.DUMMYFUNCTION("""COMPUTED_VALUE"""),"1725711")</f>
        <v>1725711</v>
      </c>
      <c r="P864" s="4" t="str">
        <f>IFERROR(__xludf.DUMMYFUNCTION("""COMPUTED_VALUE"""),"3 ")</f>
        <v>3 </v>
      </c>
      <c r="Q864" s="4">
        <f>IFERROR(__xludf.DUMMYFUNCTION("""COMPUTED_VALUE"""),3.0)</f>
        <v>3</v>
      </c>
      <c r="R864" s="4">
        <f>IFERROR(__xludf.DUMMYFUNCTION("""COMPUTED_VALUE"""),3.0)</f>
        <v>3</v>
      </c>
      <c r="S864" s="4" t="str">
        <f>IFERROR(__xludf.DUMMYFUNCTION("""COMPUTED_VALUE"""),"Bag")</f>
        <v>Bag</v>
      </c>
      <c r="T864" s="4" t="str">
        <f>IFERROR(__xludf.DUMMYFUNCTION("""COMPUTED_VALUE"""),"0226")</f>
        <v>0226</v>
      </c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</row>
    <row r="865">
      <c r="A865" s="4" t="str">
        <f>IFERROR(__xludf.DUMMYFUNCTION("""COMPUTED_VALUE"""),"RESISTOR:   SMD 0603 1.87kΩ ±1% 0.100W   [RC0603FR-071K87L] [SMD]")</f>
        <v>RESISTOR:   SMD 0603 1.87kΩ ±1% 0.100W   [RC0603FR-071K87L] [SMD]</v>
      </c>
      <c r="B865" s="4" t="str">
        <f>IFERROR(__xludf.DUMMYFUNCTION("""COMPUTED_VALUE"""),"OEPS020117")</f>
        <v>OEPS020117</v>
      </c>
      <c r="C865" s="4" t="str">
        <f>IFERROR(__xludf.DUMMYFUNCTION("""COMPUTED_VALUE"""),"SMD")</f>
        <v>SMD</v>
      </c>
      <c r="D865" s="4" t="str">
        <f>IFERROR(__xludf.DUMMYFUNCTION("""COMPUTED_VALUE"""),"RC0603FR-071K87L")</f>
        <v>RC0603FR-071K87L</v>
      </c>
      <c r="E865" s="4">
        <f>IFERROR(__xludf.DUMMYFUNCTION("""COMPUTED_VALUE"""),30.0)</f>
        <v>30</v>
      </c>
      <c r="F865" s="4" t="str">
        <f>IFERROR(__xludf.DUMMYFUNCTION("""COMPUTED_VALUE"""),"Digikey")</f>
        <v>Digikey</v>
      </c>
      <c r="G865" s="4" t="str">
        <f>IFERROR(__xludf.DUMMYFUNCTION("""COMPUTED_VALUE"""),"311-1.87KHRDKR-ND")</f>
        <v>311-1.87KHRDKR-ND</v>
      </c>
      <c r="H865" s="4"/>
      <c r="I865" s="4"/>
      <c r="J865" s="4"/>
      <c r="K865" s="4"/>
      <c r="L865" s="4"/>
      <c r="M865" s="4"/>
      <c r="N865" s="9" t="str">
        <f>IFERROR(__xludf.DUMMYFUNCTION("""COMPUTED_VALUE"""),"OEPS080001")</f>
        <v>OEPS080001</v>
      </c>
      <c r="O865" s="4" t="str">
        <f>IFERROR(__xludf.DUMMYFUNCTION("""COMPUTED_VALUE"""),"4492")</f>
        <v>4492</v>
      </c>
      <c r="P865" s="4" t="str">
        <f>IFERROR(__xludf.DUMMYFUNCTION("""COMPUTED_VALUE"""),"7 35(Tp) ")</f>
        <v>7 35(Tp) </v>
      </c>
      <c r="Q865" s="4">
        <f>IFERROR(__xludf.DUMMYFUNCTION("""COMPUTED_VALUE"""),42.0)</f>
        <v>42</v>
      </c>
      <c r="R865" s="4">
        <f>IFERROR(__xludf.DUMMYFUNCTION("""COMPUTED_VALUE"""),7.0)</f>
        <v>7</v>
      </c>
      <c r="S865" s="4" t="str">
        <f>IFERROR(__xludf.DUMMYFUNCTION("""COMPUTED_VALUE"""),"Bag")</f>
        <v>Bag</v>
      </c>
      <c r="T865" s="4" t="str">
        <f>IFERROR(__xludf.DUMMYFUNCTION("""COMPUTED_VALUE"""),"0126")</f>
        <v>0126</v>
      </c>
      <c r="U865" s="4">
        <f>IFERROR(__xludf.DUMMYFUNCTION("""COMPUTED_VALUE"""),35.0)</f>
        <v>35</v>
      </c>
      <c r="V865" s="4" t="str">
        <f>IFERROR(__xludf.DUMMYFUNCTION("""COMPUTED_VALUE"""),"Tape")</f>
        <v>Tape</v>
      </c>
      <c r="W865" s="4" t="str">
        <f>IFERROR(__xludf.DUMMYFUNCTION("""COMPUTED_VALUE"""),"XXXX")</f>
        <v>XXXX</v>
      </c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</row>
    <row r="866">
      <c r="A866" s="4" t="str">
        <f>IFERROR(__xludf.DUMMYFUNCTION("""COMPUTED_VALUE"""),"RESISTOR:   SMD 0603 10.6kΩ ±0.1% 0.100W   [RN73R1JTTD1062B25] [SMD]")</f>
        <v>RESISTOR:   SMD 0603 10.6kΩ ±0.1% 0.100W   [RN73R1JTTD1062B25] [SMD]</v>
      </c>
      <c r="B866" s="4" t="str">
        <f>IFERROR(__xludf.DUMMYFUNCTION("""COMPUTED_VALUE"""),"OEPS020163")</f>
        <v>OEPS020163</v>
      </c>
      <c r="C866" s="4" t="str">
        <f>IFERROR(__xludf.DUMMYFUNCTION("""COMPUTED_VALUE"""),"SMD")</f>
        <v>SMD</v>
      </c>
      <c r="D866" s="4" t="str">
        <f>IFERROR(__xludf.DUMMYFUNCTION("""COMPUTED_VALUE"""),"RN73R1JTTD1062B25")</f>
        <v>RN73R1JTTD1062B25</v>
      </c>
      <c r="E866" s="4">
        <f>IFERROR(__xludf.DUMMYFUNCTION("""COMPUTED_VALUE"""),30.0)</f>
        <v>30</v>
      </c>
      <c r="F866" s="4" t="str">
        <f>IFERROR(__xludf.DUMMYFUNCTION("""COMPUTED_VALUE"""),"DigiKey")</f>
        <v>DigiKey</v>
      </c>
      <c r="G866" s="4" t="str">
        <f>IFERROR(__xludf.DUMMYFUNCTION("""COMPUTED_VALUE"""),"2019-RN73R1JTTD1062B25DKR-ND")</f>
        <v>2019-RN73R1JTTD1062B25DKR-ND</v>
      </c>
      <c r="H866" s="4"/>
      <c r="I866" s="4"/>
      <c r="J866" s="4"/>
      <c r="K866" s="4"/>
      <c r="L866" s="4"/>
      <c r="M866" s="4"/>
      <c r="N866" s="9" t="str">
        <f>IFERROR(__xludf.DUMMYFUNCTION("""COMPUTED_VALUE"""),"OEPS080002")</f>
        <v>OEPS080002</v>
      </c>
      <c r="O866" s="4" t="str">
        <f>IFERROR(__xludf.DUMMYFUNCTION("""COMPUTED_VALUE"""),"TXB0101DBVR")</f>
        <v>TXB0101DBVR</v>
      </c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</row>
    <row r="867">
      <c r="A867" s="4" t="str">
        <f>IFERROR(__xludf.DUMMYFUNCTION("""COMPUTED_VALUE"""),"RESISTOR:   SMD 0603 100kΩ ±1% 0.100W (OEPS J30 027)   [RC0603FR-07100KL] [SMD]")</f>
        <v>RESISTOR:   SMD 0603 100kΩ ±1% 0.100W (OEPS J30 027)   [RC0603FR-07100KL] [SMD]</v>
      </c>
      <c r="B867" s="4" t="str">
        <f>IFERROR(__xludf.DUMMYFUNCTION("""COMPUTED_VALUE"""),"OEPS020148")</f>
        <v>OEPS020148</v>
      </c>
      <c r="C867" s="4" t="str">
        <f>IFERROR(__xludf.DUMMYFUNCTION("""COMPUTED_VALUE"""),"SMD")</f>
        <v>SMD</v>
      </c>
      <c r="D867" s="4" t="str">
        <f>IFERROR(__xludf.DUMMYFUNCTION("""COMPUTED_VALUE"""),"RC0603FR-07100KL")</f>
        <v>RC0603FR-07100KL</v>
      </c>
      <c r="E867" s="4">
        <f>IFERROR(__xludf.DUMMYFUNCTION("""COMPUTED_VALUE"""),30.0)</f>
        <v>30</v>
      </c>
      <c r="F867" s="4" t="str">
        <f>IFERROR(__xludf.DUMMYFUNCTION("""COMPUTED_VALUE"""),"Digikey")</f>
        <v>Digikey</v>
      </c>
      <c r="G867" s="4" t="str">
        <f>IFERROR(__xludf.DUMMYFUNCTION("""COMPUTED_VALUE"""),"311-100KHRDKR-ND")</f>
        <v>311-100KHRDKR-ND</v>
      </c>
      <c r="H867" s="4"/>
      <c r="I867" s="4"/>
      <c r="J867" s="4"/>
      <c r="K867" s="4"/>
      <c r="L867" s="4"/>
      <c r="M867" s="4"/>
      <c r="N867" s="9" t="str">
        <f>IFERROR(__xludf.DUMMYFUNCTION("""COMPUTED_VALUE"""),"OEPS080003")</f>
        <v>OEPS080003</v>
      </c>
      <c r="O867" s="4" t="str">
        <f>IFERROR(__xludf.DUMMYFUNCTION("""COMPUTED_VALUE"""),"LTM4622AIY#PBF")</f>
        <v>LTM4622AIY#PBF</v>
      </c>
      <c r="P867" s="4" t="str">
        <f>IFERROR(__xludf.DUMMYFUNCTION("""COMPUTED_VALUE"""),"55(Tr) 1(Tr) 39 ")</f>
        <v>55(Tr) 1(Tr) 39 </v>
      </c>
      <c r="Q867" s="4">
        <f>IFERROR(__xludf.DUMMYFUNCTION("""COMPUTED_VALUE"""),95.0)</f>
        <v>95</v>
      </c>
      <c r="R867" s="4">
        <f>IFERROR(__xludf.DUMMYFUNCTION("""COMPUTED_VALUE"""),55.0)</f>
        <v>55</v>
      </c>
      <c r="S867" s="4" t="str">
        <f>IFERROR(__xludf.DUMMYFUNCTION("""COMPUTED_VALUE"""),"Tray")</f>
        <v>Tray</v>
      </c>
      <c r="T867" s="4" t="str">
        <f>IFERROR(__xludf.DUMMYFUNCTION("""COMPUTED_VALUE"""),"XXXX")</f>
        <v>XXXX</v>
      </c>
      <c r="U867" s="4">
        <f>IFERROR(__xludf.DUMMYFUNCTION("""COMPUTED_VALUE"""),1.0)</f>
        <v>1</v>
      </c>
      <c r="V867" s="4" t="str">
        <f>IFERROR(__xludf.DUMMYFUNCTION("""COMPUTED_VALUE"""),"Tray")</f>
        <v>Tray</v>
      </c>
      <c r="W867" s="4" t="str">
        <f>IFERROR(__xludf.DUMMYFUNCTION("""COMPUTED_VALUE"""),"1120")</f>
        <v>1120</v>
      </c>
      <c r="X867" s="4">
        <f>IFERROR(__xludf.DUMMYFUNCTION("""COMPUTED_VALUE"""),39.0)</f>
        <v>39</v>
      </c>
      <c r="Y867" s="4" t="str">
        <f>IFERROR(__xludf.DUMMYFUNCTION("""COMPUTED_VALUE"""),"Bag")</f>
        <v>Bag</v>
      </c>
      <c r="Z867" s="4" t="str">
        <f>IFERROR(__xludf.DUMMYFUNCTION("""COMPUTED_VALUE"""),"0122")</f>
        <v>0122</v>
      </c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</row>
    <row r="868">
      <c r="A868" s="4" t="str">
        <f>IFERROR(__xludf.DUMMYFUNCTION("""COMPUTED_VALUE"""),"RESISTOR:   SMD 0603 100Ω ±0.1% 0.100W   [RG1608P-101-B-T5] [SMD]")</f>
        <v>RESISTOR:   SMD 0603 100Ω ±0.1% 0.100W   [RG1608P-101-B-T5] [SMD]</v>
      </c>
      <c r="B868" s="4" t="str">
        <f>IFERROR(__xludf.DUMMYFUNCTION("""COMPUTED_VALUE"""),"OEPS020232")</f>
        <v>OEPS020232</v>
      </c>
      <c r="C868" s="4" t="str">
        <f>IFERROR(__xludf.DUMMYFUNCTION("""COMPUTED_VALUE"""),"SMD")</f>
        <v>SMD</v>
      </c>
      <c r="D868" s="4" t="str">
        <f>IFERROR(__xludf.DUMMYFUNCTION("""COMPUTED_VALUE"""),"RG1608P-101-B-T5")</f>
        <v>RG1608P-101-B-T5</v>
      </c>
      <c r="E868" s="4">
        <f>IFERROR(__xludf.DUMMYFUNCTION("""COMPUTED_VALUE"""),20.0)</f>
        <v>20</v>
      </c>
      <c r="F868" s="4" t="str">
        <f>IFERROR(__xludf.DUMMYFUNCTION("""COMPUTED_VALUE"""),"Digikey")</f>
        <v>Digikey</v>
      </c>
      <c r="G868" s="4" t="str">
        <f>IFERROR(__xludf.DUMMYFUNCTION("""COMPUTED_VALUE"""),"RG16P100BDKR-ND")</f>
        <v>RG16P100BDKR-ND</v>
      </c>
      <c r="H868" s="4"/>
      <c r="I868" s="4"/>
      <c r="J868" s="4"/>
      <c r="K868" s="4"/>
      <c r="L868" s="4"/>
      <c r="M868" s="4"/>
      <c r="N868" s="9" t="str">
        <f>IFERROR(__xludf.DUMMYFUNCTION("""COMPUTED_VALUE"""),"OEPS080004")</f>
        <v>OEPS080004</v>
      </c>
      <c r="O868" s="4" t="str">
        <f>IFERROR(__xludf.DUMMYFUNCTION("""COMPUTED_VALUE"""),"SI8610BC-B-ISR")</f>
        <v>SI8610BC-B-ISR</v>
      </c>
      <c r="P868" s="4" t="str">
        <f>IFERROR(__xludf.DUMMYFUNCTION("""COMPUTED_VALUE"""),"2(Tp) ")</f>
        <v>2(Tp) </v>
      </c>
      <c r="Q868" s="4">
        <f>IFERROR(__xludf.DUMMYFUNCTION("""COMPUTED_VALUE"""),2.0)</f>
        <v>2</v>
      </c>
      <c r="R868" s="4">
        <f>IFERROR(__xludf.DUMMYFUNCTION("""COMPUTED_VALUE"""),2.0)</f>
        <v>2</v>
      </c>
      <c r="S868" s="4" t="str">
        <f>IFERROR(__xludf.DUMMYFUNCTION("""COMPUTED_VALUE"""),"Tape")</f>
        <v>Tape</v>
      </c>
      <c r="T868" s="4" t="str">
        <f>IFERROR(__xludf.DUMMYFUNCTION("""COMPUTED_VALUE"""),"XXXX")</f>
        <v>XXXX</v>
      </c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</row>
    <row r="869">
      <c r="A869" s="4" t="str">
        <f>IFERROR(__xludf.DUMMYFUNCTION("""COMPUTED_VALUE"""),"RESISTOR:   SMD 0603 100Ω ±1% 0.333W   [CRCW0603100RFKEAHP] [SMD]")</f>
        <v>RESISTOR:   SMD 0603 100Ω ±1% 0.333W   [CRCW0603100RFKEAHP] [SMD]</v>
      </c>
      <c r="B869" s="4" t="str">
        <f>IFERROR(__xludf.DUMMYFUNCTION("""COMPUTED_VALUE"""),"OEPS020042")</f>
        <v>OEPS020042</v>
      </c>
      <c r="C869" s="4" t="str">
        <f>IFERROR(__xludf.DUMMYFUNCTION("""COMPUTED_VALUE"""),"SMD")</f>
        <v>SMD</v>
      </c>
      <c r="D869" s="4" t="str">
        <f>IFERROR(__xludf.DUMMYFUNCTION("""COMPUTED_VALUE"""),"CRCW0603100RFKEAHP")</f>
        <v>CRCW0603100RFKEAHP</v>
      </c>
      <c r="E869" s="4">
        <f>IFERROR(__xludf.DUMMYFUNCTION("""COMPUTED_VALUE"""),25.0)</f>
        <v>25</v>
      </c>
      <c r="F869" s="4" t="str">
        <f>IFERROR(__xludf.DUMMYFUNCTION("""COMPUTED_VALUE"""),"DigiKey")</f>
        <v>DigiKey</v>
      </c>
      <c r="G869" s="4" t="str">
        <f>IFERROR(__xludf.DUMMYFUNCTION("""COMPUTED_VALUE"""),"541-100SDKR-ND")</f>
        <v>541-100SDKR-ND</v>
      </c>
      <c r="H869" s="4"/>
      <c r="I869" s="4"/>
      <c r="J869" s="4"/>
      <c r="K869" s="4"/>
      <c r="L869" s="4"/>
      <c r="M869" s="4"/>
      <c r="N869" s="9" t="str">
        <f>IFERROR(__xludf.DUMMYFUNCTION("""COMPUTED_VALUE"""),"OEPS080005")</f>
        <v>OEPS080005</v>
      </c>
      <c r="O869" s="4" t="str">
        <f>IFERROR(__xludf.DUMMYFUNCTION("""COMPUTED_VALUE"""),"TCA9555PWR")</f>
        <v>TCA9555PWR</v>
      </c>
      <c r="P869" s="4" t="str">
        <f>IFERROR(__xludf.DUMMYFUNCTION("""COMPUTED_VALUE"""),"5(Tp) 2(Tp) ")</f>
        <v>5(Tp) 2(Tp) </v>
      </c>
      <c r="Q869" s="4">
        <f>IFERROR(__xludf.DUMMYFUNCTION("""COMPUTED_VALUE"""),7.0)</f>
        <v>7</v>
      </c>
      <c r="R869" s="4">
        <f>IFERROR(__xludf.DUMMYFUNCTION("""COMPUTED_VALUE"""),5.0)</f>
        <v>5</v>
      </c>
      <c r="S869" s="4" t="str">
        <f>IFERROR(__xludf.DUMMYFUNCTION("""COMPUTED_VALUE"""),"Tape")</f>
        <v>Tape</v>
      </c>
      <c r="T869" s="4" t="str">
        <f>IFERROR(__xludf.DUMMYFUNCTION("""COMPUTED_VALUE"""),"0922")</f>
        <v>0922</v>
      </c>
      <c r="U869" s="4">
        <f>IFERROR(__xludf.DUMMYFUNCTION("""COMPUTED_VALUE"""),2.0)</f>
        <v>2</v>
      </c>
      <c r="V869" s="4" t="str">
        <f>IFERROR(__xludf.DUMMYFUNCTION("""COMPUTED_VALUE"""),"Tape")</f>
        <v>Tape</v>
      </c>
      <c r="W869" s="4" t="str">
        <f>IFERROR(__xludf.DUMMYFUNCTION("""COMPUTED_VALUE"""),"XXXX")</f>
        <v>XXXX</v>
      </c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</row>
    <row r="870">
      <c r="A870" s="4" t="str">
        <f>IFERROR(__xludf.DUMMYFUNCTION("""COMPUTED_VALUE"""),"RESISTOR:   SMD 0603 10kΩ ±0.1% 0.100W   [RG1608P-103-B-T5] [SMD]")</f>
        <v>RESISTOR:   SMD 0603 10kΩ ±0.1% 0.100W   [RG1608P-103-B-T5] [SMD]</v>
      </c>
      <c r="B870" s="4" t="str">
        <f>IFERROR(__xludf.DUMMYFUNCTION("""COMPUTED_VALUE"""),"OEPS020235")</f>
        <v>OEPS020235</v>
      </c>
      <c r="C870" s="4" t="str">
        <f>IFERROR(__xludf.DUMMYFUNCTION("""COMPUTED_VALUE"""),"SMD")</f>
        <v>SMD</v>
      </c>
      <c r="D870" s="4" t="str">
        <f>IFERROR(__xludf.DUMMYFUNCTION("""COMPUTED_VALUE"""),"RG1608P-103-B-T5")</f>
        <v>RG1608P-103-B-T5</v>
      </c>
      <c r="E870" s="4">
        <f>IFERROR(__xludf.DUMMYFUNCTION("""COMPUTED_VALUE"""),20.0)</f>
        <v>20</v>
      </c>
      <c r="F870" s="4" t="str">
        <f>IFERROR(__xludf.DUMMYFUNCTION("""COMPUTED_VALUE"""),"Digikey")</f>
        <v>Digikey</v>
      </c>
      <c r="G870" s="4" t="str">
        <f>IFERROR(__xludf.DUMMYFUNCTION("""COMPUTED_VALUE"""),"RG16P10.0KBDKR-ND")</f>
        <v>RG16P10.0KBDKR-ND</v>
      </c>
      <c r="H870" s="4"/>
      <c r="I870" s="4"/>
      <c r="J870" s="4"/>
      <c r="K870" s="4"/>
      <c r="L870" s="4"/>
      <c r="M870" s="4"/>
      <c r="N870" s="9" t="str">
        <f>IFERROR(__xludf.DUMMYFUNCTION("""COMPUTED_VALUE"""),"OEPS080006")</f>
        <v>OEPS080006</v>
      </c>
      <c r="O870" s="4" t="str">
        <f>IFERROR(__xludf.DUMMYFUNCTION("""COMPUTED_VALUE"""),"FIN1032MTCX")</f>
        <v>FIN1032MTCX</v>
      </c>
      <c r="P870" s="4" t="str">
        <f>IFERROR(__xludf.DUMMYFUNCTION("""COMPUTED_VALUE"""),"4(Tp) ")</f>
        <v>4(Tp) </v>
      </c>
      <c r="Q870" s="4">
        <f>IFERROR(__xludf.DUMMYFUNCTION("""COMPUTED_VALUE"""),4.0)</f>
        <v>4</v>
      </c>
      <c r="R870" s="4">
        <f>IFERROR(__xludf.DUMMYFUNCTION("""COMPUTED_VALUE"""),4.0)</f>
        <v>4</v>
      </c>
      <c r="S870" s="4" t="str">
        <f>IFERROR(__xludf.DUMMYFUNCTION("""COMPUTED_VALUE"""),"Tape")</f>
        <v>Tape</v>
      </c>
      <c r="T870" s="4" t="str">
        <f>IFERROR(__xludf.DUMMYFUNCTION("""COMPUTED_VALUE"""),"XXXX")</f>
        <v>XXXX</v>
      </c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</row>
    <row r="871">
      <c r="A871" s="4" t="str">
        <f>IFERROR(__xludf.DUMMYFUNCTION("""COMPUTED_VALUE"""),"RESISTOR:   SMD 0603 10kΩ ±0.1% 0.100W   [RP73PF1E10KBTD] [SMD]")</f>
        <v>RESISTOR:   SMD 0603 10kΩ ±0.1% 0.100W   [RP73PF1E10KBTD] [SMD]</v>
      </c>
      <c r="B871" s="4" t="str">
        <f>IFERROR(__xludf.DUMMYFUNCTION("""COMPUTED_VALUE"""),"OEPS020160")</f>
        <v>OEPS020160</v>
      </c>
      <c r="C871" s="4" t="str">
        <f>IFERROR(__xludf.DUMMYFUNCTION("""COMPUTED_VALUE"""),"SMD")</f>
        <v>SMD</v>
      </c>
      <c r="D871" s="4" t="str">
        <f>IFERROR(__xludf.DUMMYFUNCTION("""COMPUTED_VALUE"""),"RP73PF1E10KBTD")</f>
        <v>RP73PF1E10KBTD</v>
      </c>
      <c r="E871" s="4">
        <f>IFERROR(__xludf.DUMMYFUNCTION("""COMPUTED_VALUE"""),30.0)</f>
        <v>30</v>
      </c>
      <c r="F871" s="4" t="str">
        <f>IFERROR(__xludf.DUMMYFUNCTION("""COMPUTED_VALUE"""),"DigiKey")</f>
        <v>DigiKey</v>
      </c>
      <c r="G871" s="4" t="str">
        <f>IFERROR(__xludf.DUMMYFUNCTION("""COMPUTED_VALUE"""),"A127415DKR-ND")</f>
        <v>A127415DKR-ND</v>
      </c>
      <c r="H871" s="4"/>
      <c r="I871" s="4"/>
      <c r="J871" s="4"/>
      <c r="K871" s="4"/>
      <c r="L871" s="4"/>
      <c r="M871" s="4"/>
      <c r="N871" s="9" t="str">
        <f>IFERROR(__xludf.DUMMYFUNCTION("""COMPUTED_VALUE"""),"OEPS080007")</f>
        <v>OEPS080007</v>
      </c>
      <c r="O871" s="4" t="str">
        <f>IFERROR(__xludf.DUMMYFUNCTION("""COMPUTED_VALUE"""),"SN65LVDS9638DGN")</f>
        <v>SN65LVDS9638DGN</v>
      </c>
      <c r="P871" s="4" t="str">
        <f>IFERROR(__xludf.DUMMYFUNCTION("""COMPUTED_VALUE"""),"1 1(Tb) 5(Tp) ")</f>
        <v>1 1(Tb) 5(Tp) </v>
      </c>
      <c r="Q871" s="4">
        <f>IFERROR(__xludf.DUMMYFUNCTION("""COMPUTED_VALUE"""),7.0)</f>
        <v>7</v>
      </c>
      <c r="R871" s="4">
        <f>IFERROR(__xludf.DUMMYFUNCTION("""COMPUTED_VALUE"""),1.0)</f>
        <v>1</v>
      </c>
      <c r="S871" s="4" t="str">
        <f>IFERROR(__xludf.DUMMYFUNCTION("""COMPUTED_VALUE"""),"Bag")</f>
        <v>Bag</v>
      </c>
      <c r="T871" s="4" t="str">
        <f>IFERROR(__xludf.DUMMYFUNCTION("""COMPUTED_VALUE"""),"XXXX")</f>
        <v>XXXX</v>
      </c>
      <c r="U871" s="4">
        <f>IFERROR(__xludf.DUMMYFUNCTION("""COMPUTED_VALUE"""),1.0)</f>
        <v>1</v>
      </c>
      <c r="V871" s="4" t="str">
        <f>IFERROR(__xludf.DUMMYFUNCTION("""COMPUTED_VALUE"""),"Tube")</f>
        <v>Tube</v>
      </c>
      <c r="W871" s="4" t="str">
        <f>IFERROR(__xludf.DUMMYFUNCTION("""COMPUTED_VALUE"""),"XXXX")</f>
        <v>XXXX</v>
      </c>
      <c r="X871" s="4">
        <f>IFERROR(__xludf.DUMMYFUNCTION("""COMPUTED_VALUE"""),5.0)</f>
        <v>5</v>
      </c>
      <c r="Y871" s="4" t="str">
        <f>IFERROR(__xludf.DUMMYFUNCTION("""COMPUTED_VALUE"""),"Tape")</f>
        <v>Tape</v>
      </c>
      <c r="Z871" s="4" t="str">
        <f>IFERROR(__xludf.DUMMYFUNCTION("""COMPUTED_VALUE"""),"XXXX")</f>
        <v>XXXX</v>
      </c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</row>
    <row r="872">
      <c r="A872" s="4" t="str">
        <f>IFERROR(__xludf.DUMMYFUNCTION("""COMPUTED_VALUE"""),"RESISTOR:   SMD 0603 10kΩ ±1% 0.100W   [RC0603FR-0710KL] [SMD]")</f>
        <v>RESISTOR:   SMD 0603 10kΩ ±1% 0.100W   [RC0603FR-0710KL] [SMD]</v>
      </c>
      <c r="B872" s="4" t="str">
        <f>IFERROR(__xludf.DUMMYFUNCTION("""COMPUTED_VALUE"""),"OEPS020133")</f>
        <v>OEPS020133</v>
      </c>
      <c r="C872" s="4" t="str">
        <f>IFERROR(__xludf.DUMMYFUNCTION("""COMPUTED_VALUE"""),"SMD")</f>
        <v>SMD</v>
      </c>
      <c r="D872" s="4" t="str">
        <f>IFERROR(__xludf.DUMMYFUNCTION("""COMPUTED_VALUE"""),"RC0603FR-0710KL")</f>
        <v>RC0603FR-0710KL</v>
      </c>
      <c r="E872" s="4">
        <f>IFERROR(__xludf.DUMMYFUNCTION("""COMPUTED_VALUE"""),30.0)</f>
        <v>30</v>
      </c>
      <c r="F872" s="4" t="str">
        <f>IFERROR(__xludf.DUMMYFUNCTION("""COMPUTED_VALUE"""),"Digikey")</f>
        <v>Digikey</v>
      </c>
      <c r="G872" s="4" t="str">
        <f>IFERROR(__xludf.DUMMYFUNCTION("""COMPUTED_VALUE"""),"311-10.0KHRDKR-ND")</f>
        <v>311-10.0KHRDKR-ND</v>
      </c>
      <c r="H872" s="4"/>
      <c r="I872" s="4"/>
      <c r="J872" s="4"/>
      <c r="K872" s="4"/>
      <c r="L872" s="4"/>
      <c r="M872" s="4"/>
      <c r="N872" s="9" t="str">
        <f>IFERROR(__xludf.DUMMYFUNCTION("""COMPUTED_VALUE"""),"OEPS080008")</f>
        <v>OEPS080008</v>
      </c>
      <c r="O872" s="4" t="str">
        <f>IFERROR(__xludf.DUMMYFUNCTION("""COMPUTED_VALUE"""),"LTC4360ISC8-1#TRMPBF")</f>
        <v>LTC4360ISC8-1#TRMPBF</v>
      </c>
      <c r="P872" s="4" t="str">
        <f>IFERROR(__xludf.DUMMYFUNCTION("""COMPUTED_VALUE"""),"78(R) 49(Tp) 16(R) ")</f>
        <v>78(R) 49(Tp) 16(R) </v>
      </c>
      <c r="Q872" s="4">
        <f>IFERROR(__xludf.DUMMYFUNCTION("""COMPUTED_VALUE"""),143.0)</f>
        <v>143</v>
      </c>
      <c r="R872" s="4">
        <f>IFERROR(__xludf.DUMMYFUNCTION("""COMPUTED_VALUE"""),78.0)</f>
        <v>78</v>
      </c>
      <c r="S872" s="4" t="str">
        <f>IFERROR(__xludf.DUMMYFUNCTION("""COMPUTED_VALUE"""),"Reel")</f>
        <v>Reel</v>
      </c>
      <c r="T872" s="4" t="str">
        <f>IFERROR(__xludf.DUMMYFUNCTION("""COMPUTED_VALUE"""),"0121")</f>
        <v>0121</v>
      </c>
      <c r="U872" s="4">
        <f>IFERROR(__xludf.DUMMYFUNCTION("""COMPUTED_VALUE"""),49.0)</f>
        <v>49</v>
      </c>
      <c r="V872" s="4" t="str">
        <f>IFERROR(__xludf.DUMMYFUNCTION("""COMPUTED_VALUE"""),"Tape")</f>
        <v>Tape</v>
      </c>
      <c r="W872" s="4" t="str">
        <f>IFERROR(__xludf.DUMMYFUNCTION("""COMPUTED_VALUE"""),"0320")</f>
        <v>0320</v>
      </c>
      <c r="X872" s="4">
        <f>IFERROR(__xludf.DUMMYFUNCTION("""COMPUTED_VALUE"""),16.0)</f>
        <v>16</v>
      </c>
      <c r="Y872" s="4" t="str">
        <f>IFERROR(__xludf.DUMMYFUNCTION("""COMPUTED_VALUE"""),"Reel")</f>
        <v>Reel</v>
      </c>
      <c r="Z872" s="4" t="str">
        <f>IFERROR(__xludf.DUMMYFUNCTION("""COMPUTED_VALUE"""),"0822")</f>
        <v>0822</v>
      </c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</row>
    <row r="873">
      <c r="A873" s="4" t="str">
        <f>IFERROR(__xludf.DUMMYFUNCTION("""COMPUTED_VALUE"""),"RESISTOR:   SMD 0603 10Ω ±1% 0.100W   [RMCF0603FT10R0] [SMD]")</f>
        <v>RESISTOR:   SMD 0603 10Ω ±1% 0.100W   [RMCF0603FT10R0] [SMD]</v>
      </c>
      <c r="B873" s="4" t="str">
        <f>IFERROR(__xludf.DUMMYFUNCTION("""COMPUTED_VALUE"""),"OEPS020099")</f>
        <v>OEPS020099</v>
      </c>
      <c r="C873" s="4" t="str">
        <f>IFERROR(__xludf.DUMMYFUNCTION("""COMPUTED_VALUE"""),"SMD")</f>
        <v>SMD</v>
      </c>
      <c r="D873" s="4" t="str">
        <f>IFERROR(__xludf.DUMMYFUNCTION("""COMPUTED_VALUE"""),"RMCF0603FT10R0")</f>
        <v>RMCF0603FT10R0</v>
      </c>
      <c r="E873" s="4">
        <f>IFERROR(__xludf.DUMMYFUNCTION("""COMPUTED_VALUE"""),30.0)</f>
        <v>30</v>
      </c>
      <c r="F873" s="4" t="str">
        <f>IFERROR(__xludf.DUMMYFUNCTION("""COMPUTED_VALUE"""),"DigiKey")</f>
        <v>DigiKey</v>
      </c>
      <c r="G873" s="4" t="str">
        <f>IFERROR(__xludf.DUMMYFUNCTION("""COMPUTED_VALUE"""),"RMCF0603FT10R0DKR-ND")</f>
        <v>RMCF0603FT10R0DKR-ND</v>
      </c>
      <c r="H873" s="4"/>
      <c r="I873" s="4"/>
      <c r="J873" s="4"/>
      <c r="K873" s="4"/>
      <c r="L873" s="4"/>
      <c r="M873" s="4"/>
      <c r="N873" s="9" t="str">
        <f>IFERROR(__xludf.DUMMYFUNCTION("""COMPUTED_VALUE"""),"OEPS080009")</f>
        <v>OEPS080009</v>
      </c>
      <c r="O873" s="4" t="str">
        <f>IFERROR(__xludf.DUMMYFUNCTION("""COMPUTED_VALUE"""),"WS2812B / COM-16347")</f>
        <v>WS2812B / COM-16347</v>
      </c>
      <c r="P873" s="4" t="str">
        <f>IFERROR(__xludf.DUMMYFUNCTION("""COMPUTED_VALUE"""),"598(R) 5 ")</f>
        <v>598(R) 5 </v>
      </c>
      <c r="Q873" s="4">
        <f>IFERROR(__xludf.DUMMYFUNCTION("""COMPUTED_VALUE"""),603.0)</f>
        <v>603</v>
      </c>
      <c r="R873" s="4">
        <f>IFERROR(__xludf.DUMMYFUNCTION("""COMPUTED_VALUE"""),598.0)</f>
        <v>598</v>
      </c>
      <c r="S873" s="4" t="str">
        <f>IFERROR(__xludf.DUMMYFUNCTION("""COMPUTED_VALUE"""),"Reel")</f>
        <v>Reel</v>
      </c>
      <c r="T873" s="4" t="str">
        <f>IFERROR(__xludf.DUMMYFUNCTION("""COMPUTED_VALUE"""),"0625")</f>
        <v>0625</v>
      </c>
      <c r="U873" s="4">
        <f>IFERROR(__xludf.DUMMYFUNCTION("""COMPUTED_VALUE"""),5.0)</f>
        <v>5</v>
      </c>
      <c r="V873" s="4" t="str">
        <f>IFERROR(__xludf.DUMMYFUNCTION("""COMPUTED_VALUE"""),"Bag")</f>
        <v>Bag</v>
      </c>
      <c r="W873" s="4" t="str">
        <f>IFERROR(__xludf.DUMMYFUNCTION("""COMPUTED_VALUE"""),"0325")</f>
        <v>0325</v>
      </c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</row>
    <row r="874">
      <c r="A874" s="4" t="str">
        <f>IFERROR(__xludf.DUMMYFUNCTION("""COMPUTED_VALUE"""),"RESISTOR:   SMD 0603 110kΩ ±1% 0.100W   [RMCF0603FT110K] [SMD]")</f>
        <v>RESISTOR:   SMD 0603 110kΩ ±1% 0.100W   [RMCF0603FT110K] [SMD]</v>
      </c>
      <c r="B874" s="4" t="str">
        <f>IFERROR(__xludf.DUMMYFUNCTION("""COMPUTED_VALUE"""),"OEPS020123")</f>
        <v>OEPS020123</v>
      </c>
      <c r="C874" s="4" t="str">
        <f>IFERROR(__xludf.DUMMYFUNCTION("""COMPUTED_VALUE"""),"SMD")</f>
        <v>SMD</v>
      </c>
      <c r="D874" s="4" t="str">
        <f>IFERROR(__xludf.DUMMYFUNCTION("""COMPUTED_VALUE"""),"RMCF0603FT110K")</f>
        <v>RMCF0603FT110K</v>
      </c>
      <c r="E874" s="4">
        <f>IFERROR(__xludf.DUMMYFUNCTION("""COMPUTED_VALUE"""),30.0)</f>
        <v>30</v>
      </c>
      <c r="F874" s="4" t="str">
        <f>IFERROR(__xludf.DUMMYFUNCTION("""COMPUTED_VALUE"""),"Digikey")</f>
        <v>Digikey</v>
      </c>
      <c r="G874" s="4" t="str">
        <f>IFERROR(__xludf.DUMMYFUNCTION("""COMPUTED_VALUE"""),"RMCF0603FT110KDKR-ND")</f>
        <v>RMCF0603FT110KDKR-ND</v>
      </c>
      <c r="H874" s="4"/>
      <c r="I874" s="4"/>
      <c r="J874" s="4"/>
      <c r="K874" s="4"/>
      <c r="L874" s="4"/>
      <c r="M874" s="4"/>
      <c r="N874" s="9" t="str">
        <f>IFERROR(__xludf.DUMMYFUNCTION("""COMPUTED_VALUE"""),"OEPS080010")</f>
        <v>OEPS080010</v>
      </c>
      <c r="O874" s="4" t="str">
        <f>IFERROR(__xludf.DUMMYFUNCTION("""COMPUTED_VALUE"""),"74HCT4067PW,118")</f>
        <v>74HCT4067PW,118</v>
      </c>
      <c r="P874" s="4" t="str">
        <f>IFERROR(__xludf.DUMMYFUNCTION("""COMPUTED_VALUE"""),"15(Tp) ")</f>
        <v>15(Tp) </v>
      </c>
      <c r="Q874" s="4">
        <f>IFERROR(__xludf.DUMMYFUNCTION("""COMPUTED_VALUE"""),15.0)</f>
        <v>15</v>
      </c>
      <c r="R874" s="4">
        <f>IFERROR(__xludf.DUMMYFUNCTION("""COMPUTED_VALUE"""),15.0)</f>
        <v>15</v>
      </c>
      <c r="S874" s="4" t="str">
        <f>IFERROR(__xludf.DUMMYFUNCTION("""COMPUTED_VALUE"""),"Tape")</f>
        <v>Tape</v>
      </c>
      <c r="T874" s="4" t="str">
        <f>IFERROR(__xludf.DUMMYFUNCTION("""COMPUTED_VALUE"""),"1022")</f>
        <v>1022</v>
      </c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</row>
    <row r="875">
      <c r="A875" s="4" t="str">
        <f>IFERROR(__xludf.DUMMYFUNCTION("""COMPUTED_VALUE"""),"RESISTOR:   SMD 0603 12kΩ ±1% 0.100W   [RC0603FR-0712KL] [SMD]")</f>
        <v>RESISTOR:   SMD 0603 12kΩ ±1% 0.100W   [RC0603FR-0712KL] [SMD]</v>
      </c>
      <c r="B875" s="4" t="str">
        <f>IFERROR(__xludf.DUMMYFUNCTION("""COMPUTED_VALUE"""),"OEPS020138")</f>
        <v>OEPS020138</v>
      </c>
      <c r="C875" s="4" t="str">
        <f>IFERROR(__xludf.DUMMYFUNCTION("""COMPUTED_VALUE"""),"SMD")</f>
        <v>SMD</v>
      </c>
      <c r="D875" s="4" t="str">
        <f>IFERROR(__xludf.DUMMYFUNCTION("""COMPUTED_VALUE"""),"RC0603FR-0712KL")</f>
        <v>RC0603FR-0712KL</v>
      </c>
      <c r="E875" s="4">
        <f>IFERROR(__xludf.DUMMYFUNCTION("""COMPUTED_VALUE"""),30.0)</f>
        <v>30</v>
      </c>
      <c r="F875" s="4" t="str">
        <f>IFERROR(__xludf.DUMMYFUNCTION("""COMPUTED_VALUE"""),"Digikey")</f>
        <v>Digikey</v>
      </c>
      <c r="G875" s="4" t="str">
        <f>IFERROR(__xludf.DUMMYFUNCTION("""COMPUTED_VALUE"""),"311-12.0KHRDKR-ND")</f>
        <v>311-12.0KHRDKR-ND</v>
      </c>
      <c r="H875" s="4"/>
      <c r="I875" s="4"/>
      <c r="J875" s="4"/>
      <c r="K875" s="4"/>
      <c r="L875" s="4"/>
      <c r="M875" s="4"/>
      <c r="N875" s="9" t="str">
        <f>IFERROR(__xludf.DUMMYFUNCTION("""COMPUTED_VALUE"""),"OEPS080011")</f>
        <v>OEPS080011</v>
      </c>
      <c r="O875" s="4" t="str">
        <f>IFERROR(__xludf.DUMMYFUNCTION("""COMPUTED_VALUE"""),"NCV4274ADT33RKG")</f>
        <v>NCV4274ADT33RKG</v>
      </c>
      <c r="P875" s="4" t="str">
        <f>IFERROR(__xludf.DUMMYFUNCTION("""COMPUTED_VALUE"""),"2(Tp) ")</f>
        <v>2(Tp) </v>
      </c>
      <c r="Q875" s="4">
        <f>IFERROR(__xludf.DUMMYFUNCTION("""COMPUTED_VALUE"""),2.0)</f>
        <v>2</v>
      </c>
      <c r="R875" s="4">
        <f>IFERROR(__xludf.DUMMYFUNCTION("""COMPUTED_VALUE"""),2.0)</f>
        <v>2</v>
      </c>
      <c r="S875" s="4" t="str">
        <f>IFERROR(__xludf.DUMMYFUNCTION("""COMPUTED_VALUE"""),"Tape")</f>
        <v>Tape</v>
      </c>
      <c r="T875" s="4" t="str">
        <f>IFERROR(__xludf.DUMMYFUNCTION("""COMPUTED_VALUE"""),"1022")</f>
        <v>1022</v>
      </c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</row>
    <row r="876">
      <c r="A876" s="4" t="str">
        <f>IFERROR(__xludf.DUMMYFUNCTION("""COMPUTED_VALUE"""),"RESISTOR:   SMD 0603 13kΩ ±1% 0.100W   [RC0603FR-0713KL] [SMD]")</f>
        <v>RESISTOR:   SMD 0603 13kΩ ±1% 0.100W   [RC0603FR-0713KL] [SMD]</v>
      </c>
      <c r="B876" s="4" t="str">
        <f>IFERROR(__xludf.DUMMYFUNCTION("""COMPUTED_VALUE"""),"OEPS020131")</f>
        <v>OEPS020131</v>
      </c>
      <c r="C876" s="4" t="str">
        <f>IFERROR(__xludf.DUMMYFUNCTION("""COMPUTED_VALUE"""),"SMD")</f>
        <v>SMD</v>
      </c>
      <c r="D876" s="4" t="str">
        <f>IFERROR(__xludf.DUMMYFUNCTION("""COMPUTED_VALUE"""),"RC0603FR-0713KL")</f>
        <v>RC0603FR-0713KL</v>
      </c>
      <c r="E876" s="4">
        <f>IFERROR(__xludf.DUMMYFUNCTION("""COMPUTED_VALUE"""),30.0)</f>
        <v>30</v>
      </c>
      <c r="F876" s="4" t="str">
        <f>IFERROR(__xludf.DUMMYFUNCTION("""COMPUTED_VALUE"""),"Digikey")</f>
        <v>Digikey</v>
      </c>
      <c r="G876" s="4" t="str">
        <f>IFERROR(__xludf.DUMMYFUNCTION("""COMPUTED_VALUE"""),"311-13.0KHRDKR-ND")</f>
        <v>311-13.0KHRDKR-ND</v>
      </c>
      <c r="H876" s="4"/>
      <c r="I876" s="4"/>
      <c r="J876" s="4"/>
      <c r="K876" s="4"/>
      <c r="L876" s="4"/>
      <c r="M876" s="4"/>
      <c r="N876" s="9" t="str">
        <f>IFERROR(__xludf.DUMMYFUNCTION("""COMPUTED_VALUE"""),"OEPS080012")</f>
        <v>OEPS080012</v>
      </c>
      <c r="O876" s="4" t="str">
        <f>IFERROR(__xludf.DUMMYFUNCTION("""COMPUTED_VALUE"""),"ATXMEGA32A4U-A")</f>
        <v>ATXMEGA32A4U-A</v>
      </c>
      <c r="P876" s="4" t="str">
        <f>IFERROR(__xludf.DUMMYFUNCTION("""COMPUTED_VALUE"""),"3 10 ")</f>
        <v>3 10 </v>
      </c>
      <c r="Q876" s="4">
        <f>IFERROR(__xludf.DUMMYFUNCTION("""COMPUTED_VALUE"""),13.0)</f>
        <v>13</v>
      </c>
      <c r="R876" s="4">
        <f>IFERROR(__xludf.DUMMYFUNCTION("""COMPUTED_VALUE"""),3.0)</f>
        <v>3</v>
      </c>
      <c r="S876" s="4" t="str">
        <f>IFERROR(__xludf.DUMMYFUNCTION("""COMPUTED_VALUE"""),"Bag")</f>
        <v>Bag</v>
      </c>
      <c r="T876" s="4" t="str">
        <f>IFERROR(__xludf.DUMMYFUNCTION("""COMPUTED_VALUE"""),"XX21")</f>
        <v>XX21</v>
      </c>
      <c r="U876" s="4">
        <f>IFERROR(__xludf.DUMMYFUNCTION("""COMPUTED_VALUE"""),10.0)</f>
        <v>10</v>
      </c>
      <c r="V876" s="4" t="str">
        <f>IFERROR(__xludf.DUMMYFUNCTION("""COMPUTED_VALUE"""),"Bag")</f>
        <v>Bag</v>
      </c>
      <c r="W876" s="4" t="str">
        <f>IFERROR(__xludf.DUMMYFUNCTION("""COMPUTED_VALUE"""),"0725")</f>
        <v>0725</v>
      </c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</row>
    <row r="877">
      <c r="A877" s="4" t="str">
        <f>IFERROR(__xludf.DUMMYFUNCTION("""COMPUTED_VALUE"""),"RESISTOR:   SMD 0603 150Ω ±1% 0.250W   [CRGP0603F150R] [SMD]")</f>
        <v>RESISTOR:   SMD 0603 150Ω ±1% 0.250W   [CRGP0603F150R] [SMD]</v>
      </c>
      <c r="B877" s="4" t="str">
        <f>IFERROR(__xludf.DUMMYFUNCTION("""COMPUTED_VALUE"""),"OEPS020023")</f>
        <v>OEPS020023</v>
      </c>
      <c r="C877" s="4" t="str">
        <f>IFERROR(__xludf.DUMMYFUNCTION("""COMPUTED_VALUE"""),"SMD")</f>
        <v>SMD</v>
      </c>
      <c r="D877" s="4" t="str">
        <f>IFERROR(__xludf.DUMMYFUNCTION("""COMPUTED_VALUE"""),"CRGP0603F150R")</f>
        <v>CRGP0603F150R</v>
      </c>
      <c r="E877" s="4">
        <f>IFERROR(__xludf.DUMMYFUNCTION("""COMPUTED_VALUE"""),25.0)</f>
        <v>25</v>
      </c>
      <c r="F877" s="4" t="str">
        <f>IFERROR(__xludf.DUMMYFUNCTION("""COMPUTED_VALUE"""),"DigiKey")</f>
        <v>DigiKey</v>
      </c>
      <c r="G877" s="4" t="str">
        <f>IFERROR(__xludf.DUMMYFUNCTION("""COMPUTED_VALUE"""),"A130406DKR-ND")</f>
        <v>A130406DKR-ND</v>
      </c>
      <c r="H877" s="4"/>
      <c r="I877" s="4"/>
      <c r="J877" s="4"/>
      <c r="K877" s="4"/>
      <c r="L877" s="4"/>
      <c r="M877" s="4"/>
      <c r="N877" s="9" t="str">
        <f>IFERROR(__xludf.DUMMYFUNCTION("""COMPUTED_VALUE"""),"OEPS080013")</f>
        <v>OEPS080013</v>
      </c>
      <c r="O877" s="4" t="str">
        <f>IFERROR(__xludf.DUMMYFUNCTION("""COMPUTED_VALUE"""),"FT232RL-REEL")</f>
        <v>FT232RL-REEL</v>
      </c>
      <c r="P877" s="4" t="str">
        <f>IFERROR(__xludf.DUMMYFUNCTION("""COMPUTED_VALUE"""),"48(Tp) 16 ")</f>
        <v>48(Tp) 16 </v>
      </c>
      <c r="Q877" s="4">
        <f>IFERROR(__xludf.DUMMYFUNCTION("""COMPUTED_VALUE"""),64.0)</f>
        <v>64</v>
      </c>
      <c r="R877" s="4">
        <f>IFERROR(__xludf.DUMMYFUNCTION("""COMPUTED_VALUE"""),48.0)</f>
        <v>48</v>
      </c>
      <c r="S877" s="4" t="str">
        <f>IFERROR(__xludf.DUMMYFUNCTION("""COMPUTED_VALUE"""),"Tape")</f>
        <v>Tape</v>
      </c>
      <c r="T877" s="4" t="str">
        <f>IFERROR(__xludf.DUMMYFUNCTION("""COMPUTED_VALUE"""),"XXXX")</f>
        <v>XXXX</v>
      </c>
      <c r="U877" s="4"/>
      <c r="V877" s="4"/>
      <c r="W877" s="4"/>
      <c r="X877" s="4">
        <f>IFERROR(__xludf.DUMMYFUNCTION("""COMPUTED_VALUE"""),16.0)</f>
        <v>16</v>
      </c>
      <c r="Y877" s="4" t="str">
        <f>IFERROR(__xludf.DUMMYFUNCTION("""COMPUTED_VALUE"""),"Bag")</f>
        <v>Bag</v>
      </c>
      <c r="Z877" s="4" t="str">
        <f>IFERROR(__xludf.DUMMYFUNCTION("""COMPUTED_VALUE"""),"0625")</f>
        <v>0625</v>
      </c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</row>
    <row r="878">
      <c r="A878" s="4" t="str">
        <f>IFERROR(__xludf.DUMMYFUNCTION("""COMPUTED_VALUE"""),"RESISTOR:   SMD 0603 154kΩ ±0.1% 0.100W   [ERA-3AEB1543V] [SMD]")</f>
        <v>RESISTOR:   SMD 0603 154kΩ ±0.1% 0.100W   [ERA-3AEB1543V] [SMD]</v>
      </c>
      <c r="B878" s="4" t="str">
        <f>IFERROR(__xludf.DUMMYFUNCTION("""COMPUTED_VALUE"""),"OEPS020157")</f>
        <v>OEPS020157</v>
      </c>
      <c r="C878" s="4" t="str">
        <f>IFERROR(__xludf.DUMMYFUNCTION("""COMPUTED_VALUE"""),"SMD")</f>
        <v>SMD</v>
      </c>
      <c r="D878" s="4" t="str">
        <f>IFERROR(__xludf.DUMMYFUNCTION("""COMPUTED_VALUE"""),"ERA-3AEB1543V")</f>
        <v>ERA-3AEB1543V</v>
      </c>
      <c r="E878" s="4">
        <f>IFERROR(__xludf.DUMMYFUNCTION("""COMPUTED_VALUE"""),30.0)</f>
        <v>30</v>
      </c>
      <c r="F878" s="4" t="str">
        <f>IFERROR(__xludf.DUMMYFUNCTION("""COMPUTED_VALUE"""),"DigiKey")</f>
        <v>DigiKey</v>
      </c>
      <c r="G878" s="4" t="str">
        <f>IFERROR(__xludf.DUMMYFUNCTION("""COMPUTED_VALUE"""),"P154KDBDKR-ND")</f>
        <v>P154KDBDKR-ND</v>
      </c>
      <c r="H878" s="4"/>
      <c r="I878" s="4"/>
      <c r="J878" s="4"/>
      <c r="K878" s="4"/>
      <c r="L878" s="4"/>
      <c r="M878" s="4"/>
      <c r="N878" s="9" t="str">
        <f>IFERROR(__xludf.DUMMYFUNCTION("""COMPUTED_VALUE"""),"OEPS080014")</f>
        <v>OEPS080014</v>
      </c>
      <c r="O878" s="4" t="str">
        <f>IFERROR(__xludf.DUMMYFUNCTION("""COMPUTED_VALUE"""),"O 32,0-JT32C-A-K-3,3-LF")</f>
        <v>O 32,0-JT32C-A-K-3,3-LF</v>
      </c>
      <c r="P878" s="4" t="str">
        <f>IFERROR(__xludf.DUMMYFUNCTION("""COMPUTED_VALUE"""),"1(Tp) 2 ")</f>
        <v>1(Tp) 2 </v>
      </c>
      <c r="Q878" s="4">
        <f>IFERROR(__xludf.DUMMYFUNCTION("""COMPUTED_VALUE"""),3.0)</f>
        <v>3</v>
      </c>
      <c r="R878" s="4">
        <f>IFERROR(__xludf.DUMMYFUNCTION("""COMPUTED_VALUE"""),1.0)</f>
        <v>1</v>
      </c>
      <c r="S878" s="4" t="str">
        <f>IFERROR(__xludf.DUMMYFUNCTION("""COMPUTED_VALUE"""),"Tape")</f>
        <v>Tape</v>
      </c>
      <c r="T878" s="4" t="str">
        <f>IFERROR(__xludf.DUMMYFUNCTION("""COMPUTED_VALUE"""),"0922")</f>
        <v>0922</v>
      </c>
      <c r="U878" s="4">
        <f>IFERROR(__xludf.DUMMYFUNCTION("""COMPUTED_VALUE"""),2.0)</f>
        <v>2</v>
      </c>
      <c r="V878" s="4" t="str">
        <f>IFERROR(__xludf.DUMMYFUNCTION("""COMPUTED_VALUE"""),"Bag")</f>
        <v>Bag</v>
      </c>
      <c r="W878" s="4" t="str">
        <f>IFERROR(__xludf.DUMMYFUNCTION("""COMPUTED_VALUE"""),"1123")</f>
        <v>1123</v>
      </c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</row>
    <row r="879">
      <c r="A879" s="4" t="str">
        <f>IFERROR(__xludf.DUMMYFUNCTION("""COMPUTED_VALUE"""),"RESISTOR:   SMD 0603 15kΩ ±1% 0.100W   [RC0603FR-0715KL] [SMD]")</f>
        <v>RESISTOR:   SMD 0603 15kΩ ±1% 0.100W   [RC0603FR-0715KL] [SMD]</v>
      </c>
      <c r="B879" s="4" t="str">
        <f>IFERROR(__xludf.DUMMYFUNCTION("""COMPUTED_VALUE"""),"OEPS020126")</f>
        <v>OEPS020126</v>
      </c>
      <c r="C879" s="4" t="str">
        <f>IFERROR(__xludf.DUMMYFUNCTION("""COMPUTED_VALUE"""),"SMD")</f>
        <v>SMD</v>
      </c>
      <c r="D879" s="4" t="str">
        <f>IFERROR(__xludf.DUMMYFUNCTION("""COMPUTED_VALUE"""),"RC0603FR-0715KL")</f>
        <v>RC0603FR-0715KL</v>
      </c>
      <c r="E879" s="4">
        <f>IFERROR(__xludf.DUMMYFUNCTION("""COMPUTED_VALUE"""),30.0)</f>
        <v>30</v>
      </c>
      <c r="F879" s="4" t="str">
        <f>IFERROR(__xludf.DUMMYFUNCTION("""COMPUTED_VALUE"""),"Digikey")</f>
        <v>Digikey</v>
      </c>
      <c r="G879" s="4" t="str">
        <f>IFERROR(__xludf.DUMMYFUNCTION("""COMPUTED_VALUE"""),"311-15.0KHRDKR-ND")</f>
        <v>311-15.0KHRDKR-ND</v>
      </c>
      <c r="H879" s="4"/>
      <c r="I879" s="4"/>
      <c r="J879" s="4"/>
      <c r="K879" s="4"/>
      <c r="L879" s="4"/>
      <c r="M879" s="4"/>
      <c r="N879" s="9" t="str">
        <f>IFERROR(__xludf.DUMMYFUNCTION("""COMPUTED_VALUE"""),"OEPS080015")</f>
        <v>OEPS080015</v>
      </c>
      <c r="O879" s="4" t="str">
        <f>IFERROR(__xludf.DUMMYFUNCTION("""COMPUTED_VALUE"""),"745X101103JP")</f>
        <v>745X101103JP</v>
      </c>
      <c r="P879" s="4" t="str">
        <f>IFERROR(__xludf.DUMMYFUNCTION("""COMPUTED_VALUE"""),"4(Tp) ")</f>
        <v>4(Tp) </v>
      </c>
      <c r="Q879" s="4">
        <f>IFERROR(__xludf.DUMMYFUNCTION("""COMPUTED_VALUE"""),4.0)</f>
        <v>4</v>
      </c>
      <c r="R879" s="4">
        <f>IFERROR(__xludf.DUMMYFUNCTION("""COMPUTED_VALUE"""),4.0)</f>
        <v>4</v>
      </c>
      <c r="S879" s="4" t="str">
        <f>IFERROR(__xludf.DUMMYFUNCTION("""COMPUTED_VALUE"""),"Tape")</f>
        <v>Tape</v>
      </c>
      <c r="T879" s="4" t="str">
        <f>IFERROR(__xludf.DUMMYFUNCTION("""COMPUTED_VALUE"""),"1022")</f>
        <v>1022</v>
      </c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</row>
    <row r="880">
      <c r="A880" s="4" t="str">
        <f>IFERROR(__xludf.DUMMYFUNCTION("""COMPUTED_VALUE"""),"RESISTOR:   SMD 0603 160kΩ ±1% 0.100W   [ERJ-3EKF1603V] [SMD]")</f>
        <v>RESISTOR:   SMD 0603 160kΩ ±1% 0.100W   [ERJ-3EKF1603V] [SMD]</v>
      </c>
      <c r="B880" s="4" t="str">
        <f>IFERROR(__xludf.DUMMYFUNCTION("""COMPUTED_VALUE"""),"OEPS020086")</f>
        <v>OEPS020086</v>
      </c>
      <c r="C880" s="4" t="str">
        <f>IFERROR(__xludf.DUMMYFUNCTION("""COMPUTED_VALUE"""),"SMD")</f>
        <v>SMD</v>
      </c>
      <c r="D880" s="4" t="str">
        <f>IFERROR(__xludf.DUMMYFUNCTION("""COMPUTED_VALUE"""),"ERJ-3EKF1603V")</f>
        <v>ERJ-3EKF1603V</v>
      </c>
      <c r="E880" s="4">
        <f>IFERROR(__xludf.DUMMYFUNCTION("""COMPUTED_VALUE"""),30.0)</f>
        <v>30</v>
      </c>
      <c r="F880" s="4" t="str">
        <f>IFERROR(__xludf.DUMMYFUNCTION("""COMPUTED_VALUE"""),"DigiKey")</f>
        <v>DigiKey</v>
      </c>
      <c r="G880" s="4" t="str">
        <f>IFERROR(__xludf.DUMMYFUNCTION("""COMPUTED_VALUE"""),"P160KHDKR-ND")</f>
        <v>P160KHDKR-ND</v>
      </c>
      <c r="H880" s="4"/>
      <c r="I880" s="4"/>
      <c r="J880" s="4"/>
      <c r="K880" s="4"/>
      <c r="L880" s="4"/>
      <c r="M880" s="4"/>
      <c r="N880" s="9" t="str">
        <f>IFERROR(__xludf.DUMMYFUNCTION("""COMPUTED_VALUE"""),"OEPS080016")</f>
        <v>OEPS080016</v>
      </c>
      <c r="O880" s="4" t="str">
        <f>IFERROR(__xludf.DUMMYFUNCTION("""COMPUTED_VALUE"""),"LP5907MFX-3.3/NOPB")</f>
        <v>LP5907MFX-3.3/NOPB</v>
      </c>
      <c r="P880" s="4" t="str">
        <f>IFERROR(__xludf.DUMMYFUNCTION("""COMPUTED_VALUE"""),"47(Tp) ")</f>
        <v>47(Tp) </v>
      </c>
      <c r="Q880" s="4">
        <f>IFERROR(__xludf.DUMMYFUNCTION("""COMPUTED_VALUE"""),47.0)</f>
        <v>47</v>
      </c>
      <c r="R880" s="4"/>
      <c r="S880" s="4"/>
      <c r="T880" s="4"/>
      <c r="U880" s="4">
        <f>IFERROR(__xludf.DUMMYFUNCTION("""COMPUTED_VALUE"""),47.0)</f>
        <v>47</v>
      </c>
      <c r="V880" s="4" t="str">
        <f>IFERROR(__xludf.DUMMYFUNCTION("""COMPUTED_VALUE"""),"Tape")</f>
        <v>Tape</v>
      </c>
      <c r="W880" s="4" t="str">
        <f>IFERROR(__xludf.DUMMYFUNCTION("""COMPUTED_VALUE"""),"0122")</f>
        <v>0122</v>
      </c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</row>
    <row r="881">
      <c r="A881" s="4" t="str">
        <f>IFERROR(__xludf.DUMMYFUNCTION("""COMPUTED_VALUE"""),"RESISTOR:   SMD 0603 160kΩ ±1% 0.100W   [ERJ-3EKF1603V] [SMD]")</f>
        <v>RESISTOR:   SMD 0603 160kΩ ±1% 0.100W   [ERJ-3EKF1603V] [SMD]</v>
      </c>
      <c r="B881" s="4" t="str">
        <f>IFERROR(__xludf.DUMMYFUNCTION("""COMPUTED_VALUE"""),"OEPS020100")</f>
        <v>OEPS020100</v>
      </c>
      <c r="C881" s="4" t="str">
        <f>IFERROR(__xludf.DUMMYFUNCTION("""COMPUTED_VALUE"""),"SMD")</f>
        <v>SMD</v>
      </c>
      <c r="D881" s="4" t="str">
        <f>IFERROR(__xludf.DUMMYFUNCTION("""COMPUTED_VALUE"""),"ERJ-3EKF1603V")</f>
        <v>ERJ-3EKF1603V</v>
      </c>
      <c r="E881" s="4">
        <f>IFERROR(__xludf.DUMMYFUNCTION("""COMPUTED_VALUE"""),30.0)</f>
        <v>30</v>
      </c>
      <c r="F881" s="4" t="str">
        <f>IFERROR(__xludf.DUMMYFUNCTION("""COMPUTED_VALUE"""),"DigiKey")</f>
        <v>DigiKey</v>
      </c>
      <c r="G881" s="4" t="str">
        <f>IFERROR(__xludf.DUMMYFUNCTION("""COMPUTED_VALUE"""),"P160KHDKR-ND")</f>
        <v>P160KHDKR-ND</v>
      </c>
      <c r="H881" s="4"/>
      <c r="I881" s="4"/>
      <c r="J881" s="4"/>
      <c r="K881" s="4"/>
      <c r="L881" s="4"/>
      <c r="M881" s="4"/>
      <c r="N881" s="9" t="str">
        <f>IFERROR(__xludf.DUMMYFUNCTION("""COMPUTED_VALUE"""),"OEPS080017")</f>
        <v>OEPS080017</v>
      </c>
      <c r="O881" s="4" t="str">
        <f>IFERROR(__xludf.DUMMYFUNCTION("""COMPUTED_VALUE"""),"M74VHC1GT126DT1G")</f>
        <v>M74VHC1GT126DT1G</v>
      </c>
      <c r="P881" s="4" t="str">
        <f>IFERROR(__xludf.DUMMYFUNCTION("""COMPUTED_VALUE"""),"29(Tp) ")</f>
        <v>29(Tp) </v>
      </c>
      <c r="Q881" s="4">
        <f>IFERROR(__xludf.DUMMYFUNCTION("""COMPUTED_VALUE"""),29.0)</f>
        <v>29</v>
      </c>
      <c r="R881" s="4">
        <f>IFERROR(__xludf.DUMMYFUNCTION("""COMPUTED_VALUE"""),29.0)</f>
        <v>29</v>
      </c>
      <c r="S881" s="4" t="str">
        <f>IFERROR(__xludf.DUMMYFUNCTION("""COMPUTED_VALUE"""),"Tape")</f>
        <v>Tape</v>
      </c>
      <c r="T881" s="4" t="str">
        <f>IFERROR(__xludf.DUMMYFUNCTION("""COMPUTED_VALUE"""),"1124")</f>
        <v>1124</v>
      </c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</row>
    <row r="882">
      <c r="A882" s="4" t="str">
        <f>IFERROR(__xludf.DUMMYFUNCTION("""COMPUTED_VALUE"""),"RESISTOR:   SMD 0603 165kΩ ±0.1% 0.100W   [ERA-3AEB1653V] [SMD]")</f>
        <v>RESISTOR:   SMD 0603 165kΩ ±0.1% 0.100W   [ERA-3AEB1653V] [SMD]</v>
      </c>
      <c r="B882" s="4" t="str">
        <f>IFERROR(__xludf.DUMMYFUNCTION("""COMPUTED_VALUE"""),"OEPS020159")</f>
        <v>OEPS020159</v>
      </c>
      <c r="C882" s="4" t="str">
        <f>IFERROR(__xludf.DUMMYFUNCTION("""COMPUTED_VALUE"""),"SMD")</f>
        <v>SMD</v>
      </c>
      <c r="D882" s="4" t="str">
        <f>IFERROR(__xludf.DUMMYFUNCTION("""COMPUTED_VALUE"""),"ERA-3AEB1653V")</f>
        <v>ERA-3AEB1653V</v>
      </c>
      <c r="E882" s="4">
        <f>IFERROR(__xludf.DUMMYFUNCTION("""COMPUTED_VALUE"""),30.0)</f>
        <v>30</v>
      </c>
      <c r="F882" s="4" t="str">
        <f>IFERROR(__xludf.DUMMYFUNCTION("""COMPUTED_VALUE"""),"DigiKey")</f>
        <v>DigiKey</v>
      </c>
      <c r="G882" s="4" t="str">
        <f>IFERROR(__xludf.DUMMYFUNCTION("""COMPUTED_VALUE"""),"P165KDBDKR-ND")</f>
        <v>P165KDBDKR-ND</v>
      </c>
      <c r="H882" s="4"/>
      <c r="I882" s="4"/>
      <c r="J882" s="4"/>
      <c r="K882" s="4"/>
      <c r="L882" s="4"/>
      <c r="M882" s="4"/>
      <c r="N882" s="9" t="str">
        <f>IFERROR(__xludf.DUMMYFUNCTION("""COMPUTED_VALUE"""),"OEPS080018")</f>
        <v>OEPS080018</v>
      </c>
      <c r="O882" s="4" t="str">
        <f>IFERROR(__xludf.DUMMYFUNCTION("""COMPUTED_VALUE"""),"DSC1001CI5-032.0000")</f>
        <v>DSC1001CI5-032.0000</v>
      </c>
      <c r="P882" s="4" t="str">
        <f>IFERROR(__xludf.DUMMYFUNCTION("""COMPUTED_VALUE"""),"1 15 ")</f>
        <v>1 15 </v>
      </c>
      <c r="Q882" s="4">
        <f>IFERROR(__xludf.DUMMYFUNCTION("""COMPUTED_VALUE"""),16.0)</f>
        <v>16</v>
      </c>
      <c r="R882" s="4"/>
      <c r="S882" s="4"/>
      <c r="T882" s="4"/>
      <c r="U882" s="4">
        <f>IFERROR(__xludf.DUMMYFUNCTION("""COMPUTED_VALUE"""),1.0)</f>
        <v>1</v>
      </c>
      <c r="V882" s="4" t="str">
        <f>IFERROR(__xludf.DUMMYFUNCTION("""COMPUTED_VALUE"""),"Bag")</f>
        <v>Bag</v>
      </c>
      <c r="W882" s="4" t="str">
        <f>IFERROR(__xludf.DUMMYFUNCTION("""COMPUTED_VALUE"""),"1022")</f>
        <v>1022</v>
      </c>
      <c r="X882" s="4">
        <f>IFERROR(__xludf.DUMMYFUNCTION("""COMPUTED_VALUE"""),15.0)</f>
        <v>15</v>
      </c>
      <c r="Y882" s="4" t="str">
        <f>IFERROR(__xludf.DUMMYFUNCTION("""COMPUTED_VALUE"""),"Bag")</f>
        <v>Bag</v>
      </c>
      <c r="Z882" s="4" t="str">
        <f>IFERROR(__xludf.DUMMYFUNCTION("""COMPUTED_VALUE"""),"XXXX")</f>
        <v>XXXX</v>
      </c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</row>
    <row r="883">
      <c r="A883" s="4" t="str">
        <f>IFERROR(__xludf.DUMMYFUNCTION("""COMPUTED_VALUE"""),"RESISTOR:   SMD 0603 17.8kΩ ±1% 0.100W   [RC0603FR-0717K8L] [SMD]")</f>
        <v>RESISTOR:   SMD 0603 17.8kΩ ±1% 0.100W   [RC0603FR-0717K8L] [SMD]</v>
      </c>
      <c r="B883" s="4" t="str">
        <f>IFERROR(__xludf.DUMMYFUNCTION("""COMPUTED_VALUE"""),"OEPS020128")</f>
        <v>OEPS020128</v>
      </c>
      <c r="C883" s="4" t="str">
        <f>IFERROR(__xludf.DUMMYFUNCTION("""COMPUTED_VALUE"""),"SMD")</f>
        <v>SMD</v>
      </c>
      <c r="D883" s="4" t="str">
        <f>IFERROR(__xludf.DUMMYFUNCTION("""COMPUTED_VALUE"""),"RC0603FR-0717K8L")</f>
        <v>RC0603FR-0717K8L</v>
      </c>
      <c r="E883" s="4">
        <f>IFERROR(__xludf.DUMMYFUNCTION("""COMPUTED_VALUE"""),30.0)</f>
        <v>30</v>
      </c>
      <c r="F883" s="4" t="str">
        <f>IFERROR(__xludf.DUMMYFUNCTION("""COMPUTED_VALUE"""),"Digikey")</f>
        <v>Digikey</v>
      </c>
      <c r="G883" s="4" t="str">
        <f>IFERROR(__xludf.DUMMYFUNCTION("""COMPUTED_VALUE"""),"311-17.8KHRDKR-ND")</f>
        <v>311-17.8KHRDKR-ND</v>
      </c>
      <c r="H883" s="4"/>
      <c r="I883" s="4"/>
      <c r="J883" s="4"/>
      <c r="K883" s="4"/>
      <c r="L883" s="4"/>
      <c r="M883" s="4"/>
      <c r="N883" s="9" t="str">
        <f>IFERROR(__xludf.DUMMYFUNCTION("""COMPUTED_VALUE"""),"OEPS080019")</f>
        <v>OEPS080019</v>
      </c>
      <c r="O883" s="4" t="str">
        <f>IFERROR(__xludf.DUMMYFUNCTION("""COMPUTED_VALUE"""),"TLV272CDGKR")</f>
        <v>TLV272CDGKR</v>
      </c>
      <c r="P883" s="4" t="str">
        <f>IFERROR(__xludf.DUMMYFUNCTION("""COMPUTED_VALUE"""),"24(Tp) ")</f>
        <v>24(Tp) </v>
      </c>
      <c r="Q883" s="4">
        <f>IFERROR(__xludf.DUMMYFUNCTION("""COMPUTED_VALUE"""),24.0)</f>
        <v>24</v>
      </c>
      <c r="R883" s="4">
        <f>IFERROR(__xludf.DUMMYFUNCTION("""COMPUTED_VALUE"""),24.0)</f>
        <v>24</v>
      </c>
      <c r="S883" s="4" t="str">
        <f>IFERROR(__xludf.DUMMYFUNCTION("""COMPUTED_VALUE"""),"Tape")</f>
        <v>Tape</v>
      </c>
      <c r="T883" s="4" t="str">
        <f>IFERROR(__xludf.DUMMYFUNCTION("""COMPUTED_VALUE"""),"0320")</f>
        <v>0320</v>
      </c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</row>
    <row r="884">
      <c r="A884" s="4" t="str">
        <f>IFERROR(__xludf.DUMMYFUNCTION("""COMPUTED_VALUE"""),"RESISTOR:   SMD 0603 1kΩ ±0.1% 0.100W   [RG1608P-102-B-T5] [SMD]")</f>
        <v>RESISTOR:   SMD 0603 1kΩ ±0.1% 0.100W   [RG1608P-102-B-T5] [SMD]</v>
      </c>
      <c r="B884" s="4" t="str">
        <f>IFERROR(__xludf.DUMMYFUNCTION("""COMPUTED_VALUE"""),"OEPS020215")</f>
        <v>OEPS020215</v>
      </c>
      <c r="C884" s="4" t="str">
        <f>IFERROR(__xludf.DUMMYFUNCTION("""COMPUTED_VALUE"""),"SMD")</f>
        <v>SMD</v>
      </c>
      <c r="D884" s="4" t="str">
        <f>IFERROR(__xludf.DUMMYFUNCTION("""COMPUTED_VALUE"""),"RG1608P-102-B-T5")</f>
        <v>RG1608P-102-B-T5</v>
      </c>
      <c r="E884" s="4">
        <f>IFERROR(__xludf.DUMMYFUNCTION("""COMPUTED_VALUE"""),20.0)</f>
        <v>20</v>
      </c>
      <c r="F884" s="4" t="str">
        <f>IFERROR(__xludf.DUMMYFUNCTION("""COMPUTED_VALUE"""),"Digikey")</f>
        <v>Digikey</v>
      </c>
      <c r="G884" s="4" t="str">
        <f>IFERROR(__xludf.DUMMYFUNCTION("""COMPUTED_VALUE"""),"RG16P1.0KBDKR-ND")</f>
        <v>RG16P1.0KBDKR-ND</v>
      </c>
      <c r="H884" s="4"/>
      <c r="I884" s="4"/>
      <c r="J884" s="4"/>
      <c r="K884" s="4"/>
      <c r="L884" s="4"/>
      <c r="M884" s="4"/>
      <c r="N884" s="9" t="str">
        <f>IFERROR(__xludf.DUMMYFUNCTION("""COMPUTED_VALUE"""),"OEPS080020")</f>
        <v>OEPS080020</v>
      </c>
      <c r="O884" s="4" t="str">
        <f>IFERROR(__xludf.DUMMYFUNCTION("""COMPUTED_VALUE"""),"LD1117S33TR")</f>
        <v>LD1117S33TR</v>
      </c>
      <c r="P884" s="4" t="str">
        <f>IFERROR(__xludf.DUMMYFUNCTION("""COMPUTED_VALUE"""),"5(Tp) ")</f>
        <v>5(Tp) </v>
      </c>
      <c r="Q884" s="4">
        <f>IFERROR(__xludf.DUMMYFUNCTION("""COMPUTED_VALUE"""),5.0)</f>
        <v>5</v>
      </c>
      <c r="R884" s="4">
        <f>IFERROR(__xludf.DUMMYFUNCTION("""COMPUTED_VALUE"""),5.0)</f>
        <v>5</v>
      </c>
      <c r="S884" s="4" t="str">
        <f>IFERROR(__xludf.DUMMYFUNCTION("""COMPUTED_VALUE"""),"Tape")</f>
        <v>Tape</v>
      </c>
      <c r="T884" s="4" t="str">
        <f>IFERROR(__xludf.DUMMYFUNCTION("""COMPUTED_VALUE"""),"0320")</f>
        <v>0320</v>
      </c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</row>
    <row r="885">
      <c r="A885" s="4" t="str">
        <f>IFERROR(__xludf.DUMMYFUNCTION("""COMPUTED_VALUE"""),"RESISTOR:   SMD 0603 1kΩ ±1% 0.100W   [RC0603FR-071KL] [SMD]")</f>
        <v>RESISTOR:   SMD 0603 1kΩ ±1% 0.100W   [RC0603FR-071KL] [SMD]</v>
      </c>
      <c r="B885" s="4" t="str">
        <f>IFERROR(__xludf.DUMMYFUNCTION("""COMPUTED_VALUE"""),"OEPS020104")</f>
        <v>OEPS020104</v>
      </c>
      <c r="C885" s="4" t="str">
        <f>IFERROR(__xludf.DUMMYFUNCTION("""COMPUTED_VALUE"""),"SMD")</f>
        <v>SMD</v>
      </c>
      <c r="D885" s="4" t="str">
        <f>IFERROR(__xludf.DUMMYFUNCTION("""COMPUTED_VALUE"""),"RC0603FR-071KL")</f>
        <v>RC0603FR-071KL</v>
      </c>
      <c r="E885" s="4">
        <f>IFERROR(__xludf.DUMMYFUNCTION("""COMPUTED_VALUE"""),30.0)</f>
        <v>30</v>
      </c>
      <c r="F885" s="4" t="str">
        <f>IFERROR(__xludf.DUMMYFUNCTION("""COMPUTED_VALUE"""),"DigiKey")</f>
        <v>DigiKey</v>
      </c>
      <c r="G885" s="4" t="str">
        <f>IFERROR(__xludf.DUMMYFUNCTION("""COMPUTED_VALUE"""),"311-1.00KHRDKR-ND")</f>
        <v>311-1.00KHRDKR-ND</v>
      </c>
      <c r="H885" s="4"/>
      <c r="I885" s="4"/>
      <c r="J885" s="4"/>
      <c r="K885" s="4"/>
      <c r="L885" s="4"/>
      <c r="M885" s="4"/>
      <c r="N885" s="9" t="str">
        <f>IFERROR(__xludf.DUMMYFUNCTION("""COMPUTED_VALUE"""),"OEPS080021")</f>
        <v>OEPS080021</v>
      </c>
      <c r="O885" s="4" t="str">
        <f>IFERROR(__xludf.DUMMYFUNCTION("""COMPUTED_VALUE"""),"LM3406HVMH/NOPB")</f>
        <v>LM3406HVMH/NOPB</v>
      </c>
      <c r="P885" s="4" t="str">
        <f>IFERROR(__xludf.DUMMYFUNCTION("""COMPUTED_VALUE"""),"15(Tp) ")</f>
        <v>15(Tp) </v>
      </c>
      <c r="Q885" s="4">
        <f>IFERROR(__xludf.DUMMYFUNCTION("""COMPUTED_VALUE"""),15.0)</f>
        <v>15</v>
      </c>
      <c r="R885" s="4">
        <f>IFERROR(__xludf.DUMMYFUNCTION("""COMPUTED_VALUE"""),15.0)</f>
        <v>15</v>
      </c>
      <c r="S885" s="4" t="str">
        <f>IFERROR(__xludf.DUMMYFUNCTION("""COMPUTED_VALUE"""),"Tape")</f>
        <v>Tape</v>
      </c>
      <c r="T885" s="4" t="str">
        <f>IFERROR(__xludf.DUMMYFUNCTION("""COMPUTED_VALUE"""),"0320")</f>
        <v>0320</v>
      </c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</row>
    <row r="886">
      <c r="A886" s="4" t="str">
        <f>IFERROR(__xludf.DUMMYFUNCTION("""COMPUTED_VALUE"""),"RESISTOR:   SMD 0603 1MΩ ±1% 0.100W (OEPS J30 028)   [RC0603FR-071ML] [SMD]")</f>
        <v>RESISTOR:   SMD 0603 1MΩ ±1% 0.100W (OEPS J30 028)   [RC0603FR-071ML] [SMD]</v>
      </c>
      <c r="B886" s="4" t="str">
        <f>IFERROR(__xludf.DUMMYFUNCTION("""COMPUTED_VALUE"""),"OEPS020144")</f>
        <v>OEPS020144</v>
      </c>
      <c r="C886" s="4" t="str">
        <f>IFERROR(__xludf.DUMMYFUNCTION("""COMPUTED_VALUE"""),"SMD")</f>
        <v>SMD</v>
      </c>
      <c r="D886" s="4" t="str">
        <f>IFERROR(__xludf.DUMMYFUNCTION("""COMPUTED_VALUE"""),"RC0603FR-071ML")</f>
        <v>RC0603FR-071ML</v>
      </c>
      <c r="E886" s="4">
        <f>IFERROR(__xludf.DUMMYFUNCTION("""COMPUTED_VALUE"""),30.0)</f>
        <v>30</v>
      </c>
      <c r="F886" s="4" t="str">
        <f>IFERROR(__xludf.DUMMYFUNCTION("""COMPUTED_VALUE"""),"Digikey")</f>
        <v>Digikey</v>
      </c>
      <c r="G886" s="4" t="str">
        <f>IFERROR(__xludf.DUMMYFUNCTION("""COMPUTED_VALUE"""),"311-1.00MHRDKR-ND")</f>
        <v>311-1.00MHRDKR-ND</v>
      </c>
      <c r="H886" s="4"/>
      <c r="I886" s="4"/>
      <c r="J886" s="4"/>
      <c r="K886" s="4"/>
      <c r="L886" s="4"/>
      <c r="M886" s="4"/>
      <c r="N886" s="9" t="str">
        <f>IFERROR(__xludf.DUMMYFUNCTION("""COMPUTED_VALUE"""),"OEPS080022")</f>
        <v>OEPS080022</v>
      </c>
      <c r="O886" s="4" t="str">
        <f>IFERROR(__xludf.DUMMYFUNCTION("""COMPUTED_VALUE"""),"SN74ACT241DWR")</f>
        <v>SN74ACT241DWR</v>
      </c>
      <c r="P886" s="4" t="str">
        <f>IFERROR(__xludf.DUMMYFUNCTION("""COMPUTED_VALUE"""),"125(R) ")</f>
        <v>125(R) </v>
      </c>
      <c r="Q886" s="4">
        <f>IFERROR(__xludf.DUMMYFUNCTION("""COMPUTED_VALUE"""),125.0)</f>
        <v>125</v>
      </c>
      <c r="R886" s="4">
        <f>IFERROR(__xludf.DUMMYFUNCTION("""COMPUTED_VALUE"""),125.0)</f>
        <v>125</v>
      </c>
      <c r="S886" s="4" t="str">
        <f>IFERROR(__xludf.DUMMYFUNCTION("""COMPUTED_VALUE"""),"Reel")</f>
        <v>Reel</v>
      </c>
      <c r="T886" s="4" t="str">
        <f>IFERROR(__xludf.DUMMYFUNCTION("""COMPUTED_VALUE"""),"XXXX")</f>
        <v>XXXX</v>
      </c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</row>
    <row r="887">
      <c r="A887" s="4" t="str">
        <f>IFERROR(__xludf.DUMMYFUNCTION("""COMPUTED_VALUE"""),"RESISTOR:   SMD 0603 1MΩ ±5% 0.100W   [ERJ-3GEYJ105V] [SMD]")</f>
        <v>RESISTOR:   SMD 0603 1MΩ ±5% 0.100W   [ERJ-3GEYJ105V] [SMD]</v>
      </c>
      <c r="B887" s="4" t="str">
        <f>IFERROR(__xludf.DUMMYFUNCTION("""COMPUTED_VALUE"""),"OEPS020137")</f>
        <v>OEPS020137</v>
      </c>
      <c r="C887" s="4" t="str">
        <f>IFERROR(__xludf.DUMMYFUNCTION("""COMPUTED_VALUE"""),"SMD")</f>
        <v>SMD</v>
      </c>
      <c r="D887" s="4" t="str">
        <f>IFERROR(__xludf.DUMMYFUNCTION("""COMPUTED_VALUE"""),"ERJ-3GEYJ105V")</f>
        <v>ERJ-3GEYJ105V</v>
      </c>
      <c r="E887" s="4">
        <f>IFERROR(__xludf.DUMMYFUNCTION("""COMPUTED_VALUE"""),30.0)</f>
        <v>30</v>
      </c>
      <c r="F887" s="4" t="str">
        <f>IFERROR(__xludf.DUMMYFUNCTION("""COMPUTED_VALUE"""),"Digikey")</f>
        <v>Digikey</v>
      </c>
      <c r="G887" s="4" t="str">
        <f>IFERROR(__xludf.DUMMYFUNCTION("""COMPUTED_VALUE"""),"P1.0MGDKR-ND")</f>
        <v>P1.0MGDKR-ND</v>
      </c>
      <c r="H887" s="4"/>
      <c r="I887" s="4"/>
      <c r="J887" s="4"/>
      <c r="K887" s="4"/>
      <c r="L887" s="4"/>
      <c r="M887" s="4"/>
      <c r="N887" s="9" t="str">
        <f>IFERROR(__xludf.DUMMYFUNCTION("""COMPUTED_VALUE"""),"OEPS080023")</f>
        <v>OEPS080023</v>
      </c>
      <c r="O887" s="4" t="str">
        <f>IFERROR(__xludf.DUMMYFUNCTION("""COMPUTED_VALUE"""),"MCP33151D-10-E/MS")</f>
        <v>MCP33151D-10-E/MS</v>
      </c>
      <c r="P887" s="4" t="str">
        <f>IFERROR(__xludf.DUMMYFUNCTION("""COMPUTED_VALUE"""),"2 ")</f>
        <v>2 </v>
      </c>
      <c r="Q887" s="4">
        <f>IFERROR(__xludf.DUMMYFUNCTION("""COMPUTED_VALUE"""),2.0)</f>
        <v>2</v>
      </c>
      <c r="R887" s="4">
        <f>IFERROR(__xludf.DUMMYFUNCTION("""COMPUTED_VALUE"""),2.0)</f>
        <v>2</v>
      </c>
      <c r="S887" s="4" t="str">
        <f>IFERROR(__xludf.DUMMYFUNCTION("""COMPUTED_VALUE"""),"Box")</f>
        <v>Box</v>
      </c>
      <c r="T887" s="4" t="str">
        <f>IFERROR(__xludf.DUMMYFUNCTION("""COMPUTED_VALUE"""),"XXXX")</f>
        <v>XXXX</v>
      </c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</row>
    <row r="888">
      <c r="A888" s="4" t="str">
        <f>IFERROR(__xludf.DUMMYFUNCTION("""COMPUTED_VALUE"""),"RESISTOR:   SMD 0603 1Ω ±0.1% 0.100W   [RT0603BRD071RL] [SMD]")</f>
        <v>RESISTOR:   SMD 0603 1Ω ±0.1% 0.100W   [RT0603BRD071RL] [SMD]</v>
      </c>
      <c r="B888" s="4" t="str">
        <f>IFERROR(__xludf.DUMMYFUNCTION("""COMPUTED_VALUE"""),"OEPS020243")</f>
        <v>OEPS020243</v>
      </c>
      <c r="C888" s="4" t="str">
        <f>IFERROR(__xludf.DUMMYFUNCTION("""COMPUTED_VALUE"""),"SMD")</f>
        <v>SMD</v>
      </c>
      <c r="D888" s="4" t="str">
        <f>IFERROR(__xludf.DUMMYFUNCTION("""COMPUTED_VALUE"""),"RT0603BRD071RL")</f>
        <v>RT0603BRD071RL</v>
      </c>
      <c r="E888" s="4">
        <f>IFERROR(__xludf.DUMMYFUNCTION("""COMPUTED_VALUE"""),20.0)</f>
        <v>20</v>
      </c>
      <c r="F888" s="4" t="str">
        <f>IFERROR(__xludf.DUMMYFUNCTION("""COMPUTED_VALUE"""),"DigiKey")</f>
        <v>DigiKey</v>
      </c>
      <c r="G888" s="4" t="str">
        <f>IFERROR(__xludf.DUMMYFUNCTION("""COMPUTED_VALUE"""),"13-RT0603BRD071RLDKR-ND")</f>
        <v>13-RT0603BRD071RLDKR-ND</v>
      </c>
      <c r="H888" s="4"/>
      <c r="I888" s="4"/>
      <c r="J888" s="4"/>
      <c r="K888" s="4"/>
      <c r="L888" s="4"/>
      <c r="M888" s="4"/>
      <c r="N888" s="9" t="str">
        <f>IFERROR(__xludf.DUMMYFUNCTION("""COMPUTED_VALUE"""),"OEPS080024")</f>
        <v>OEPS080024</v>
      </c>
      <c r="O888" s="4" t="str">
        <f>IFERROR(__xludf.DUMMYFUNCTION("""COMPUTED_VALUE"""),"74HCT125D,653")</f>
        <v>74HCT125D,653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</row>
    <row r="889">
      <c r="A889" s="4" t="str">
        <f>IFERROR(__xludf.DUMMYFUNCTION("""COMPUTED_VALUE"""),"RESISTOR:   SMD 0603 2.2kΩ ±5% 0.100W   [ERJ-3GEYJ222V] [SMD]")</f>
        <v>RESISTOR:   SMD 0603 2.2kΩ ±5% 0.100W   [ERJ-3GEYJ222V] [SMD]</v>
      </c>
      <c r="B889" s="4" t="str">
        <f>IFERROR(__xludf.DUMMYFUNCTION("""COMPUTED_VALUE"""),"OEPS020035")</f>
        <v>OEPS020035</v>
      </c>
      <c r="C889" s="4" t="str">
        <f>IFERROR(__xludf.DUMMYFUNCTION("""COMPUTED_VALUE"""),"SMD")</f>
        <v>SMD</v>
      </c>
      <c r="D889" s="4" t="str">
        <f>IFERROR(__xludf.DUMMYFUNCTION("""COMPUTED_VALUE"""),"ERJ-3GEYJ222V")</f>
        <v>ERJ-3GEYJ222V</v>
      </c>
      <c r="E889" s="4">
        <f>IFERROR(__xludf.DUMMYFUNCTION("""COMPUTED_VALUE"""),25.0)</f>
        <v>25</v>
      </c>
      <c r="F889" s="4" t="str">
        <f>IFERROR(__xludf.DUMMYFUNCTION("""COMPUTED_VALUE"""),"DigiKey")</f>
        <v>DigiKey</v>
      </c>
      <c r="G889" s="4" t="str">
        <f>IFERROR(__xludf.DUMMYFUNCTION("""COMPUTED_VALUE"""),"P2.2KGDKR-ND")</f>
        <v>P2.2KGDKR-ND</v>
      </c>
      <c r="H889" s="4"/>
      <c r="I889" s="4"/>
      <c r="J889" s="4"/>
      <c r="K889" s="4"/>
      <c r="L889" s="4"/>
      <c r="M889" s="4"/>
      <c r="N889" s="9" t="str">
        <f>IFERROR(__xludf.DUMMYFUNCTION("""COMPUTED_VALUE"""),"OEPS080025")</f>
        <v>OEPS080025</v>
      </c>
      <c r="O889" s="4" t="str">
        <f>IFERROR(__xludf.DUMMYFUNCTION("""COMPUTED_VALUE"""),"LT1765EFE#TRPBF")</f>
        <v>LT1765EFE#TRPBF</v>
      </c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</row>
    <row r="890">
      <c r="A890" s="4" t="str">
        <f>IFERROR(__xludf.DUMMYFUNCTION("""COMPUTED_VALUE"""),"RESISTOR:   SMD 0603 2.2Ω ±1% 0.100W   [CRCW06032R20FKEAC] [SMD]")</f>
        <v>RESISTOR:   SMD 0603 2.2Ω ±1% 0.100W   [CRCW06032R20FKEAC] [SMD]</v>
      </c>
      <c r="B890" s="4" t="str">
        <f>IFERROR(__xludf.DUMMYFUNCTION("""COMPUTED_VALUE"""),"OEPS020240")</f>
        <v>OEPS020240</v>
      </c>
      <c r="C890" s="4" t="str">
        <f>IFERROR(__xludf.DUMMYFUNCTION("""COMPUTED_VALUE"""),"SMD")</f>
        <v>SMD</v>
      </c>
      <c r="D890" s="4" t="str">
        <f>IFERROR(__xludf.DUMMYFUNCTION("""COMPUTED_VALUE"""),"CRCW06032R20FKEAC")</f>
        <v>CRCW06032R20FKEAC</v>
      </c>
      <c r="E890" s="4">
        <f>IFERROR(__xludf.DUMMYFUNCTION("""COMPUTED_VALUE"""),20.0)</f>
        <v>20</v>
      </c>
      <c r="F890" s="4" t="str">
        <f>IFERROR(__xludf.DUMMYFUNCTION("""COMPUTED_VALUE"""),"Digikey")</f>
        <v>Digikey</v>
      </c>
      <c r="G890" s="4" t="str">
        <f>IFERROR(__xludf.DUMMYFUNCTION("""COMPUTED_VALUE"""),"541-5337-6-ND")</f>
        <v>541-5337-6-ND</v>
      </c>
      <c r="H890" s="4"/>
      <c r="I890" s="4"/>
      <c r="J890" s="4"/>
      <c r="K890" s="4"/>
      <c r="L890" s="4"/>
      <c r="M890" s="4"/>
      <c r="N890" s="9" t="str">
        <f>IFERROR(__xludf.DUMMYFUNCTION("""COMPUTED_VALUE"""),"OEPS080026")</f>
        <v>OEPS080026</v>
      </c>
      <c r="O890" s="4" t="str">
        <f>IFERROR(__xludf.DUMMYFUNCTION("""COMPUTED_VALUE"""),"LP5951MFX-3.3/NOPB")</f>
        <v>LP5951MFX-3.3/NOPB</v>
      </c>
      <c r="P890" s="4" t="str">
        <f>IFERROR(__xludf.DUMMYFUNCTION("""COMPUTED_VALUE"""),"1 26(Tp) ")</f>
        <v>1 26(Tp) </v>
      </c>
      <c r="Q890" s="4">
        <f>IFERROR(__xludf.DUMMYFUNCTION("""COMPUTED_VALUE"""),27.0)</f>
        <v>27</v>
      </c>
      <c r="R890" s="4">
        <f>IFERROR(__xludf.DUMMYFUNCTION("""COMPUTED_VALUE"""),1.0)</f>
        <v>1</v>
      </c>
      <c r="S890" s="4" t="str">
        <f>IFERROR(__xludf.DUMMYFUNCTION("""COMPUTED_VALUE"""),"Bag")</f>
        <v>Bag</v>
      </c>
      <c r="T890" s="4" t="str">
        <f>IFERROR(__xludf.DUMMYFUNCTION("""COMPUTED_VALUE"""),"XXXX")</f>
        <v>XXXX</v>
      </c>
      <c r="U890" s="4">
        <f>IFERROR(__xludf.DUMMYFUNCTION("""COMPUTED_VALUE"""),26.0)</f>
        <v>26</v>
      </c>
      <c r="V890" s="4" t="str">
        <f>IFERROR(__xludf.DUMMYFUNCTION("""COMPUTED_VALUE"""),"Tape")</f>
        <v>Tape</v>
      </c>
      <c r="W890" s="4" t="str">
        <f>IFERROR(__xludf.DUMMYFUNCTION("""COMPUTED_VALUE"""),"1122")</f>
        <v>1122</v>
      </c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</row>
    <row r="891">
      <c r="A891" s="4" t="str">
        <f>IFERROR(__xludf.DUMMYFUNCTION("""COMPUTED_VALUE"""),"RESISTOR:   SMD 0603 2.49kΩ ±1% 0.100W   [ERJ-3EKF2491V] [SMD]")</f>
        <v>RESISTOR:   SMD 0603 2.49kΩ ±1% 0.100W   [ERJ-3EKF2491V] [SMD]</v>
      </c>
      <c r="B891" s="4" t="str">
        <f>IFERROR(__xludf.DUMMYFUNCTION("""COMPUTED_VALUE"""),"OEPS020088")</f>
        <v>OEPS020088</v>
      </c>
      <c r="C891" s="4" t="str">
        <f>IFERROR(__xludf.DUMMYFUNCTION("""COMPUTED_VALUE"""),"SMD")</f>
        <v>SMD</v>
      </c>
      <c r="D891" s="4" t="str">
        <f>IFERROR(__xludf.DUMMYFUNCTION("""COMPUTED_VALUE"""),"ERJ-3EKF2491V")</f>
        <v>ERJ-3EKF2491V</v>
      </c>
      <c r="E891" s="4">
        <f>IFERROR(__xludf.DUMMYFUNCTION("""COMPUTED_VALUE"""),30.0)</f>
        <v>30</v>
      </c>
      <c r="F891" s="4" t="str">
        <f>IFERROR(__xludf.DUMMYFUNCTION("""COMPUTED_VALUE"""),"DigiKey")</f>
        <v>DigiKey</v>
      </c>
      <c r="G891" s="4" t="str">
        <f>IFERROR(__xludf.DUMMYFUNCTION("""COMPUTED_VALUE"""),"P2.49KHDKR-ND")</f>
        <v>P2.49KHDKR-ND</v>
      </c>
      <c r="H891" s="4"/>
      <c r="I891" s="4"/>
      <c r="J891" s="4"/>
      <c r="K891" s="4"/>
      <c r="L891" s="4"/>
      <c r="M891" s="4"/>
      <c r="N891" s="9" t="str">
        <f>IFERROR(__xludf.DUMMYFUNCTION("""COMPUTED_VALUE"""),"OEPS080027")</f>
        <v>OEPS080027</v>
      </c>
      <c r="O891" s="4" t="str">
        <f>IFERROR(__xludf.DUMMYFUNCTION("""COMPUTED_VALUE"""),"74LVC126AD,118")</f>
        <v>74LVC126AD,118</v>
      </c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</row>
    <row r="892">
      <c r="A892" s="4" t="str">
        <f>IFERROR(__xludf.DUMMYFUNCTION("""COMPUTED_VALUE"""),"RESISTOR:   SMD 0603 200Ω ±1% 0.100W (OEPS J30 017)   [RC0603FR-07200RL] [SMD]")</f>
        <v>RESISTOR:   SMD 0603 200Ω ±1% 0.100W (OEPS J30 017)   [RC0603FR-07200RL] [SMD]</v>
      </c>
      <c r="B892" s="4" t="str">
        <f>IFERROR(__xludf.DUMMYFUNCTION("""COMPUTED_VALUE"""),"OEPS020141")</f>
        <v>OEPS020141</v>
      </c>
      <c r="C892" s="4" t="str">
        <f>IFERROR(__xludf.DUMMYFUNCTION("""COMPUTED_VALUE"""),"SMD")</f>
        <v>SMD</v>
      </c>
      <c r="D892" s="4" t="str">
        <f>IFERROR(__xludf.DUMMYFUNCTION("""COMPUTED_VALUE"""),"RC0603FR-07200RL")</f>
        <v>RC0603FR-07200RL</v>
      </c>
      <c r="E892" s="4">
        <f>IFERROR(__xludf.DUMMYFUNCTION("""COMPUTED_VALUE"""),30.0)</f>
        <v>30</v>
      </c>
      <c r="F892" s="4" t="str">
        <f>IFERROR(__xludf.DUMMYFUNCTION("""COMPUTED_VALUE"""),"Digikey")</f>
        <v>Digikey</v>
      </c>
      <c r="G892" s="4" t="str">
        <f>IFERROR(__xludf.DUMMYFUNCTION("""COMPUTED_VALUE"""),"311-200HRDKR-ND")</f>
        <v>311-200HRDKR-ND</v>
      </c>
      <c r="H892" s="4"/>
      <c r="I892" s="4"/>
      <c r="J892" s="4"/>
      <c r="K892" s="4"/>
      <c r="L892" s="4"/>
      <c r="M892" s="4"/>
      <c r="N892" s="9" t="str">
        <f>IFERROR(__xludf.DUMMYFUNCTION("""COMPUTED_VALUE"""),"OEPS080028")</f>
        <v>OEPS080028</v>
      </c>
      <c r="O892" s="4" t="str">
        <f>IFERROR(__xludf.DUMMYFUNCTION("""COMPUTED_VALUE"""),"SN74LVC1G240DBVR")</f>
        <v>SN74LVC1G240DBVR</v>
      </c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</row>
    <row r="893">
      <c r="A893" s="4" t="str">
        <f>IFERROR(__xludf.DUMMYFUNCTION("""COMPUTED_VALUE"""),"RESISTOR:   SMD 0603 20kΩ ±1% 0.100W   [RMCF0603FT20K0] [SMD]")</f>
        <v>RESISTOR:   SMD 0603 20kΩ ±1% 0.100W   [RMCF0603FT20K0] [SMD]</v>
      </c>
      <c r="B893" s="4" t="str">
        <f>IFERROR(__xludf.DUMMYFUNCTION("""COMPUTED_VALUE"""),"OEPS020122")</f>
        <v>OEPS020122</v>
      </c>
      <c r="C893" s="4" t="str">
        <f>IFERROR(__xludf.DUMMYFUNCTION("""COMPUTED_VALUE"""),"SMD")</f>
        <v>SMD</v>
      </c>
      <c r="D893" s="4" t="str">
        <f>IFERROR(__xludf.DUMMYFUNCTION("""COMPUTED_VALUE"""),"RMCF0603FT20K0")</f>
        <v>RMCF0603FT20K0</v>
      </c>
      <c r="E893" s="4">
        <f>IFERROR(__xludf.DUMMYFUNCTION("""COMPUTED_VALUE"""),30.0)</f>
        <v>30</v>
      </c>
      <c r="F893" s="4" t="str">
        <f>IFERROR(__xludf.DUMMYFUNCTION("""COMPUTED_VALUE"""),"Digikey")</f>
        <v>Digikey</v>
      </c>
      <c r="G893" s="4" t="str">
        <f>IFERROR(__xludf.DUMMYFUNCTION("""COMPUTED_VALUE"""),"RMCF0603FT20K0DKR-ND")</f>
        <v>RMCF0603FT20K0DKR-ND</v>
      </c>
      <c r="H893" s="4"/>
      <c r="I893" s="4"/>
      <c r="J893" s="4"/>
      <c r="K893" s="4"/>
      <c r="L893" s="4"/>
      <c r="M893" s="4"/>
      <c r="N893" s="9" t="str">
        <f>IFERROR(__xludf.DUMMYFUNCTION("""COMPUTED_VALUE"""),"OEPS080029")</f>
        <v>OEPS080029</v>
      </c>
      <c r="O893" s="4" t="str">
        <f>IFERROR(__xludf.DUMMYFUNCTION("""COMPUTED_VALUE"""),"SN74LVC1G125DBVT")</f>
        <v>SN74LVC1G125DBVT</v>
      </c>
      <c r="P893" s="4" t="str">
        <f>IFERROR(__xludf.DUMMYFUNCTION("""COMPUTED_VALUE"""),"1(Tp) ")</f>
        <v>1(Tp) </v>
      </c>
      <c r="Q893" s="4">
        <f>IFERROR(__xludf.DUMMYFUNCTION("""COMPUTED_VALUE"""),1.0)</f>
        <v>1</v>
      </c>
      <c r="R893" s="4">
        <f>IFERROR(__xludf.DUMMYFUNCTION("""COMPUTED_VALUE"""),1.0)</f>
        <v>1</v>
      </c>
      <c r="S893" s="4" t="str">
        <f>IFERROR(__xludf.DUMMYFUNCTION("""COMPUTED_VALUE"""),"Tape")</f>
        <v>Tape</v>
      </c>
      <c r="T893" s="4" t="str">
        <f>IFERROR(__xludf.DUMMYFUNCTION("""COMPUTED_VALUE"""),"0524")</f>
        <v>0524</v>
      </c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</row>
    <row r="894">
      <c r="A894" s="4" t="str">
        <f>IFERROR(__xludf.DUMMYFUNCTION("""COMPUTED_VALUE"""),"RESISTOR:   SMD 0603 22Ω ±1% 0.100W (OEPS J30 013)   [RC0603FR-0722RL] [SMD]")</f>
        <v>RESISTOR:   SMD 0603 22Ω ±1% 0.100W (OEPS J30 013)   [RC0603FR-0722RL] [SMD]</v>
      </c>
      <c r="B894" s="4" t="str">
        <f>IFERROR(__xludf.DUMMYFUNCTION("""COMPUTED_VALUE"""),"OEPS020142")</f>
        <v>OEPS020142</v>
      </c>
      <c r="C894" s="4" t="str">
        <f>IFERROR(__xludf.DUMMYFUNCTION("""COMPUTED_VALUE"""),"SMD")</f>
        <v>SMD</v>
      </c>
      <c r="D894" s="4" t="str">
        <f>IFERROR(__xludf.DUMMYFUNCTION("""COMPUTED_VALUE"""),"RC0603FR-0722RL")</f>
        <v>RC0603FR-0722RL</v>
      </c>
      <c r="E894" s="4">
        <f>IFERROR(__xludf.DUMMYFUNCTION("""COMPUTED_VALUE"""),30.0)</f>
        <v>30</v>
      </c>
      <c r="F894" s="4" t="str">
        <f>IFERROR(__xludf.DUMMYFUNCTION("""COMPUTED_VALUE"""),"Digikey")</f>
        <v>Digikey</v>
      </c>
      <c r="G894" s="4" t="str">
        <f>IFERROR(__xludf.DUMMYFUNCTION("""COMPUTED_VALUE"""),"311-22.0HRDKR-ND")</f>
        <v>311-22.0HRDKR-ND</v>
      </c>
      <c r="H894" s="4"/>
      <c r="I894" s="4"/>
      <c r="J894" s="4"/>
      <c r="K894" s="4"/>
      <c r="L894" s="4"/>
      <c r="M894" s="4"/>
      <c r="N894" s="9" t="str">
        <f>IFERROR(__xludf.DUMMYFUNCTION("""COMPUTED_VALUE"""),"OEPS080030")</f>
        <v>OEPS080030</v>
      </c>
      <c r="O894" s="4" t="str">
        <f>IFERROR(__xludf.DUMMYFUNCTION("""COMPUTED_VALUE"""),"SI8610EC-B-ISR")</f>
        <v>SI8610EC-B-ISR</v>
      </c>
      <c r="P894" s="4" t="str">
        <f>IFERROR(__xludf.DUMMYFUNCTION("""COMPUTED_VALUE"""),"2 ")</f>
        <v>2 </v>
      </c>
      <c r="Q894" s="4">
        <f>IFERROR(__xludf.DUMMYFUNCTION("""COMPUTED_VALUE"""),2.0)</f>
        <v>2</v>
      </c>
      <c r="R894" s="4">
        <f>IFERROR(__xludf.DUMMYFUNCTION("""COMPUTED_VALUE"""),2.0)</f>
        <v>2</v>
      </c>
      <c r="S894" s="4" t="str">
        <f>IFERROR(__xludf.DUMMYFUNCTION("""COMPUTED_VALUE"""),"Bag")</f>
        <v>Bag</v>
      </c>
      <c r="T894" s="4" t="str">
        <f>IFERROR(__xludf.DUMMYFUNCTION("""COMPUTED_VALUE"""),"0923")</f>
        <v>0923</v>
      </c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</row>
    <row r="895">
      <c r="A895" s="4" t="str">
        <f>IFERROR(__xludf.DUMMYFUNCTION("""COMPUTED_VALUE"""),"RESISTOR:   SMD 0603 2kΩ ±0.1% 0.100W   [RG1608P-202-B-T5] [SMD]")</f>
        <v>RESISTOR:   SMD 0603 2kΩ ±0.1% 0.100W   [RG1608P-202-B-T5] [SMD]</v>
      </c>
      <c r="B895" s="4" t="str">
        <f>IFERROR(__xludf.DUMMYFUNCTION("""COMPUTED_VALUE"""),"OEPS020216")</f>
        <v>OEPS020216</v>
      </c>
      <c r="C895" s="4" t="str">
        <f>IFERROR(__xludf.DUMMYFUNCTION("""COMPUTED_VALUE"""),"SMD")</f>
        <v>SMD</v>
      </c>
      <c r="D895" s="4" t="str">
        <f>IFERROR(__xludf.DUMMYFUNCTION("""COMPUTED_VALUE"""),"RG1608P-202-B-T5")</f>
        <v>RG1608P-202-B-T5</v>
      </c>
      <c r="E895" s="4">
        <f>IFERROR(__xludf.DUMMYFUNCTION("""COMPUTED_VALUE"""),20.0)</f>
        <v>20</v>
      </c>
      <c r="F895" s="4" t="str">
        <f>IFERROR(__xludf.DUMMYFUNCTION("""COMPUTED_VALUE"""),"Digikey")</f>
        <v>Digikey</v>
      </c>
      <c r="G895" s="4" t="str">
        <f>IFERROR(__xludf.DUMMYFUNCTION("""COMPUTED_VALUE"""),"RG16P2.0KBDKR-ND")</f>
        <v>RG16P2.0KBDKR-ND</v>
      </c>
      <c r="H895" s="4"/>
      <c r="I895" s="4"/>
      <c r="J895" s="4"/>
      <c r="K895" s="4"/>
      <c r="L895" s="4"/>
      <c r="M895" s="4"/>
      <c r="N895" s="9" t="str">
        <f>IFERROR(__xludf.DUMMYFUNCTION("""COMPUTED_VALUE"""),"OEPS080031")</f>
        <v>OEPS080031</v>
      </c>
      <c r="O895" s="4" t="str">
        <f>IFERROR(__xludf.DUMMYFUNCTION("""COMPUTED_VALUE"""),"SI8621BC-B-ISR")</f>
        <v>SI8621BC-B-ISR</v>
      </c>
      <c r="P895" s="4" t="str">
        <f>IFERROR(__xludf.DUMMYFUNCTION("""COMPUTED_VALUE"""),"1 3 ")</f>
        <v>1 3 </v>
      </c>
      <c r="Q895" s="4">
        <f>IFERROR(__xludf.DUMMYFUNCTION("""COMPUTED_VALUE"""),4.0)</f>
        <v>4</v>
      </c>
      <c r="R895" s="4">
        <f>IFERROR(__xludf.DUMMYFUNCTION("""COMPUTED_VALUE"""),1.0)</f>
        <v>1</v>
      </c>
      <c r="S895" s="4" t="str">
        <f>IFERROR(__xludf.DUMMYFUNCTION("""COMPUTED_VALUE"""),"Bag")</f>
        <v>Bag</v>
      </c>
      <c r="T895" s="4" t="str">
        <f>IFERROR(__xludf.DUMMYFUNCTION("""COMPUTED_VALUE"""),"0325")</f>
        <v>0325</v>
      </c>
      <c r="U895" s="4"/>
      <c r="V895" s="4"/>
      <c r="W895" s="4"/>
      <c r="X895" s="4">
        <f>IFERROR(__xludf.DUMMYFUNCTION("""COMPUTED_VALUE"""),3.0)</f>
        <v>3</v>
      </c>
      <c r="Y895" s="4" t="str">
        <f>IFERROR(__xludf.DUMMYFUNCTION("""COMPUTED_VALUE"""),"Bag")</f>
        <v>Bag</v>
      </c>
      <c r="Z895" s="4" t="str">
        <f>IFERROR(__xludf.DUMMYFUNCTION("""COMPUTED_VALUE"""),"0325")</f>
        <v>0325</v>
      </c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</row>
    <row r="896">
      <c r="A896" s="4" t="str">
        <f>IFERROR(__xludf.DUMMYFUNCTION("""COMPUTED_VALUE"""),"RESISTOR:   SMD 0603 2kΩ ±1% 0.100W (OEPS J30 021)   [RC0603FR-072KL] [SMD]")</f>
        <v>RESISTOR:   SMD 0603 2kΩ ±1% 0.100W (OEPS J30 021)   [RC0603FR-072KL] [SMD]</v>
      </c>
      <c r="B896" s="4" t="str">
        <f>IFERROR(__xludf.DUMMYFUNCTION("""COMPUTED_VALUE"""),"OEPS020143")</f>
        <v>OEPS020143</v>
      </c>
      <c r="C896" s="4" t="str">
        <f>IFERROR(__xludf.DUMMYFUNCTION("""COMPUTED_VALUE"""),"SMD")</f>
        <v>SMD</v>
      </c>
      <c r="D896" s="4" t="str">
        <f>IFERROR(__xludf.DUMMYFUNCTION("""COMPUTED_VALUE"""),"RC0603FR-072KL")</f>
        <v>RC0603FR-072KL</v>
      </c>
      <c r="E896" s="4">
        <f>IFERROR(__xludf.DUMMYFUNCTION("""COMPUTED_VALUE"""),30.0)</f>
        <v>30</v>
      </c>
      <c r="F896" s="4" t="str">
        <f>IFERROR(__xludf.DUMMYFUNCTION("""COMPUTED_VALUE"""),"Digikey")</f>
        <v>Digikey</v>
      </c>
      <c r="G896" s="4" t="str">
        <f>IFERROR(__xludf.DUMMYFUNCTION("""COMPUTED_VALUE"""),"311-2.00KHRDKR-ND")</f>
        <v>311-2.00KHRDKR-ND</v>
      </c>
      <c r="H896" s="4"/>
      <c r="I896" s="4"/>
      <c r="J896" s="4"/>
      <c r="K896" s="4"/>
      <c r="L896" s="4"/>
      <c r="M896" s="4"/>
      <c r="N896" s="9" t="str">
        <f>IFERROR(__xludf.DUMMYFUNCTION("""COMPUTED_VALUE"""),"OEPS080032")</f>
        <v>OEPS080032</v>
      </c>
      <c r="O896" s="4" t="str">
        <f>IFERROR(__xludf.DUMMYFUNCTION("""COMPUTED_VALUE"""),"ATXMEGA16A4U-A")</f>
        <v>ATXMEGA16A4U-A</v>
      </c>
      <c r="P896" s="4" t="str">
        <f>IFERROR(__xludf.DUMMYFUNCTION("""COMPUTED_VALUE"""),"201(R) ")</f>
        <v>201(R) </v>
      </c>
      <c r="Q896" s="4">
        <f>IFERROR(__xludf.DUMMYFUNCTION("""COMPUTED_VALUE"""),201.0)</f>
        <v>201</v>
      </c>
      <c r="R896" s="4"/>
      <c r="S896" s="4"/>
      <c r="T896" s="4"/>
      <c r="U896" s="4">
        <f>IFERROR(__xludf.DUMMYFUNCTION("""COMPUTED_VALUE"""),201.0)</f>
        <v>201</v>
      </c>
      <c r="V896" s="4" t="str">
        <f>IFERROR(__xludf.DUMMYFUNCTION("""COMPUTED_VALUE"""),"Reel")</f>
        <v>Reel</v>
      </c>
      <c r="W896" s="4" t="str">
        <f>IFERROR(__xludf.DUMMYFUNCTION("""COMPUTED_VALUE"""),"XX23")</f>
        <v>XX23</v>
      </c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</row>
    <row r="897">
      <c r="A897" s="4" t="str">
        <f>IFERROR(__xludf.DUMMYFUNCTION("""COMPUTED_VALUE"""),"RESISTOR:   SMD 0603 2Ω ±1% 0.333W   [SG73P1JTTD2R00F] [SMD]")</f>
        <v>RESISTOR:   SMD 0603 2Ω ±1% 0.333W   [SG73P1JTTD2R00F] [SMD]</v>
      </c>
      <c r="B897" s="4" t="str">
        <f>IFERROR(__xludf.DUMMYFUNCTION("""COMPUTED_VALUE"""),"OEPS020183")</f>
        <v>OEPS020183</v>
      </c>
      <c r="C897" s="4" t="str">
        <f>IFERROR(__xludf.DUMMYFUNCTION("""COMPUTED_VALUE"""),"SMD")</f>
        <v>SMD</v>
      </c>
      <c r="D897" s="4" t="str">
        <f>IFERROR(__xludf.DUMMYFUNCTION("""COMPUTED_VALUE"""),"SG73P1JTTD2R00F")</f>
        <v>SG73P1JTTD2R00F</v>
      </c>
      <c r="E897" s="4">
        <f>IFERROR(__xludf.DUMMYFUNCTION("""COMPUTED_VALUE"""),20.0)</f>
        <v>20</v>
      </c>
      <c r="F897" s="4" t="str">
        <f>IFERROR(__xludf.DUMMYFUNCTION("""COMPUTED_VALUE"""),"Digikey")</f>
        <v>Digikey</v>
      </c>
      <c r="G897" s="4" t="str">
        <f>IFERROR(__xludf.DUMMYFUNCTION("""COMPUTED_VALUE"""),"2019-SG73P1JTTD2R00FDKR-ND")</f>
        <v>2019-SG73P1JTTD2R00FDKR-ND</v>
      </c>
      <c r="H897" s="4"/>
      <c r="I897" s="4"/>
      <c r="J897" s="4"/>
      <c r="K897" s="4"/>
      <c r="L897" s="4"/>
      <c r="M897" s="4"/>
      <c r="N897" s="9" t="str">
        <f>IFERROR(__xludf.DUMMYFUNCTION("""COMPUTED_VALUE"""),"OEPS080033")</f>
        <v>OEPS080033</v>
      </c>
      <c r="O897" s="4" t="str">
        <f>IFERROR(__xludf.DUMMYFUNCTION("""COMPUTED_VALUE"""),"M74VHC1GT126DF1G")</f>
        <v>M74VHC1GT126DF1G</v>
      </c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</row>
    <row r="898">
      <c r="A898" s="4" t="str">
        <f>IFERROR(__xludf.DUMMYFUNCTION("""COMPUTED_VALUE"""),"RESISTOR:   SMD 0603 3.05kΩ ±0.1% 0.125W   [RN73R1JTTD3051B25] [SMD]")</f>
        <v>RESISTOR:   SMD 0603 3.05kΩ ±0.1% 0.125W   [RN73R1JTTD3051B25] [SMD]</v>
      </c>
      <c r="B898" s="4" t="str">
        <f>IFERROR(__xludf.DUMMYFUNCTION("""COMPUTED_VALUE"""),"OEPS020166")</f>
        <v>OEPS020166</v>
      </c>
      <c r="C898" s="4" t="str">
        <f>IFERROR(__xludf.DUMMYFUNCTION("""COMPUTED_VALUE"""),"SMD")</f>
        <v>SMD</v>
      </c>
      <c r="D898" s="4" t="str">
        <f>IFERROR(__xludf.DUMMYFUNCTION("""COMPUTED_VALUE"""),"RN73R1JTTD3051B25")</f>
        <v>RN73R1JTTD3051B25</v>
      </c>
      <c r="E898" s="4">
        <f>IFERROR(__xludf.DUMMYFUNCTION("""COMPUTED_VALUE"""),30.0)</f>
        <v>30</v>
      </c>
      <c r="F898" s="4" t="str">
        <f>IFERROR(__xludf.DUMMYFUNCTION("""COMPUTED_VALUE"""),"DigiKey")</f>
        <v>DigiKey</v>
      </c>
      <c r="G898" s="4" t="str">
        <f>IFERROR(__xludf.DUMMYFUNCTION("""COMPUTED_VALUE"""),"2019-RN73R1JTTD3051B25DKR-ND")</f>
        <v>2019-RN73R1JTTD3051B25DKR-ND</v>
      </c>
      <c r="H898" s="4"/>
      <c r="I898" s="4"/>
      <c r="J898" s="4"/>
      <c r="K898" s="4"/>
      <c r="L898" s="4"/>
      <c r="M898" s="4"/>
      <c r="N898" s="9" t="str">
        <f>IFERROR(__xludf.DUMMYFUNCTION("""COMPUTED_VALUE"""),"OEPS080034")</f>
        <v>OEPS080034</v>
      </c>
      <c r="O898" s="4" t="str">
        <f>IFERROR(__xludf.DUMMYFUNCTION("""COMPUTED_VALUE"""),"ICL7673CBAZA-T")</f>
        <v>ICL7673CBAZA-T</v>
      </c>
      <c r="P898" s="4" t="str">
        <f>IFERROR(__xludf.DUMMYFUNCTION("""COMPUTED_VALUE"""),"9(Tp) ")</f>
        <v>9(Tp) </v>
      </c>
      <c r="Q898" s="4">
        <f>IFERROR(__xludf.DUMMYFUNCTION("""COMPUTED_VALUE"""),9.0)</f>
        <v>9</v>
      </c>
      <c r="R898" s="4">
        <f>IFERROR(__xludf.DUMMYFUNCTION("""COMPUTED_VALUE"""),9.0)</f>
        <v>9</v>
      </c>
      <c r="S898" s="4" t="str">
        <f>IFERROR(__xludf.DUMMYFUNCTION("""COMPUTED_VALUE"""),"Tape")</f>
        <v>Tape</v>
      </c>
      <c r="T898" s="4" t="str">
        <f>IFERROR(__xludf.DUMMYFUNCTION("""COMPUTED_VALUE"""),"0221")</f>
        <v>0221</v>
      </c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</row>
    <row r="899">
      <c r="A899" s="4" t="str">
        <f>IFERROR(__xludf.DUMMYFUNCTION("""COMPUTED_VALUE"""),"RESISTOR:   SMD 0603 3.3kΩ ±1% 0.500W   [RCS06033K30FKEA] [SMD]")</f>
        <v>RESISTOR:   SMD 0603 3.3kΩ ±1% 0.500W   [RCS06033K30FKEA] [SMD]</v>
      </c>
      <c r="B899" s="4" t="str">
        <f>IFERROR(__xludf.DUMMYFUNCTION("""COMPUTED_VALUE"""),"OEPS020220")</f>
        <v>OEPS020220</v>
      </c>
      <c r="C899" s="4" t="str">
        <f>IFERROR(__xludf.DUMMYFUNCTION("""COMPUTED_VALUE"""),"SMD")</f>
        <v>SMD</v>
      </c>
      <c r="D899" s="4" t="str">
        <f>IFERROR(__xludf.DUMMYFUNCTION("""COMPUTED_VALUE"""),"RCS06033K30FKEA")</f>
        <v>RCS06033K30FKEA</v>
      </c>
      <c r="E899" s="4">
        <f>IFERROR(__xludf.DUMMYFUNCTION("""COMPUTED_VALUE"""),20.0)</f>
        <v>20</v>
      </c>
      <c r="F899" s="4" t="str">
        <f>IFERROR(__xludf.DUMMYFUNCTION("""COMPUTED_VALUE"""),"Digikey")</f>
        <v>Digikey</v>
      </c>
      <c r="G899" s="4" t="str">
        <f>IFERROR(__xludf.DUMMYFUNCTION("""COMPUTED_VALUE"""),"541-10464-6-ND")</f>
        <v>541-10464-6-ND</v>
      </c>
      <c r="H899" s="4"/>
      <c r="I899" s="4"/>
      <c r="J899" s="4"/>
      <c r="K899" s="4"/>
      <c r="L899" s="4"/>
      <c r="M899" s="4"/>
      <c r="N899" s="9" t="str">
        <f>IFERROR(__xludf.DUMMYFUNCTION("""COMPUTED_VALUE"""),"OEPS080035")</f>
        <v>OEPS080035</v>
      </c>
      <c r="O899" s="4" t="str">
        <f>IFERROR(__xludf.DUMMYFUNCTION("""COMPUTED_VALUE"""),"MCP73831T-2ATI/OT")</f>
        <v>MCP73831T-2ATI/OT</v>
      </c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</row>
    <row r="900">
      <c r="A900" s="4" t="str">
        <f>IFERROR(__xludf.DUMMYFUNCTION("""COMPUTED_VALUE"""),"RESISTOR:   SMD 0603 3.57kΩ ±0.1% 0.100W   [RT0603BRD073K57L] [SMD]")</f>
        <v>RESISTOR:   SMD 0603 3.57kΩ ±0.1% 0.100W   [RT0603BRD073K57L] [SMD]</v>
      </c>
      <c r="B900" s="4" t="str">
        <f>IFERROR(__xludf.DUMMYFUNCTION("""COMPUTED_VALUE"""),"OEPS020186")</f>
        <v>OEPS020186</v>
      </c>
      <c r="C900" s="4" t="str">
        <f>IFERROR(__xludf.DUMMYFUNCTION("""COMPUTED_VALUE"""),"SMD")</f>
        <v>SMD</v>
      </c>
      <c r="D900" s="4" t="str">
        <f>IFERROR(__xludf.DUMMYFUNCTION("""COMPUTED_VALUE"""),"RT0603BRD073K57L")</f>
        <v>RT0603BRD073K57L</v>
      </c>
      <c r="E900" s="4">
        <f>IFERROR(__xludf.DUMMYFUNCTION("""COMPUTED_VALUE"""),30.0)</f>
        <v>30</v>
      </c>
      <c r="F900" s="4" t="str">
        <f>IFERROR(__xludf.DUMMYFUNCTION("""COMPUTED_VALUE"""),"DigiKey")</f>
        <v>DigiKey</v>
      </c>
      <c r="G900" s="4" t="str">
        <f>IFERROR(__xludf.DUMMYFUNCTION("""COMPUTED_VALUE"""),"YAG1654DKR-ND")</f>
        <v>YAG1654DKR-ND</v>
      </c>
      <c r="H900" s="4"/>
      <c r="I900" s="4"/>
      <c r="J900" s="4"/>
      <c r="K900" s="4"/>
      <c r="L900" s="4"/>
      <c r="M900" s="4"/>
      <c r="N900" s="9" t="str">
        <f>IFERROR(__xludf.DUMMYFUNCTION("""COMPUTED_VALUE"""),"OEPS080036")</f>
        <v>OEPS080036</v>
      </c>
      <c r="O900" s="4" t="str">
        <f>IFERROR(__xludf.DUMMYFUNCTION("""COMPUTED_VALUE"""),"M74VHC1GT04DTT1G")</f>
        <v>M74VHC1GT04DTT1G</v>
      </c>
      <c r="P900" s="4" t="str">
        <f>IFERROR(__xludf.DUMMYFUNCTION("""COMPUTED_VALUE"""),"6(Tp) ")</f>
        <v>6(Tp) </v>
      </c>
      <c r="Q900" s="4">
        <f>IFERROR(__xludf.DUMMYFUNCTION("""COMPUTED_VALUE"""),6.0)</f>
        <v>6</v>
      </c>
      <c r="R900" s="4">
        <f>IFERROR(__xludf.DUMMYFUNCTION("""COMPUTED_VALUE"""),6.0)</f>
        <v>6</v>
      </c>
      <c r="S900" s="4" t="str">
        <f>IFERROR(__xludf.DUMMYFUNCTION("""COMPUTED_VALUE"""),"Tape")</f>
        <v>Tape</v>
      </c>
      <c r="T900" s="4" t="str">
        <f>IFERROR(__xludf.DUMMYFUNCTION("""COMPUTED_VALUE"""),"1022")</f>
        <v>1022</v>
      </c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</row>
    <row r="901">
      <c r="A901" s="4" t="str">
        <f>IFERROR(__xludf.DUMMYFUNCTION("""COMPUTED_VALUE"""),"RESISTOR:   SMD 0603 3.57kΩ ±1% 0.100W (OEPS J30 022)   [RC0603FR-073K57L] [SMD]")</f>
        <v>RESISTOR:   SMD 0603 3.57kΩ ±1% 0.100W (OEPS J30 022)   [RC0603FR-073K57L] [SMD]</v>
      </c>
      <c r="B901" s="4" t="str">
        <f>IFERROR(__xludf.DUMMYFUNCTION("""COMPUTED_VALUE"""),"OEPS020146")</f>
        <v>OEPS020146</v>
      </c>
      <c r="C901" s="4" t="str">
        <f>IFERROR(__xludf.DUMMYFUNCTION("""COMPUTED_VALUE"""),"SMD")</f>
        <v>SMD</v>
      </c>
      <c r="D901" s="4" t="str">
        <f>IFERROR(__xludf.DUMMYFUNCTION("""COMPUTED_VALUE"""),"RC0603FR-073K57L")</f>
        <v>RC0603FR-073K57L</v>
      </c>
      <c r="E901" s="4">
        <f>IFERROR(__xludf.DUMMYFUNCTION("""COMPUTED_VALUE"""),30.0)</f>
        <v>30</v>
      </c>
      <c r="F901" s="4" t="str">
        <f>IFERROR(__xludf.DUMMYFUNCTION("""COMPUTED_VALUE"""),"Digikey")</f>
        <v>Digikey</v>
      </c>
      <c r="G901" s="4" t="str">
        <f>IFERROR(__xludf.DUMMYFUNCTION("""COMPUTED_VALUE"""),"311-3.57KHRDKR-ND")</f>
        <v>311-3.57KHRDKR-ND</v>
      </c>
      <c r="H901" s="4"/>
      <c r="I901" s="4"/>
      <c r="J901" s="4"/>
      <c r="K901" s="4"/>
      <c r="L901" s="4"/>
      <c r="M901" s="4"/>
      <c r="N901" s="9" t="str">
        <f>IFERROR(__xludf.DUMMYFUNCTION("""COMPUTED_VALUE"""),"OEPS080037")</f>
        <v>OEPS080037</v>
      </c>
      <c r="O901" s="4" t="str">
        <f>IFERROR(__xludf.DUMMYFUNCTION("""COMPUTED_VALUE"""),"M74VHC1GT14DTT1G")</f>
        <v>M74VHC1GT14DTT1G</v>
      </c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</row>
    <row r="902">
      <c r="A902" s="4" t="str">
        <f>IFERROR(__xludf.DUMMYFUNCTION("""COMPUTED_VALUE"""),"RESISTOR:   SMD 0603 3.83kΩ ±1% 0.100W   [RC0603FR-073K83L] [SMD]")</f>
        <v>RESISTOR:   SMD 0603 3.83kΩ ±1% 0.100W   [RC0603FR-073K83L] [SMD]</v>
      </c>
      <c r="B902" s="4" t="str">
        <f>IFERROR(__xludf.DUMMYFUNCTION("""COMPUTED_VALUE"""),"OEPS020097")</f>
        <v>OEPS020097</v>
      </c>
      <c r="C902" s="4" t="str">
        <f>IFERROR(__xludf.DUMMYFUNCTION("""COMPUTED_VALUE"""),"SMD")</f>
        <v>SMD</v>
      </c>
      <c r="D902" s="4" t="str">
        <f>IFERROR(__xludf.DUMMYFUNCTION("""COMPUTED_VALUE"""),"RC0603FR-073K83L")</f>
        <v>RC0603FR-073K83L</v>
      </c>
      <c r="E902" s="4">
        <f>IFERROR(__xludf.DUMMYFUNCTION("""COMPUTED_VALUE"""),30.0)</f>
        <v>30</v>
      </c>
      <c r="F902" s="4" t="str">
        <f>IFERROR(__xludf.DUMMYFUNCTION("""COMPUTED_VALUE"""),"DigiKey")</f>
        <v>DigiKey</v>
      </c>
      <c r="G902" s="4" t="str">
        <f>IFERROR(__xludf.DUMMYFUNCTION("""COMPUTED_VALUE"""),"311-3.83KHRDKR-ND")</f>
        <v>311-3.83KHRDKR-ND</v>
      </c>
      <c r="H902" s="4"/>
      <c r="I902" s="4"/>
      <c r="J902" s="4"/>
      <c r="K902" s="4"/>
      <c r="L902" s="4"/>
      <c r="M902" s="4"/>
      <c r="N902" s="9" t="str">
        <f>IFERROR(__xludf.DUMMYFUNCTION("""COMPUTED_VALUE"""),"OEPS080038")</f>
        <v>OEPS080038</v>
      </c>
      <c r="O902" s="4" t="str">
        <f>IFERROR(__xludf.DUMMYFUNCTION("""COMPUTED_VALUE"""),"THS4281DBVT")</f>
        <v>THS4281DBVT</v>
      </c>
      <c r="P902" s="4" t="str">
        <f>IFERROR(__xludf.DUMMYFUNCTION("""COMPUTED_VALUE"""),"4(Tp) 5(Tp) 1 ")</f>
        <v>4(Tp) 5(Tp) 1 </v>
      </c>
      <c r="Q902" s="4">
        <f>IFERROR(__xludf.DUMMYFUNCTION("""COMPUTED_VALUE"""),10.0)</f>
        <v>10</v>
      </c>
      <c r="R902" s="4"/>
      <c r="S902" s="4"/>
      <c r="T902" s="4"/>
      <c r="U902" s="4">
        <f>IFERROR(__xludf.DUMMYFUNCTION("""COMPUTED_VALUE"""),4.0)</f>
        <v>4</v>
      </c>
      <c r="V902" s="4" t="str">
        <f>IFERROR(__xludf.DUMMYFUNCTION("""COMPUTED_VALUE"""),"Tape")</f>
        <v>Tape</v>
      </c>
      <c r="W902" s="4" t="str">
        <f>IFERROR(__xludf.DUMMYFUNCTION("""COMPUTED_VALUE"""),"0625")</f>
        <v>0625</v>
      </c>
      <c r="X902" s="4">
        <f>IFERROR(__xludf.DUMMYFUNCTION("""COMPUTED_VALUE"""),5.0)</f>
        <v>5</v>
      </c>
      <c r="Y902" s="4" t="str">
        <f>IFERROR(__xludf.DUMMYFUNCTION("""COMPUTED_VALUE"""),"Tape")</f>
        <v>Tape</v>
      </c>
      <c r="Z902" s="4" t="str">
        <f>IFERROR(__xludf.DUMMYFUNCTION("""COMPUTED_VALUE"""),"0325")</f>
        <v>0325</v>
      </c>
      <c r="AA902" s="4">
        <f>IFERROR(__xludf.DUMMYFUNCTION("""COMPUTED_VALUE"""),1.0)</f>
        <v>1</v>
      </c>
      <c r="AB902" s="4" t="str">
        <f>IFERROR(__xludf.DUMMYFUNCTION("""COMPUTED_VALUE"""),"Bag")</f>
        <v>Bag</v>
      </c>
      <c r="AC902" s="4" t="str">
        <f>IFERROR(__xludf.DUMMYFUNCTION("""COMPUTED_VALUE"""),"0126")</f>
        <v>0126</v>
      </c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</row>
    <row r="903">
      <c r="A903" s="4" t="str">
        <f>IFERROR(__xludf.DUMMYFUNCTION("""COMPUTED_VALUE"""),"RESISTOR:   SMD 0603 30.1kΩ ±1% 0.100W   [RC0603FR-0730K1L] [SMD]")</f>
        <v>RESISTOR:   SMD 0603 30.1kΩ ±1% 0.100W   [RC0603FR-0730K1L] [SMD]</v>
      </c>
      <c r="B903" s="4" t="str">
        <f>IFERROR(__xludf.DUMMYFUNCTION("""COMPUTED_VALUE"""),"OEPS020132")</f>
        <v>OEPS020132</v>
      </c>
      <c r="C903" s="4" t="str">
        <f>IFERROR(__xludf.DUMMYFUNCTION("""COMPUTED_VALUE"""),"SMD")</f>
        <v>SMD</v>
      </c>
      <c r="D903" s="4" t="str">
        <f>IFERROR(__xludf.DUMMYFUNCTION("""COMPUTED_VALUE"""),"RC0603FR-0730K1L")</f>
        <v>RC0603FR-0730K1L</v>
      </c>
      <c r="E903" s="4">
        <f>IFERROR(__xludf.DUMMYFUNCTION("""COMPUTED_VALUE"""),30.0)</f>
        <v>30</v>
      </c>
      <c r="F903" s="4" t="str">
        <f>IFERROR(__xludf.DUMMYFUNCTION("""COMPUTED_VALUE"""),"Digikey")</f>
        <v>Digikey</v>
      </c>
      <c r="G903" s="4" t="str">
        <f>IFERROR(__xludf.DUMMYFUNCTION("""COMPUTED_VALUE"""),"311-30.1KHRDKR-ND")</f>
        <v>311-30.1KHRDKR-ND</v>
      </c>
      <c r="H903" s="4"/>
      <c r="I903" s="4"/>
      <c r="J903" s="4"/>
      <c r="K903" s="4"/>
      <c r="L903" s="4"/>
      <c r="M903" s="4"/>
      <c r="N903" s="9" t="str">
        <f>IFERROR(__xludf.DUMMYFUNCTION("""COMPUTED_VALUE"""),"OEPS080040")</f>
        <v>OEPS080040</v>
      </c>
      <c r="O903" s="4" t="str">
        <f>IFERROR(__xludf.DUMMYFUNCTION("""COMPUTED_VALUE"""),"DSC6101JE1A-000.0000")</f>
        <v>DSC6101JE1A-000.0000</v>
      </c>
      <c r="P903" s="4" t="str">
        <f>IFERROR(__xludf.DUMMYFUNCTION("""COMPUTED_VALUE"""),"55(Tb) ")</f>
        <v>55(Tb) </v>
      </c>
      <c r="Q903" s="4">
        <f>IFERROR(__xludf.DUMMYFUNCTION("""COMPUTED_VALUE"""),55.0)</f>
        <v>55</v>
      </c>
      <c r="R903" s="4">
        <f>IFERROR(__xludf.DUMMYFUNCTION("""COMPUTED_VALUE"""),55.0)</f>
        <v>55</v>
      </c>
      <c r="S903" s="4" t="str">
        <f>IFERROR(__xludf.DUMMYFUNCTION("""COMPUTED_VALUE"""),"Tube")</f>
        <v>Tube</v>
      </c>
      <c r="T903" s="4" t="str">
        <f>IFERROR(__xludf.DUMMYFUNCTION("""COMPUTED_VALUE"""),"0922")</f>
        <v>0922</v>
      </c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</row>
    <row r="904">
      <c r="A904" s="4" t="str">
        <f>IFERROR(__xludf.DUMMYFUNCTION("""COMPUTED_VALUE"""),"RESISTOR:   SMD 0603 30.9kΩ ±1% 0.100W   [ERJ-3EKF3092V] [SMD]")</f>
        <v>RESISTOR:   SMD 0603 30.9kΩ ±1% 0.100W   [ERJ-3EKF3092V] [SMD]</v>
      </c>
      <c r="B904" s="4" t="str">
        <f>IFERROR(__xludf.DUMMYFUNCTION("""COMPUTED_VALUE"""),"OEPS020130")</f>
        <v>OEPS020130</v>
      </c>
      <c r="C904" s="4" t="str">
        <f>IFERROR(__xludf.DUMMYFUNCTION("""COMPUTED_VALUE"""),"SMD")</f>
        <v>SMD</v>
      </c>
      <c r="D904" s="4" t="str">
        <f>IFERROR(__xludf.DUMMYFUNCTION("""COMPUTED_VALUE"""),"ERJ-3EKF3092V")</f>
        <v>ERJ-3EKF3092V</v>
      </c>
      <c r="E904" s="4">
        <f>IFERROR(__xludf.DUMMYFUNCTION("""COMPUTED_VALUE"""),30.0)</f>
        <v>30</v>
      </c>
      <c r="F904" s="4" t="str">
        <f>IFERROR(__xludf.DUMMYFUNCTION("""COMPUTED_VALUE"""),"Digikey")</f>
        <v>Digikey</v>
      </c>
      <c r="G904" s="4" t="str">
        <f>IFERROR(__xludf.DUMMYFUNCTION("""COMPUTED_VALUE"""),"P30.9KHDKR-ND")</f>
        <v>P30.9KHDKR-ND</v>
      </c>
      <c r="H904" s="4"/>
      <c r="I904" s="4"/>
      <c r="J904" s="4"/>
      <c r="K904" s="4"/>
      <c r="L904" s="4"/>
      <c r="M904" s="4"/>
      <c r="N904" s="9" t="str">
        <f>IFERROR(__xludf.DUMMYFUNCTION("""COMPUTED_VALUE"""),"OEPS080041")</f>
        <v>OEPS080041</v>
      </c>
      <c r="O904" s="4" t="str">
        <f>IFERROR(__xludf.DUMMYFUNCTION("""COMPUTED_VALUE"""),"NCP718BSN500T1G")</f>
        <v>NCP718BSN500T1G</v>
      </c>
      <c r="P904" s="4" t="str">
        <f>IFERROR(__xludf.DUMMYFUNCTION("""COMPUTED_VALUE"""),"3(Tp) 3(Tp) ")</f>
        <v>3(Tp) 3(Tp) </v>
      </c>
      <c r="Q904" s="4">
        <f>IFERROR(__xludf.DUMMYFUNCTION("""COMPUTED_VALUE"""),6.0)</f>
        <v>6</v>
      </c>
      <c r="R904" s="4">
        <f>IFERROR(__xludf.DUMMYFUNCTION("""COMPUTED_VALUE"""),3.0)</f>
        <v>3</v>
      </c>
      <c r="S904" s="4" t="str">
        <f>IFERROR(__xludf.DUMMYFUNCTION("""COMPUTED_VALUE"""),"Tape")</f>
        <v>Tape</v>
      </c>
      <c r="T904" s="4" t="str">
        <f>IFERROR(__xludf.DUMMYFUNCTION("""COMPUTED_VALUE"""),"XXXX")</f>
        <v>XXXX</v>
      </c>
      <c r="U904" s="4">
        <f>IFERROR(__xludf.DUMMYFUNCTION("""COMPUTED_VALUE"""),3.0)</f>
        <v>3</v>
      </c>
      <c r="V904" s="4" t="str">
        <f>IFERROR(__xludf.DUMMYFUNCTION("""COMPUTED_VALUE"""),"Tape")</f>
        <v>Tape</v>
      </c>
      <c r="W904" s="4" t="str">
        <f>IFERROR(__xludf.DUMMYFUNCTION("""COMPUTED_VALUE"""),"XXXX")</f>
        <v>XXXX</v>
      </c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</row>
    <row r="905">
      <c r="A905" s="4" t="str">
        <f>IFERROR(__xludf.DUMMYFUNCTION("""COMPUTED_VALUE"""),"RESISTOR:   SMD 0603 330Ω ±1% 0.100W   [CRCW0603330RFKEAC] [SMD]")</f>
        <v>RESISTOR:   SMD 0603 330Ω ±1% 0.100W   [CRCW0603330RFKEAC] [SMD]</v>
      </c>
      <c r="B905" s="4" t="str">
        <f>IFERROR(__xludf.DUMMYFUNCTION("""COMPUTED_VALUE"""),"OEPS020139")</f>
        <v>OEPS020139</v>
      </c>
      <c r="C905" s="4" t="str">
        <f>IFERROR(__xludf.DUMMYFUNCTION("""COMPUTED_VALUE"""),"SMD")</f>
        <v>SMD</v>
      </c>
      <c r="D905" s="4" t="str">
        <f>IFERROR(__xludf.DUMMYFUNCTION("""COMPUTED_VALUE"""),"CRCW0603330RFKEAC")</f>
        <v>CRCW0603330RFKEAC</v>
      </c>
      <c r="E905" s="4">
        <f>IFERROR(__xludf.DUMMYFUNCTION("""COMPUTED_VALUE"""),30.0)</f>
        <v>30</v>
      </c>
      <c r="F905" s="4" t="str">
        <f>IFERROR(__xludf.DUMMYFUNCTION("""COMPUTED_VALUE"""),"Digikey")</f>
        <v>Digikey</v>
      </c>
      <c r="G905" s="4" t="str">
        <f>IFERROR(__xludf.DUMMYFUNCTION("""COMPUTED_VALUE"""),"541-4026-6-ND")</f>
        <v>541-4026-6-ND</v>
      </c>
      <c r="H905" s="4"/>
      <c r="I905" s="4"/>
      <c r="J905" s="4"/>
      <c r="K905" s="4"/>
      <c r="L905" s="4"/>
      <c r="M905" s="4"/>
      <c r="N905" s="9" t="str">
        <f>IFERROR(__xludf.DUMMYFUNCTION("""COMPUTED_VALUE"""),"OEPS080042")</f>
        <v>OEPS080042</v>
      </c>
      <c r="O905" s="4" t="str">
        <f>IFERROR(__xludf.DUMMYFUNCTION("""COMPUTED_VALUE"""),"EN5322QI")</f>
        <v>EN5322QI</v>
      </c>
      <c r="P905" s="4" t="str">
        <f>IFERROR(__xludf.DUMMYFUNCTION("""COMPUTED_VALUE"""),"13 ")</f>
        <v>13 </v>
      </c>
      <c r="Q905" s="4">
        <f>IFERROR(__xludf.DUMMYFUNCTION("""COMPUTED_VALUE"""),13.0)</f>
        <v>13</v>
      </c>
      <c r="R905" s="4">
        <f>IFERROR(__xludf.DUMMYFUNCTION("""COMPUTED_VALUE"""),13.0)</f>
        <v>13</v>
      </c>
      <c r="S905" s="4" t="str">
        <f>IFERROR(__xludf.DUMMYFUNCTION("""COMPUTED_VALUE"""),"Bag")</f>
        <v>Bag</v>
      </c>
      <c r="T905" s="4" t="str">
        <f>IFERROR(__xludf.DUMMYFUNCTION("""COMPUTED_VALUE"""),"XXXX")</f>
        <v>XXXX</v>
      </c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</row>
    <row r="906">
      <c r="A906" s="4" t="str">
        <f>IFERROR(__xludf.DUMMYFUNCTION("""COMPUTED_VALUE"""),"RESISTOR:   SMD 0603 33Ω ±1% 0.100W (OEPS J30 014)   [RC0603FR-0733RL] [SMD]")</f>
        <v>RESISTOR:   SMD 0603 33Ω ±1% 0.100W (OEPS J30 014)   [RC0603FR-0733RL] [SMD]</v>
      </c>
      <c r="B906" s="4" t="str">
        <f>IFERROR(__xludf.DUMMYFUNCTION("""COMPUTED_VALUE"""),"OEPS020149")</f>
        <v>OEPS020149</v>
      </c>
      <c r="C906" s="4" t="str">
        <f>IFERROR(__xludf.DUMMYFUNCTION("""COMPUTED_VALUE"""),"SMD")</f>
        <v>SMD</v>
      </c>
      <c r="D906" s="4" t="str">
        <f>IFERROR(__xludf.DUMMYFUNCTION("""COMPUTED_VALUE"""),"RC0603FR-0733RL")</f>
        <v>RC0603FR-0733RL</v>
      </c>
      <c r="E906" s="4">
        <f>IFERROR(__xludf.DUMMYFUNCTION("""COMPUTED_VALUE"""),30.0)</f>
        <v>30</v>
      </c>
      <c r="F906" s="4" t="str">
        <f>IFERROR(__xludf.DUMMYFUNCTION("""COMPUTED_VALUE"""),"Digikey")</f>
        <v>Digikey</v>
      </c>
      <c r="G906" s="4" t="str">
        <f>IFERROR(__xludf.DUMMYFUNCTION("""COMPUTED_VALUE"""),"13-RC0603FR-0733RLDKR-ND")</f>
        <v>13-RC0603FR-0733RLDKR-ND</v>
      </c>
      <c r="H906" s="4"/>
      <c r="I906" s="4"/>
      <c r="J906" s="4"/>
      <c r="K906" s="4"/>
      <c r="L906" s="4"/>
      <c r="M906" s="4"/>
      <c r="N906" s="9" t="str">
        <f>IFERROR(__xludf.DUMMYFUNCTION("""COMPUTED_VALUE"""),"OEPS080043")</f>
        <v>OEPS080043</v>
      </c>
      <c r="O906" s="4" t="str">
        <f>IFERROR(__xludf.DUMMYFUNCTION("""COMPUTED_VALUE"""),"AD622ANZ")</f>
        <v>AD622ANZ</v>
      </c>
      <c r="P906" s="4" t="str">
        <f>IFERROR(__xludf.DUMMYFUNCTION("""COMPUTED_VALUE"""),"26(Tb) 34(Tb) ")</f>
        <v>26(Tb) 34(Tb) </v>
      </c>
      <c r="Q906" s="4">
        <f>IFERROR(__xludf.DUMMYFUNCTION("""COMPUTED_VALUE"""),60.0)</f>
        <v>60</v>
      </c>
      <c r="R906" s="4">
        <f>IFERROR(__xludf.DUMMYFUNCTION("""COMPUTED_VALUE"""),26.0)</f>
        <v>26</v>
      </c>
      <c r="S906" s="4" t="str">
        <f>IFERROR(__xludf.DUMMYFUNCTION("""COMPUTED_VALUE"""),"Tube")</f>
        <v>Tube</v>
      </c>
      <c r="T906" s="4" t="str">
        <f>IFERROR(__xludf.DUMMYFUNCTION("""COMPUTED_VALUE"""),"0322")</f>
        <v>0322</v>
      </c>
      <c r="U906" s="4">
        <f>IFERROR(__xludf.DUMMYFUNCTION("""COMPUTED_VALUE"""),34.0)</f>
        <v>34</v>
      </c>
      <c r="V906" s="4" t="str">
        <f>IFERROR(__xludf.DUMMYFUNCTION("""COMPUTED_VALUE"""),"Tube")</f>
        <v>Tube</v>
      </c>
      <c r="W906" s="4" t="str">
        <f>IFERROR(__xludf.DUMMYFUNCTION("""COMPUTED_VALUE"""),"0823")</f>
        <v>0823</v>
      </c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</row>
    <row r="907">
      <c r="A907" s="4" t="str">
        <f>IFERROR(__xludf.DUMMYFUNCTION("""COMPUTED_VALUE"""),"RESISTOR:   SMD 0603 360Ω ±0.1% 0.100W   [RG1608P-361-B-T5] [SMD]")</f>
        <v>RESISTOR:   SMD 0603 360Ω ±0.1% 0.100W   [RG1608P-361-B-T5] [SMD]</v>
      </c>
      <c r="B907" s="4" t="str">
        <f>IFERROR(__xludf.DUMMYFUNCTION("""COMPUTED_VALUE"""),"OEPS020231")</f>
        <v>OEPS020231</v>
      </c>
      <c r="C907" s="4" t="str">
        <f>IFERROR(__xludf.DUMMYFUNCTION("""COMPUTED_VALUE"""),"SMD")</f>
        <v>SMD</v>
      </c>
      <c r="D907" s="4" t="str">
        <f>IFERROR(__xludf.DUMMYFUNCTION("""COMPUTED_VALUE"""),"RG1608P-361-B-T5")</f>
        <v>RG1608P-361-B-T5</v>
      </c>
      <c r="E907" s="4">
        <f>IFERROR(__xludf.DUMMYFUNCTION("""COMPUTED_VALUE"""),20.0)</f>
        <v>20</v>
      </c>
      <c r="F907" s="4" t="str">
        <f>IFERROR(__xludf.DUMMYFUNCTION("""COMPUTED_VALUE"""),"Digikey")</f>
        <v>Digikey</v>
      </c>
      <c r="G907" s="4" t="str">
        <f>IFERROR(__xludf.DUMMYFUNCTION("""COMPUTED_VALUE"""),"RG16P360BDKR-ND")</f>
        <v>RG16P360BDKR-ND</v>
      </c>
      <c r="H907" s="4"/>
      <c r="I907" s="4"/>
      <c r="J907" s="4"/>
      <c r="K907" s="4"/>
      <c r="L907" s="4"/>
      <c r="M907" s="4"/>
      <c r="N907" s="9" t="str">
        <f>IFERROR(__xludf.DUMMYFUNCTION("""COMPUTED_VALUE"""),"OEPS080044")</f>
        <v>OEPS080044</v>
      </c>
      <c r="O907" s="4" t="str">
        <f>IFERROR(__xludf.DUMMYFUNCTION("""COMPUTED_VALUE"""),"AS358P-E1")</f>
        <v>AS358P-E1</v>
      </c>
      <c r="P907" s="4" t="str">
        <f>IFERROR(__xludf.DUMMYFUNCTION("""COMPUTED_VALUE"""),"8(Tb) 26(Tb) 32(Tb) ")</f>
        <v>8(Tb) 26(Tb) 32(Tb) </v>
      </c>
      <c r="Q907" s="4">
        <f>IFERROR(__xludf.DUMMYFUNCTION("""COMPUTED_VALUE"""),66.0)</f>
        <v>66</v>
      </c>
      <c r="R907" s="4">
        <f>IFERROR(__xludf.DUMMYFUNCTION("""COMPUTED_VALUE"""),8.0)</f>
        <v>8</v>
      </c>
      <c r="S907" s="4" t="str">
        <f>IFERROR(__xludf.DUMMYFUNCTION("""COMPUTED_VALUE"""),"Tube")</f>
        <v>Tube</v>
      </c>
      <c r="T907" s="4" t="str">
        <f>IFERROR(__xludf.DUMMYFUNCTION("""COMPUTED_VALUE"""),"0921")</f>
        <v>0921</v>
      </c>
      <c r="U907" s="4">
        <f>IFERROR(__xludf.DUMMYFUNCTION("""COMPUTED_VALUE"""),26.0)</f>
        <v>26</v>
      </c>
      <c r="V907" s="4" t="str">
        <f>IFERROR(__xludf.DUMMYFUNCTION("""COMPUTED_VALUE"""),"Tube")</f>
        <v>Tube</v>
      </c>
      <c r="W907" s="4" t="str">
        <f>IFERROR(__xludf.DUMMYFUNCTION("""COMPUTED_VALUE"""),"0322")</f>
        <v>0322</v>
      </c>
      <c r="X907" s="4">
        <f>IFERROR(__xludf.DUMMYFUNCTION("""COMPUTED_VALUE"""),32.0)</f>
        <v>32</v>
      </c>
      <c r="Y907" s="4" t="str">
        <f>IFERROR(__xludf.DUMMYFUNCTION("""COMPUTED_VALUE"""),"Tube")</f>
        <v>Tube</v>
      </c>
      <c r="Z907" s="4" t="str">
        <f>IFERROR(__xludf.DUMMYFUNCTION("""COMPUTED_VALUE"""),"0823")</f>
        <v>0823</v>
      </c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</row>
    <row r="908">
      <c r="A908" s="4" t="str">
        <f>IFERROR(__xludf.DUMMYFUNCTION("""COMPUTED_VALUE"""),"RESISTOR:   SMD 0603 3kΩ ±0.1% 0.100W   [RG1608P-302-B-T5] [SMD]")</f>
        <v>RESISTOR:   SMD 0603 3kΩ ±0.1% 0.100W   [RG1608P-302-B-T5] [SMD]</v>
      </c>
      <c r="B908" s="4" t="str">
        <f>IFERROR(__xludf.DUMMYFUNCTION("""COMPUTED_VALUE"""),"OEPS020234")</f>
        <v>OEPS020234</v>
      </c>
      <c r="C908" s="4" t="str">
        <f>IFERROR(__xludf.DUMMYFUNCTION("""COMPUTED_VALUE"""),"SMD")</f>
        <v>SMD</v>
      </c>
      <c r="D908" s="4" t="str">
        <f>IFERROR(__xludf.DUMMYFUNCTION("""COMPUTED_VALUE"""),"RG1608P-302-B-T5")</f>
        <v>RG1608P-302-B-T5</v>
      </c>
      <c r="E908" s="4">
        <f>IFERROR(__xludf.DUMMYFUNCTION("""COMPUTED_VALUE"""),20.0)</f>
        <v>20</v>
      </c>
      <c r="F908" s="4" t="str">
        <f>IFERROR(__xludf.DUMMYFUNCTION("""COMPUTED_VALUE"""),"Digikey")</f>
        <v>Digikey</v>
      </c>
      <c r="G908" s="4" t="str">
        <f>IFERROR(__xludf.DUMMYFUNCTION("""COMPUTED_VALUE"""),"RG16P3.0KBDKR-ND")</f>
        <v>RG16P3.0KBDKR-ND</v>
      </c>
      <c r="H908" s="4"/>
      <c r="I908" s="4"/>
      <c r="J908" s="4"/>
      <c r="K908" s="4"/>
      <c r="L908" s="4"/>
      <c r="M908" s="4"/>
      <c r="N908" s="9" t="str">
        <f>IFERROR(__xludf.DUMMYFUNCTION("""COMPUTED_VALUE"""),"OEPS080045")</f>
        <v>OEPS080045</v>
      </c>
      <c r="O908" s="4" t="str">
        <f>IFERROR(__xludf.DUMMYFUNCTION("""COMPUTED_VALUE"""),"MIC5335-JGYMT")</f>
        <v>MIC5335-JGYMT</v>
      </c>
      <c r="P908" s="4" t="str">
        <f>IFERROR(__xludf.DUMMYFUNCTION("""COMPUTED_VALUE"""),"421(R) ")</f>
        <v>421(R) </v>
      </c>
      <c r="Q908" s="4">
        <f>IFERROR(__xludf.DUMMYFUNCTION("""COMPUTED_VALUE"""),421.0)</f>
        <v>421</v>
      </c>
      <c r="R908" s="4">
        <f>IFERROR(__xludf.DUMMYFUNCTION("""COMPUTED_VALUE"""),421.0)</f>
        <v>421</v>
      </c>
      <c r="S908" s="4" t="str">
        <f>IFERROR(__xludf.DUMMYFUNCTION("""COMPUTED_VALUE"""),"Reel")</f>
        <v>Reel</v>
      </c>
      <c r="T908" s="4" t="str">
        <f>IFERROR(__xludf.DUMMYFUNCTION("""COMPUTED_VALUE"""),"1124")</f>
        <v>1124</v>
      </c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</row>
    <row r="909">
      <c r="A909" s="4" t="str">
        <f>IFERROR(__xludf.DUMMYFUNCTION("""COMPUTED_VALUE"""),"RESISTOR:   SMD 0603 4.3kΩ ±5% 0.100W   [ERJ-3GEYJ432V] [SMD]")</f>
        <v>RESISTOR:   SMD 0603 4.3kΩ ±5% 0.100W   [ERJ-3GEYJ432V] [SMD]</v>
      </c>
      <c r="B909" s="4" t="str">
        <f>IFERROR(__xludf.DUMMYFUNCTION("""COMPUTED_VALUE"""),"OEPS020036")</f>
        <v>OEPS020036</v>
      </c>
      <c r="C909" s="4" t="str">
        <f>IFERROR(__xludf.DUMMYFUNCTION("""COMPUTED_VALUE"""),"SMD")</f>
        <v>SMD</v>
      </c>
      <c r="D909" s="4" t="str">
        <f>IFERROR(__xludf.DUMMYFUNCTION("""COMPUTED_VALUE"""),"ERJ-3GEYJ432V")</f>
        <v>ERJ-3GEYJ432V</v>
      </c>
      <c r="E909" s="4">
        <f>IFERROR(__xludf.DUMMYFUNCTION("""COMPUTED_VALUE"""),25.0)</f>
        <v>25</v>
      </c>
      <c r="F909" s="4" t="str">
        <f>IFERROR(__xludf.DUMMYFUNCTION("""COMPUTED_VALUE"""),"DigiKey")</f>
        <v>DigiKey</v>
      </c>
      <c r="G909" s="4" t="str">
        <f>IFERROR(__xludf.DUMMYFUNCTION("""COMPUTED_VALUE"""),"P4.3KGDKR-ND")</f>
        <v>P4.3KGDKR-ND</v>
      </c>
      <c r="H909" s="4"/>
      <c r="I909" s="4"/>
      <c r="J909" s="4"/>
      <c r="K909" s="4"/>
      <c r="L909" s="4"/>
      <c r="M909" s="4"/>
      <c r="N909" s="9" t="str">
        <f>IFERROR(__xludf.DUMMYFUNCTION("""COMPUTED_VALUE"""),"OEPS080048")</f>
        <v>OEPS080048</v>
      </c>
      <c r="O909" s="4" t="str">
        <f>IFERROR(__xludf.DUMMYFUNCTION("""COMPUTED_VALUE"""),"MAX40111ANT+")</f>
        <v>MAX40111ANT+</v>
      </c>
      <c r="P909" s="4" t="str">
        <f>IFERROR(__xludf.DUMMYFUNCTION("""COMPUTED_VALUE"""),"8(Tp) ")</f>
        <v>8(Tp) </v>
      </c>
      <c r="Q909" s="4">
        <f>IFERROR(__xludf.DUMMYFUNCTION("""COMPUTED_VALUE"""),8.0)</f>
        <v>8</v>
      </c>
      <c r="R909" s="4">
        <f>IFERROR(__xludf.DUMMYFUNCTION("""COMPUTED_VALUE"""),8.0)</f>
        <v>8</v>
      </c>
      <c r="S909" s="4" t="str">
        <f>IFERROR(__xludf.DUMMYFUNCTION("""COMPUTED_VALUE"""),"Tape")</f>
        <v>Tape</v>
      </c>
      <c r="T909" s="4" t="str">
        <f>IFERROR(__xludf.DUMMYFUNCTION("""COMPUTED_VALUE"""),"0923")</f>
        <v>0923</v>
      </c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</row>
    <row r="910">
      <c r="A910" s="4" t="str">
        <f>IFERROR(__xludf.DUMMYFUNCTION("""COMPUTED_VALUE"""),"RESISTOR:   SMD 0603 4.7kΩ ±1% 0.100W   [RC0603FR-074K7L] [SMD]")</f>
        <v>RESISTOR:   SMD 0603 4.7kΩ ±1% 0.100W   [RC0603FR-074K7L] [SMD]</v>
      </c>
      <c r="B910" s="4" t="str">
        <f>IFERROR(__xludf.DUMMYFUNCTION("""COMPUTED_VALUE"""),"OEPS020236")</f>
        <v>OEPS020236</v>
      </c>
      <c r="C910" s="4" t="str">
        <f>IFERROR(__xludf.DUMMYFUNCTION("""COMPUTED_VALUE"""),"SMD")</f>
        <v>SMD</v>
      </c>
      <c r="D910" s="4" t="str">
        <f>IFERROR(__xludf.DUMMYFUNCTION("""COMPUTED_VALUE"""),"RC0603FR-074K7L")</f>
        <v>RC0603FR-074K7L</v>
      </c>
      <c r="E910" s="4">
        <f>IFERROR(__xludf.DUMMYFUNCTION("""COMPUTED_VALUE"""),20.0)</f>
        <v>20</v>
      </c>
      <c r="F910" s="4" t="str">
        <f>IFERROR(__xludf.DUMMYFUNCTION("""COMPUTED_VALUE"""),"Digikey")</f>
        <v>Digikey</v>
      </c>
      <c r="G910" s="4" t="str">
        <f>IFERROR(__xludf.DUMMYFUNCTION("""COMPUTED_VALUE"""),"311-4.70KHRDKR-ND")</f>
        <v>311-4.70KHRDKR-ND</v>
      </c>
      <c r="H910" s="4"/>
      <c r="I910" s="4"/>
      <c r="J910" s="4"/>
      <c r="K910" s="4"/>
      <c r="L910" s="4"/>
      <c r="M910" s="4"/>
      <c r="N910" s="9" t="str">
        <f>IFERROR(__xludf.DUMMYFUNCTION("""COMPUTED_VALUE"""),"OEPS080049")</f>
        <v>OEPS080049</v>
      </c>
      <c r="O910" s="4" t="str">
        <f>IFERROR(__xludf.DUMMYFUNCTION("""COMPUTED_VALUE"""),"DSC6101MA3B-PROGT ")</f>
        <v>DSC6101MA3B-PROGT </v>
      </c>
      <c r="P910" s="4" t="str">
        <f>IFERROR(__xludf.DUMMYFUNCTION("""COMPUTED_VALUE"""),"6 139(Tp) ")</f>
        <v>6 139(Tp) </v>
      </c>
      <c r="Q910" s="4">
        <f>IFERROR(__xludf.DUMMYFUNCTION("""COMPUTED_VALUE"""),145.0)</f>
        <v>145</v>
      </c>
      <c r="R910" s="4">
        <f>IFERROR(__xludf.DUMMYFUNCTION("""COMPUTED_VALUE"""),6.0)</f>
        <v>6</v>
      </c>
      <c r="S910" s="4" t="str">
        <f>IFERROR(__xludf.DUMMYFUNCTION("""COMPUTED_VALUE"""),"Bag")</f>
        <v>Bag</v>
      </c>
      <c r="T910" s="4" t="str">
        <f>IFERROR(__xludf.DUMMYFUNCTION("""COMPUTED_VALUE"""),"0923")</f>
        <v>0923</v>
      </c>
      <c r="U910" s="4">
        <f>IFERROR(__xludf.DUMMYFUNCTION("""COMPUTED_VALUE"""),139.0)</f>
        <v>139</v>
      </c>
      <c r="V910" s="4" t="str">
        <f>IFERROR(__xludf.DUMMYFUNCTION("""COMPUTED_VALUE"""),"Tape")</f>
        <v>Tape</v>
      </c>
      <c r="W910" s="4" t="str">
        <f>IFERROR(__xludf.DUMMYFUNCTION("""COMPUTED_VALUE"""),"1023")</f>
        <v>1023</v>
      </c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</row>
    <row r="911">
      <c r="A911" s="4" t="str">
        <f>IFERROR(__xludf.DUMMYFUNCTION("""COMPUTED_VALUE"""),"RESISTOR:   SMD 0603 4.7MΩ ±1% 0.100W   [RC0603FR-074M7L] [SMD]")</f>
        <v>RESISTOR:   SMD 0603 4.7MΩ ±1% 0.100W   [RC0603FR-074M7L] [SMD]</v>
      </c>
      <c r="B911" s="4" t="str">
        <f>IFERROR(__xludf.DUMMYFUNCTION("""COMPUTED_VALUE"""),"OEPS020184")</f>
        <v>OEPS020184</v>
      </c>
      <c r="C911" s="4" t="str">
        <f>IFERROR(__xludf.DUMMYFUNCTION("""COMPUTED_VALUE"""),"SMD")</f>
        <v>SMD</v>
      </c>
      <c r="D911" s="4" t="str">
        <f>IFERROR(__xludf.DUMMYFUNCTION("""COMPUTED_VALUE"""),"RC0603FR-074M7L")</f>
        <v>RC0603FR-074M7L</v>
      </c>
      <c r="E911" s="4">
        <f>IFERROR(__xludf.DUMMYFUNCTION("""COMPUTED_VALUE"""),20.0)</f>
        <v>20</v>
      </c>
      <c r="F911" s="4" t="str">
        <f>IFERROR(__xludf.DUMMYFUNCTION("""COMPUTED_VALUE"""),"Digikey")</f>
        <v>Digikey</v>
      </c>
      <c r="G911" s="4" t="str">
        <f>IFERROR(__xludf.DUMMYFUNCTION("""COMPUTED_VALUE"""),"311-4.70MHRDKR-ND")</f>
        <v>311-4.70MHRDKR-ND</v>
      </c>
      <c r="H911" s="4"/>
      <c r="I911" s="4"/>
      <c r="J911" s="4"/>
      <c r="K911" s="4"/>
      <c r="L911" s="4"/>
      <c r="M911" s="4"/>
      <c r="N911" s="9" t="str">
        <f>IFERROR(__xludf.DUMMYFUNCTION("""COMPUTED_VALUE"""),"OEPS080050")</f>
        <v>OEPS080050</v>
      </c>
      <c r="O911" s="4" t="str">
        <f>IFERROR(__xludf.DUMMYFUNCTION("""COMPUTED_VALUE"""),"M24C64-FCS6TP/K")</f>
        <v>M24C64-FCS6TP/K</v>
      </c>
      <c r="P911" s="4" t="str">
        <f>IFERROR(__xludf.DUMMYFUNCTION("""COMPUTED_VALUE"""),"10(R) 10(Tp) ")</f>
        <v>10(R) 10(Tp) </v>
      </c>
      <c r="Q911" s="4">
        <f>IFERROR(__xludf.DUMMYFUNCTION("""COMPUTED_VALUE"""),20.0)</f>
        <v>20</v>
      </c>
      <c r="R911" s="4">
        <f>IFERROR(__xludf.DUMMYFUNCTION("""COMPUTED_VALUE"""),10.0)</f>
        <v>10</v>
      </c>
      <c r="S911" s="4" t="str">
        <f>IFERROR(__xludf.DUMMYFUNCTION("""COMPUTED_VALUE"""),"Reel")</f>
        <v>Reel</v>
      </c>
      <c r="T911" s="4" t="str">
        <f>IFERROR(__xludf.DUMMYFUNCTION("""COMPUTED_VALUE"""),"0923")</f>
        <v>0923</v>
      </c>
      <c r="U911" s="4">
        <f>IFERROR(__xludf.DUMMYFUNCTION("""COMPUTED_VALUE"""),10.0)</f>
        <v>10</v>
      </c>
      <c r="V911" s="4" t="str">
        <f>IFERROR(__xludf.DUMMYFUNCTION("""COMPUTED_VALUE"""),"Tape")</f>
        <v>Tape</v>
      </c>
      <c r="W911" s="4" t="str">
        <f>IFERROR(__xludf.DUMMYFUNCTION("""COMPUTED_VALUE"""),"0923")</f>
        <v>0923</v>
      </c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</row>
    <row r="912">
      <c r="A912" s="4" t="str">
        <f>IFERROR(__xludf.DUMMYFUNCTION("""COMPUTED_VALUE"""),"RESISTOR:   SMD 0603 4.99kΩ ±0.1% 0.100W   [RG1608P-4991-B-T5] [SMD]")</f>
        <v>RESISTOR:   SMD 0603 4.99kΩ ±0.1% 0.100W   [RG1608P-4991-B-T5] [SMD]</v>
      </c>
      <c r="B912" s="4" t="str">
        <f>IFERROR(__xludf.DUMMYFUNCTION("""COMPUTED_VALUE"""),"OEPS020233")</f>
        <v>OEPS020233</v>
      </c>
      <c r="C912" s="4" t="str">
        <f>IFERROR(__xludf.DUMMYFUNCTION("""COMPUTED_VALUE"""),"SMD")</f>
        <v>SMD</v>
      </c>
      <c r="D912" s="4" t="str">
        <f>IFERROR(__xludf.DUMMYFUNCTION("""COMPUTED_VALUE"""),"RG1608P-4991-B-T5")</f>
        <v>RG1608P-4991-B-T5</v>
      </c>
      <c r="E912" s="4">
        <f>IFERROR(__xludf.DUMMYFUNCTION("""COMPUTED_VALUE"""),20.0)</f>
        <v>20</v>
      </c>
      <c r="F912" s="4" t="str">
        <f>IFERROR(__xludf.DUMMYFUNCTION("""COMPUTED_VALUE"""),"Digikey")</f>
        <v>Digikey</v>
      </c>
      <c r="G912" s="4" t="str">
        <f>IFERROR(__xludf.DUMMYFUNCTION("""COMPUTED_VALUE"""),"RG16P4.99KBDKR-ND")</f>
        <v>RG16P4.99KBDKR-ND</v>
      </c>
      <c r="H912" s="4"/>
      <c r="I912" s="4"/>
      <c r="J912" s="4"/>
      <c r="K912" s="4"/>
      <c r="L912" s="4"/>
      <c r="M912" s="4"/>
      <c r="N912" s="9" t="str">
        <f>IFERROR(__xludf.DUMMYFUNCTION("""COMPUTED_VALUE"""),"OEPS080051")</f>
        <v>OEPS080051</v>
      </c>
      <c r="O912" s="4" t="str">
        <f>IFERROR(__xludf.DUMMYFUNCTION("""COMPUTED_VALUE"""),"MIC5365-1.2YC5-TR")</f>
        <v>MIC5365-1.2YC5-TR</v>
      </c>
      <c r="P912" s="4" t="str">
        <f>IFERROR(__xludf.DUMMYFUNCTION("""COMPUTED_VALUE"""),"40(Tp) 6(Tp) ")</f>
        <v>40(Tp) 6(Tp) </v>
      </c>
      <c r="Q912" s="4">
        <f>IFERROR(__xludf.DUMMYFUNCTION("""COMPUTED_VALUE"""),46.0)</f>
        <v>46</v>
      </c>
      <c r="R912" s="4">
        <f>IFERROR(__xludf.DUMMYFUNCTION("""COMPUTED_VALUE"""),40.0)</f>
        <v>40</v>
      </c>
      <c r="S912" s="4" t="str">
        <f>IFERROR(__xludf.DUMMYFUNCTION("""COMPUTED_VALUE"""),"Tape")</f>
        <v>Tape</v>
      </c>
      <c r="T912" s="4" t="str">
        <f>IFERROR(__xludf.DUMMYFUNCTION("""COMPUTED_VALUE"""),"0723")</f>
        <v>0723</v>
      </c>
      <c r="U912" s="4">
        <f>IFERROR(__xludf.DUMMYFUNCTION("""COMPUTED_VALUE"""),6.0)</f>
        <v>6</v>
      </c>
      <c r="V912" s="4" t="str">
        <f>IFERROR(__xludf.DUMMYFUNCTION("""COMPUTED_VALUE"""),"Tape")</f>
        <v>Tape</v>
      </c>
      <c r="W912" s="4" t="str">
        <f>IFERROR(__xludf.DUMMYFUNCTION("""COMPUTED_VALUE"""),"0724")</f>
        <v>0724</v>
      </c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</row>
    <row r="913">
      <c r="A913" s="4" t="str">
        <f>IFERROR(__xludf.DUMMYFUNCTION("""COMPUTED_VALUE"""),"RESISTOR:   SMD 0603 4.99kΩ ±1% 0.100W   [RMCF0603FT4K99] [SMD]")</f>
        <v>RESISTOR:   SMD 0603 4.99kΩ ±1% 0.100W   [RMCF0603FT4K99] [SMD]</v>
      </c>
      <c r="B913" s="4" t="str">
        <f>IFERROR(__xludf.DUMMYFUNCTION("""COMPUTED_VALUE"""),"OEPS020116")</f>
        <v>OEPS020116</v>
      </c>
      <c r="C913" s="4" t="str">
        <f>IFERROR(__xludf.DUMMYFUNCTION("""COMPUTED_VALUE"""),"SMD")</f>
        <v>SMD</v>
      </c>
      <c r="D913" s="4" t="str">
        <f>IFERROR(__xludf.DUMMYFUNCTION("""COMPUTED_VALUE"""),"RMCF0603FT4K99")</f>
        <v>RMCF0603FT4K99</v>
      </c>
      <c r="E913" s="4">
        <f>IFERROR(__xludf.DUMMYFUNCTION("""COMPUTED_VALUE"""),30.0)</f>
        <v>30</v>
      </c>
      <c r="F913" s="4" t="str">
        <f>IFERROR(__xludf.DUMMYFUNCTION("""COMPUTED_VALUE"""),"Digikey")</f>
        <v>Digikey</v>
      </c>
      <c r="G913" s="4" t="str">
        <f>IFERROR(__xludf.DUMMYFUNCTION("""COMPUTED_VALUE"""),"RMCF0603FT4K99DKR-ND")</f>
        <v>RMCF0603FT4K99DKR-ND</v>
      </c>
      <c r="H913" s="4"/>
      <c r="I913" s="4"/>
      <c r="J913" s="4"/>
      <c r="K913" s="4"/>
      <c r="L913" s="4"/>
      <c r="M913" s="4"/>
      <c r="N913" s="9" t="str">
        <f>IFERROR(__xludf.DUMMYFUNCTION("""COMPUTED_VALUE"""),"OEPS080052")</f>
        <v>OEPS080052</v>
      </c>
      <c r="O913" s="4" t="str">
        <f>IFERROR(__xludf.DUMMYFUNCTION("""COMPUTED_VALUE"""),"MIC5504-3.3YM5-TR")</f>
        <v>MIC5504-3.3YM5-TR</v>
      </c>
      <c r="P913" s="4" t="str">
        <f>IFERROR(__xludf.DUMMYFUNCTION("""COMPUTED_VALUE"""),"39(Tp) 7(Tp) ")</f>
        <v>39(Tp) 7(Tp) </v>
      </c>
      <c r="Q913" s="4">
        <f>IFERROR(__xludf.DUMMYFUNCTION("""COMPUTED_VALUE"""),46.0)</f>
        <v>46</v>
      </c>
      <c r="R913" s="4">
        <f>IFERROR(__xludf.DUMMYFUNCTION("""COMPUTED_VALUE"""),39.0)</f>
        <v>39</v>
      </c>
      <c r="S913" s="4" t="str">
        <f>IFERROR(__xludf.DUMMYFUNCTION("""COMPUTED_VALUE"""),"Tape")</f>
        <v>Tape</v>
      </c>
      <c r="T913" s="4" t="str">
        <f>IFERROR(__xludf.DUMMYFUNCTION("""COMPUTED_VALUE"""),"1124")</f>
        <v>1124</v>
      </c>
      <c r="U913" s="4">
        <f>IFERROR(__xludf.DUMMYFUNCTION("""COMPUTED_VALUE"""),7.0)</f>
        <v>7</v>
      </c>
      <c r="V913" s="4" t="str">
        <f>IFERROR(__xludf.DUMMYFUNCTION("""COMPUTED_VALUE"""),"Tape")</f>
        <v>Tape</v>
      </c>
      <c r="W913" s="4" t="str">
        <f>IFERROR(__xludf.DUMMYFUNCTION("""COMPUTED_VALUE"""),"0725")</f>
        <v>0725</v>
      </c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</row>
    <row r="914">
      <c r="A914" s="4" t="str">
        <f>IFERROR(__xludf.DUMMYFUNCTION("""COMPUTED_VALUE"""),"RESISTOR:   SMD 0603 412Ω ±0.1% 0.100W   [ERA-3AEB4120V] [SMD]")</f>
        <v>RESISTOR:   SMD 0603 412Ω ±0.1% 0.100W   [ERA-3AEB4120V] [SMD]</v>
      </c>
      <c r="B914" s="4" t="str">
        <f>IFERROR(__xludf.DUMMYFUNCTION("""COMPUTED_VALUE"""),"OEPS020164")</f>
        <v>OEPS020164</v>
      </c>
      <c r="C914" s="4" t="str">
        <f>IFERROR(__xludf.DUMMYFUNCTION("""COMPUTED_VALUE"""),"SMD")</f>
        <v>SMD</v>
      </c>
      <c r="D914" s="4" t="str">
        <f>IFERROR(__xludf.DUMMYFUNCTION("""COMPUTED_VALUE"""),"ERA-3AEB4120V")</f>
        <v>ERA-3AEB4120V</v>
      </c>
      <c r="E914" s="4">
        <f>IFERROR(__xludf.DUMMYFUNCTION("""COMPUTED_VALUE"""),30.0)</f>
        <v>30</v>
      </c>
      <c r="F914" s="4" t="str">
        <f>IFERROR(__xludf.DUMMYFUNCTION("""COMPUTED_VALUE"""),"DigiKey")</f>
        <v>DigiKey</v>
      </c>
      <c r="G914" s="4" t="str">
        <f>IFERROR(__xludf.DUMMYFUNCTION("""COMPUTED_VALUE"""),"P412DBDKR-ND")</f>
        <v>P412DBDKR-ND</v>
      </c>
      <c r="H914" s="4"/>
      <c r="I914" s="4"/>
      <c r="J914" s="4"/>
      <c r="K914" s="4"/>
      <c r="L914" s="4"/>
      <c r="M914" s="4"/>
      <c r="N914" s="9" t="str">
        <f>IFERROR(__xludf.DUMMYFUNCTION("""COMPUTED_VALUE"""),"OEPS080053")</f>
        <v>OEPS080053</v>
      </c>
      <c r="O914" s="4" t="str">
        <f>IFERROR(__xludf.DUMMYFUNCTION("""COMPUTED_VALUE"""),"DSC6001CI2A-016.0000")</f>
        <v>DSC6001CI2A-016.0000</v>
      </c>
      <c r="P914" s="4" t="str">
        <f>IFERROR(__xludf.DUMMYFUNCTION("""COMPUTED_VALUE"""),"50(Tb) ")</f>
        <v>50(Tb) </v>
      </c>
      <c r="Q914" s="4">
        <f>IFERROR(__xludf.DUMMYFUNCTION("""COMPUTED_VALUE"""),50.0)</f>
        <v>50</v>
      </c>
      <c r="R914" s="4">
        <f>IFERROR(__xludf.DUMMYFUNCTION("""COMPUTED_VALUE"""),50.0)</f>
        <v>50</v>
      </c>
      <c r="S914" s="4" t="str">
        <f>IFERROR(__xludf.DUMMYFUNCTION("""COMPUTED_VALUE"""),"Tube")</f>
        <v>Tube</v>
      </c>
      <c r="T914" s="4" t="str">
        <f>IFERROR(__xludf.DUMMYFUNCTION("""COMPUTED_VALUE"""),"0723")</f>
        <v>0723</v>
      </c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</row>
    <row r="915">
      <c r="A915" s="4" t="str">
        <f>IFERROR(__xludf.DUMMYFUNCTION("""COMPUTED_VALUE"""),"RESISTOR:   SMD 0603 42.2kΩ ±1% 0.100W   [RC0603FR-0744K2L] [SMD]")</f>
        <v>RESISTOR:   SMD 0603 42.2kΩ ±1% 0.100W   [RC0603FR-0744K2L] [SMD]</v>
      </c>
      <c r="B915" s="4" t="str">
        <f>IFERROR(__xludf.DUMMYFUNCTION("""COMPUTED_VALUE"""),"OEPS020125")</f>
        <v>OEPS020125</v>
      </c>
      <c r="C915" s="4" t="str">
        <f>IFERROR(__xludf.DUMMYFUNCTION("""COMPUTED_VALUE"""),"SMD")</f>
        <v>SMD</v>
      </c>
      <c r="D915" s="4" t="str">
        <f>IFERROR(__xludf.DUMMYFUNCTION("""COMPUTED_VALUE"""),"RC0603FR-0744K2L")</f>
        <v>RC0603FR-0744K2L</v>
      </c>
      <c r="E915" s="4">
        <f>IFERROR(__xludf.DUMMYFUNCTION("""COMPUTED_VALUE"""),30.0)</f>
        <v>30</v>
      </c>
      <c r="F915" s="4" t="str">
        <f>IFERROR(__xludf.DUMMYFUNCTION("""COMPUTED_VALUE"""),"Digikey")</f>
        <v>Digikey</v>
      </c>
      <c r="G915" s="4" t="str">
        <f>IFERROR(__xludf.DUMMYFUNCTION("""COMPUTED_VALUE"""),"311-44.2KHRDKR-ND")</f>
        <v>311-44.2KHRDKR-ND</v>
      </c>
      <c r="H915" s="4"/>
      <c r="I915" s="4"/>
      <c r="J915" s="4"/>
      <c r="K915" s="4"/>
      <c r="L915" s="4"/>
      <c r="M915" s="4"/>
      <c r="N915" s="9" t="str">
        <f>IFERROR(__xludf.DUMMYFUNCTION("""COMPUTED_VALUE"""),"OEPS080054")</f>
        <v>OEPS080054</v>
      </c>
      <c r="O915" s="4" t="str">
        <f>IFERROR(__xludf.DUMMYFUNCTION("""COMPUTED_VALUE"""),"ICE40LP8K-CM81")</f>
        <v>ICE40LP8K-CM81</v>
      </c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</row>
    <row r="916">
      <c r="A916" s="4" t="str">
        <f>IFERROR(__xludf.DUMMYFUNCTION("""COMPUTED_VALUE"""),"RESISTOR:   SMD 0603 430Ω ±1% 0.100W (OEPS J30 018)   [RC0603FR-07430RL] [SMD]")</f>
        <v>RESISTOR:   SMD 0603 430Ω ±1% 0.100W (OEPS J30 018)   [RC0603FR-07430RL] [SMD]</v>
      </c>
      <c r="B916" s="4" t="str">
        <f>IFERROR(__xludf.DUMMYFUNCTION("""COMPUTED_VALUE"""),"OEPS020145")</f>
        <v>OEPS020145</v>
      </c>
      <c r="C916" s="4" t="str">
        <f>IFERROR(__xludf.DUMMYFUNCTION("""COMPUTED_VALUE"""),"SMD")</f>
        <v>SMD</v>
      </c>
      <c r="D916" s="4" t="str">
        <f>IFERROR(__xludf.DUMMYFUNCTION("""COMPUTED_VALUE"""),"RC0603FR-07430RL")</f>
        <v>RC0603FR-07430RL</v>
      </c>
      <c r="E916" s="4">
        <f>IFERROR(__xludf.DUMMYFUNCTION("""COMPUTED_VALUE"""),30.0)</f>
        <v>30</v>
      </c>
      <c r="F916" s="4" t="str">
        <f>IFERROR(__xludf.DUMMYFUNCTION("""COMPUTED_VALUE"""),"Digikey")</f>
        <v>Digikey</v>
      </c>
      <c r="G916" s="4" t="str">
        <f>IFERROR(__xludf.DUMMYFUNCTION("""COMPUTED_VALUE"""),"311-430HRDKR-ND")</f>
        <v>311-430HRDKR-ND</v>
      </c>
      <c r="H916" s="4"/>
      <c r="I916" s="4"/>
      <c r="J916" s="4"/>
      <c r="K916" s="4"/>
      <c r="L916" s="4"/>
      <c r="M916" s="4"/>
      <c r="N916" s="9" t="str">
        <f>IFERROR(__xludf.DUMMYFUNCTION("""COMPUTED_VALUE"""),"OEPS080055")</f>
        <v>OEPS080055</v>
      </c>
      <c r="O916" s="4" t="str">
        <f>IFERROR(__xludf.DUMMYFUNCTION("""COMPUTED_VALUE"""),"AT25SF081B-SSHD-T")</f>
        <v>AT25SF081B-SSHD-T</v>
      </c>
      <c r="P916" s="4" t="str">
        <f>IFERROR(__xludf.DUMMYFUNCTION("""COMPUTED_VALUE"""),"26(Tp) ")</f>
        <v>26(Tp) </v>
      </c>
      <c r="Q916" s="4">
        <f>IFERROR(__xludf.DUMMYFUNCTION("""COMPUTED_VALUE"""),26.0)</f>
        <v>26</v>
      </c>
      <c r="R916" s="4">
        <f>IFERROR(__xludf.DUMMYFUNCTION("""COMPUTED_VALUE"""),26.0)</f>
        <v>26</v>
      </c>
      <c r="S916" s="4" t="str">
        <f>IFERROR(__xludf.DUMMYFUNCTION("""COMPUTED_VALUE"""),"Tape")</f>
        <v>Tape</v>
      </c>
      <c r="T916" s="4" t="str">
        <f>IFERROR(__xludf.DUMMYFUNCTION("""COMPUTED_VALUE"""),"0923")</f>
        <v>0923</v>
      </c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</row>
    <row r="917">
      <c r="A917" s="4" t="str">
        <f>IFERROR(__xludf.DUMMYFUNCTION("""COMPUTED_VALUE"""),"RESISTOR:   SMD 0603 48.7kΩ ±1% 0.100W   [RC0603FR-0748K7L] [SMD]")</f>
        <v>RESISTOR:   SMD 0603 48.7kΩ ±1% 0.100W   [RC0603FR-0748K7L] [SMD]</v>
      </c>
      <c r="B917" s="4" t="str">
        <f>IFERROR(__xludf.DUMMYFUNCTION("""COMPUTED_VALUE"""),"OEPS020218")</f>
        <v>OEPS020218</v>
      </c>
      <c r="C917" s="4" t="str">
        <f>IFERROR(__xludf.DUMMYFUNCTION("""COMPUTED_VALUE"""),"SMD")</f>
        <v>SMD</v>
      </c>
      <c r="D917" s="4" t="str">
        <f>IFERROR(__xludf.DUMMYFUNCTION("""COMPUTED_VALUE"""),"RC0603FR-0748K7L")</f>
        <v>RC0603FR-0748K7L</v>
      </c>
      <c r="E917" s="4">
        <f>IFERROR(__xludf.DUMMYFUNCTION("""COMPUTED_VALUE"""),20.0)</f>
        <v>20</v>
      </c>
      <c r="F917" s="4" t="str">
        <f>IFERROR(__xludf.DUMMYFUNCTION("""COMPUTED_VALUE"""),"DigiKey")</f>
        <v>DigiKey</v>
      </c>
      <c r="G917" s="4" t="str">
        <f>IFERROR(__xludf.DUMMYFUNCTION("""COMPUTED_VALUE"""),"311-48.7KHRDKR-ND")</f>
        <v>311-48.7KHRDKR-ND</v>
      </c>
      <c r="H917" s="4"/>
      <c r="I917" s="4"/>
      <c r="J917" s="4"/>
      <c r="K917" s="4"/>
      <c r="L917" s="4"/>
      <c r="M917" s="4"/>
      <c r="N917" s="9" t="str">
        <f>IFERROR(__xludf.DUMMYFUNCTION("""COMPUTED_VALUE"""),"OEPS080056")</f>
        <v>OEPS080056</v>
      </c>
      <c r="O917" s="4" t="str">
        <f>IFERROR(__xludf.DUMMYFUNCTION("""COMPUTED_VALUE"""),"TMC2210ATJ+")</f>
        <v>TMC2210ATJ+</v>
      </c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</row>
    <row r="918">
      <c r="A918" s="4" t="str">
        <f>IFERROR(__xludf.DUMMYFUNCTION("""COMPUTED_VALUE"""),"RESISTOR:   SMD 0603 48.7Ω ±1% 0.100W   [RC0603FR-0748R7L] [SMD]")</f>
        <v>RESISTOR:   SMD 0603 48.7Ω ±1% 0.100W   [RC0603FR-0748R7L] [SMD]</v>
      </c>
      <c r="B918" s="4" t="str">
        <f>IFERROR(__xludf.DUMMYFUNCTION("""COMPUTED_VALUE"""),"OEPS020129")</f>
        <v>OEPS020129</v>
      </c>
      <c r="C918" s="4" t="str">
        <f>IFERROR(__xludf.DUMMYFUNCTION("""COMPUTED_VALUE"""),"SMD")</f>
        <v>SMD</v>
      </c>
      <c r="D918" s="4" t="str">
        <f>IFERROR(__xludf.DUMMYFUNCTION("""COMPUTED_VALUE"""),"RC0603FR-0748R7L")</f>
        <v>RC0603FR-0748R7L</v>
      </c>
      <c r="E918" s="4">
        <f>IFERROR(__xludf.DUMMYFUNCTION("""COMPUTED_VALUE"""),30.0)</f>
        <v>30</v>
      </c>
      <c r="F918" s="4" t="str">
        <f>IFERROR(__xludf.DUMMYFUNCTION("""COMPUTED_VALUE"""),"Digikey")</f>
        <v>Digikey</v>
      </c>
      <c r="G918" s="4" t="str">
        <f>IFERROR(__xludf.DUMMYFUNCTION("""COMPUTED_VALUE"""),"311-48.7HRDKR-ND")</f>
        <v>311-48.7HRDKR-ND</v>
      </c>
      <c r="H918" s="4"/>
      <c r="I918" s="4"/>
      <c r="J918" s="4"/>
      <c r="K918" s="4"/>
      <c r="L918" s="4"/>
      <c r="M918" s="4"/>
      <c r="N918" s="9" t="str">
        <f>IFERROR(__xludf.DUMMYFUNCTION("""COMPUTED_VALUE"""),"OEPS080057")</f>
        <v>OEPS080057</v>
      </c>
      <c r="O918" s="4" t="str">
        <f>IFERROR(__xludf.DUMMYFUNCTION("""COMPUTED_VALUE"""),"MCP16301HT-E/CH")</f>
        <v>MCP16301HT-E/CH</v>
      </c>
      <c r="P918" s="4" t="str">
        <f>IFERROR(__xludf.DUMMYFUNCTION("""COMPUTED_VALUE"""),"3(Tp) ")</f>
        <v>3(Tp) </v>
      </c>
      <c r="Q918" s="4">
        <f>IFERROR(__xludf.DUMMYFUNCTION("""COMPUTED_VALUE"""),3.0)</f>
        <v>3</v>
      </c>
      <c r="R918" s="4">
        <f>IFERROR(__xludf.DUMMYFUNCTION("""COMPUTED_VALUE"""),3.0)</f>
        <v>3</v>
      </c>
      <c r="S918" s="4" t="str">
        <f>IFERROR(__xludf.DUMMYFUNCTION("""COMPUTED_VALUE"""),"Tape")</f>
        <v>Tape</v>
      </c>
      <c r="T918" s="4" t="str">
        <f>IFERROR(__xludf.DUMMYFUNCTION("""COMPUTED_VALUE"""),"XXXX")</f>
        <v>XXXX</v>
      </c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</row>
    <row r="919">
      <c r="A919" s="4" t="str">
        <f>IFERROR(__xludf.DUMMYFUNCTION("""COMPUTED_VALUE"""),"RESISTOR:   SMD 0603 5.6kΩ ±1% 0.100W   [ERJ-3EKF5601V] [SMD]")</f>
        <v>RESISTOR:   SMD 0603 5.6kΩ ±1% 0.100W   [ERJ-3EKF5601V] [SMD]</v>
      </c>
      <c r="B919" s="4" t="str">
        <f>IFERROR(__xludf.DUMMYFUNCTION("""COMPUTED_VALUE"""),"OEPS020136")</f>
        <v>OEPS020136</v>
      </c>
      <c r="C919" s="4" t="str">
        <f>IFERROR(__xludf.DUMMYFUNCTION("""COMPUTED_VALUE"""),"SMD")</f>
        <v>SMD</v>
      </c>
      <c r="D919" s="4" t="str">
        <f>IFERROR(__xludf.DUMMYFUNCTION("""COMPUTED_VALUE"""),"ERJ-3EKF5601V")</f>
        <v>ERJ-3EKF5601V</v>
      </c>
      <c r="E919" s="4">
        <f>IFERROR(__xludf.DUMMYFUNCTION("""COMPUTED_VALUE"""),30.0)</f>
        <v>30</v>
      </c>
      <c r="F919" s="4" t="str">
        <f>IFERROR(__xludf.DUMMYFUNCTION("""COMPUTED_VALUE"""),"Digikey")</f>
        <v>Digikey</v>
      </c>
      <c r="G919" s="4" t="str">
        <f>IFERROR(__xludf.DUMMYFUNCTION("""COMPUTED_VALUE"""),"P5.60KHDKR-ND")</f>
        <v>P5.60KHDKR-ND</v>
      </c>
      <c r="H919" s="4"/>
      <c r="I919" s="4"/>
      <c r="J919" s="4"/>
      <c r="K919" s="4"/>
      <c r="L919" s="4"/>
      <c r="M919" s="4"/>
      <c r="N919" s="9" t="str">
        <f>IFERROR(__xludf.DUMMYFUNCTION("""COMPUTED_VALUE"""),"OEPS080058")</f>
        <v>OEPS080058</v>
      </c>
      <c r="O919" s="4" t="str">
        <f>IFERROR(__xludf.DUMMYFUNCTION("""COMPUTED_VALUE"""),"AD5248BRMZ50")</f>
        <v>AD5248BRMZ50</v>
      </c>
      <c r="P919" s="4" t="str">
        <f>IFERROR(__xludf.DUMMYFUNCTION("""COMPUTED_VALUE"""),"2 ")</f>
        <v>2 </v>
      </c>
      <c r="Q919" s="4">
        <f>IFERROR(__xludf.DUMMYFUNCTION("""COMPUTED_VALUE"""),2.0)</f>
        <v>2</v>
      </c>
      <c r="R919" s="4">
        <f>IFERROR(__xludf.DUMMYFUNCTION("""COMPUTED_VALUE"""),2.0)</f>
        <v>2</v>
      </c>
      <c r="S919" s="4" t="str">
        <f>IFERROR(__xludf.DUMMYFUNCTION("""COMPUTED_VALUE"""),"Bag")</f>
        <v>Bag</v>
      </c>
      <c r="T919" s="4" t="str">
        <f>IFERROR(__xludf.DUMMYFUNCTION("""COMPUTED_VALUE"""),"0923")</f>
        <v>0923</v>
      </c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</row>
    <row r="920">
      <c r="A920" s="4" t="str">
        <f>IFERROR(__xludf.DUMMYFUNCTION("""COMPUTED_VALUE"""),"RESISTOR:   SMD 0603 51kΩ ±0.1% 0.100W   [ERA-3AEB513V] [SMD]")</f>
        <v>RESISTOR:   SMD 0603 51kΩ ±0.1% 0.100W   [ERA-3AEB513V] [SMD]</v>
      </c>
      <c r="B920" s="4" t="str">
        <f>IFERROR(__xludf.DUMMYFUNCTION("""COMPUTED_VALUE"""),"OEPS020156")</f>
        <v>OEPS020156</v>
      </c>
      <c r="C920" s="4" t="str">
        <f>IFERROR(__xludf.DUMMYFUNCTION("""COMPUTED_VALUE"""),"SMD")</f>
        <v>SMD</v>
      </c>
      <c r="D920" s="4" t="str">
        <f>IFERROR(__xludf.DUMMYFUNCTION("""COMPUTED_VALUE"""),"ERA-3AEB513V")</f>
        <v>ERA-3AEB513V</v>
      </c>
      <c r="E920" s="4">
        <f>IFERROR(__xludf.DUMMYFUNCTION("""COMPUTED_VALUE"""),30.0)</f>
        <v>30</v>
      </c>
      <c r="F920" s="4" t="str">
        <f>IFERROR(__xludf.DUMMYFUNCTION("""COMPUTED_VALUE"""),"DigiKey")</f>
        <v>DigiKey</v>
      </c>
      <c r="G920" s="4" t="str">
        <f>IFERROR(__xludf.DUMMYFUNCTION("""COMPUTED_VALUE"""),"P51KDBDKR-ND")</f>
        <v>P51KDBDKR-ND</v>
      </c>
      <c r="H920" s="4"/>
      <c r="I920" s="4"/>
      <c r="J920" s="4"/>
      <c r="K920" s="4"/>
      <c r="L920" s="4"/>
      <c r="M920" s="4"/>
      <c r="N920" s="9" t="str">
        <f>IFERROR(__xludf.DUMMYFUNCTION("""COMPUTED_VALUE"""),"OEPS080059")</f>
        <v>OEPS080059</v>
      </c>
      <c r="O920" s="4" t="str">
        <f>IFERROR(__xludf.DUMMYFUNCTION("""COMPUTED_VALUE"""),"SN74LVC07APW")</f>
        <v>SN74LVC07APW</v>
      </c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</row>
    <row r="921">
      <c r="A921" s="4" t="str">
        <f>IFERROR(__xludf.DUMMYFUNCTION("""COMPUTED_VALUE"""),"RESISTOR:   SMD 0603 51kΩ ±1% 0.100W   [CR0603-FX-5102ELF] [SMD]")</f>
        <v>RESISTOR:   SMD 0603 51kΩ ±1% 0.100W   [CR0603-FX-5102ELF] [SMD]</v>
      </c>
      <c r="B921" s="4" t="str">
        <f>IFERROR(__xludf.DUMMYFUNCTION("""COMPUTED_VALUE"""),"OEPS020087")</f>
        <v>OEPS020087</v>
      </c>
      <c r="C921" s="4" t="str">
        <f>IFERROR(__xludf.DUMMYFUNCTION("""COMPUTED_VALUE"""),"SMD")</f>
        <v>SMD</v>
      </c>
      <c r="D921" s="4" t="str">
        <f>IFERROR(__xludf.DUMMYFUNCTION("""COMPUTED_VALUE"""),"CR0603-FX-5102ELF")</f>
        <v>CR0603-FX-5102ELF</v>
      </c>
      <c r="E921" s="4">
        <f>IFERROR(__xludf.DUMMYFUNCTION("""COMPUTED_VALUE"""),30.0)</f>
        <v>30</v>
      </c>
      <c r="F921" s="4" t="str">
        <f>IFERROR(__xludf.DUMMYFUNCTION("""COMPUTED_VALUE"""),"DigiKey")</f>
        <v>DigiKey</v>
      </c>
      <c r="G921" s="4" t="str">
        <f>IFERROR(__xludf.DUMMYFUNCTION("""COMPUTED_VALUE"""),"CR0603-FX-5102ELFDKR-ND")</f>
        <v>CR0603-FX-5102ELFDKR-ND</v>
      </c>
      <c r="H921" s="4"/>
      <c r="I921" s="4"/>
      <c r="J921" s="4"/>
      <c r="K921" s="4"/>
      <c r="L921" s="4"/>
      <c r="M921" s="4"/>
      <c r="N921" s="9" t="str">
        <f>IFERROR(__xludf.DUMMYFUNCTION("""COMPUTED_VALUE"""),"OEPS080060")</f>
        <v>OEPS080060</v>
      </c>
      <c r="O921" s="4" t="str">
        <f>IFERROR(__xludf.DUMMYFUNCTION("""COMPUTED_VALUE"""),"TPS3839E16DQNT")</f>
        <v>TPS3839E16DQNT</v>
      </c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</row>
    <row r="922">
      <c r="A922" s="4" t="str">
        <f>IFERROR(__xludf.DUMMYFUNCTION("""COMPUTED_VALUE"""),"RESISTOR:   SMD 0603 51Ω ±5% 0.100W   [ERJ3GEYJ510V] [SMD]")</f>
        <v>RESISTOR:   SMD 0603 51Ω ±5% 0.100W   [ERJ3GEYJ510V] [SMD]</v>
      </c>
      <c r="B922" s="4" t="str">
        <f>IFERROR(__xludf.DUMMYFUNCTION("""COMPUTED_VALUE"""),"OEPS020135")</f>
        <v>OEPS020135</v>
      </c>
      <c r="C922" s="4" t="str">
        <f>IFERROR(__xludf.DUMMYFUNCTION("""COMPUTED_VALUE"""),"SMD")</f>
        <v>SMD</v>
      </c>
      <c r="D922" s="4" t="str">
        <f>IFERROR(__xludf.DUMMYFUNCTION("""COMPUTED_VALUE"""),"ERJ3GEYJ510V")</f>
        <v>ERJ3GEYJ510V</v>
      </c>
      <c r="E922" s="4">
        <f>IFERROR(__xludf.DUMMYFUNCTION("""COMPUTED_VALUE"""),30.0)</f>
        <v>30</v>
      </c>
      <c r="F922" s="4" t="str">
        <f>IFERROR(__xludf.DUMMYFUNCTION("""COMPUTED_VALUE"""),"Digikey")</f>
        <v>Digikey</v>
      </c>
      <c r="G922" s="4" t="str">
        <f>IFERROR(__xludf.DUMMYFUNCTION("""COMPUTED_VALUE"""),"P51GDKR-ND")</f>
        <v>P51GDKR-ND</v>
      </c>
      <c r="H922" s="4"/>
      <c r="I922" s="4"/>
      <c r="J922" s="4"/>
      <c r="K922" s="4"/>
      <c r="L922" s="4"/>
      <c r="M922" s="4"/>
      <c r="N922" s="9" t="str">
        <f>IFERROR(__xludf.DUMMYFUNCTION("""COMPUTED_VALUE"""),"OEPS080061")</f>
        <v>OEPS080061</v>
      </c>
      <c r="O922" s="4" t="str">
        <f>IFERROR(__xludf.DUMMYFUNCTION("""COMPUTED_VALUE"""),"ADP220ACBZ-1812R7")</f>
        <v>ADP220ACBZ-1812R7</v>
      </c>
      <c r="P922" s="4" t="str">
        <f>IFERROR(__xludf.DUMMYFUNCTION("""COMPUTED_VALUE"""),"3(Tp) 17(Tp) ")</f>
        <v>3(Tp) 17(Tp) </v>
      </c>
      <c r="Q922" s="4">
        <f>IFERROR(__xludf.DUMMYFUNCTION("""COMPUTED_VALUE"""),20.0)</f>
        <v>20</v>
      </c>
      <c r="R922" s="4">
        <f>IFERROR(__xludf.DUMMYFUNCTION("""COMPUTED_VALUE"""),3.0)</f>
        <v>3</v>
      </c>
      <c r="S922" s="4" t="str">
        <f>IFERROR(__xludf.DUMMYFUNCTION("""COMPUTED_VALUE"""),"Tape")</f>
        <v>Tape</v>
      </c>
      <c r="T922" s="4" t="str">
        <f>IFERROR(__xludf.DUMMYFUNCTION("""COMPUTED_VALUE"""),"XXXX")</f>
        <v>XXXX</v>
      </c>
      <c r="U922" s="4">
        <f>IFERROR(__xludf.DUMMYFUNCTION("""COMPUTED_VALUE"""),17.0)</f>
        <v>17</v>
      </c>
      <c r="V922" s="4" t="str">
        <f>IFERROR(__xludf.DUMMYFUNCTION("""COMPUTED_VALUE"""),"Tape")</f>
        <v>Tape</v>
      </c>
      <c r="W922" s="4" t="str">
        <f>IFERROR(__xludf.DUMMYFUNCTION("""COMPUTED_VALUE"""),"XXXX")</f>
        <v>XXXX</v>
      </c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</row>
    <row r="923">
      <c r="A923" s="4" t="str">
        <f>IFERROR(__xludf.DUMMYFUNCTION("""COMPUTED_VALUE"""),"RESISTOR:   SMD 0603 52.3kΩ ±1% 0.100W   [RMCF0603FT52K3] [SMD]")</f>
        <v>RESISTOR:   SMD 0603 52.3kΩ ±1% 0.100W   [RMCF0603FT52K3] [SMD]</v>
      </c>
      <c r="B923" s="4" t="str">
        <f>IFERROR(__xludf.DUMMYFUNCTION("""COMPUTED_VALUE"""),"OEPS020119")</f>
        <v>OEPS020119</v>
      </c>
      <c r="C923" s="4" t="str">
        <f>IFERROR(__xludf.DUMMYFUNCTION("""COMPUTED_VALUE"""),"SMD")</f>
        <v>SMD</v>
      </c>
      <c r="D923" s="4" t="str">
        <f>IFERROR(__xludf.DUMMYFUNCTION("""COMPUTED_VALUE"""),"RMCF0603FT52K3")</f>
        <v>RMCF0603FT52K3</v>
      </c>
      <c r="E923" s="4">
        <f>IFERROR(__xludf.DUMMYFUNCTION("""COMPUTED_VALUE"""),30.0)</f>
        <v>30</v>
      </c>
      <c r="F923" s="4" t="str">
        <f>IFERROR(__xludf.DUMMYFUNCTION("""COMPUTED_VALUE"""),"Digikey")</f>
        <v>Digikey</v>
      </c>
      <c r="G923" s="4" t="str">
        <f>IFERROR(__xludf.DUMMYFUNCTION("""COMPUTED_VALUE"""),"RMCF0603FT52K3DKR-ND")</f>
        <v>RMCF0603FT52K3DKR-ND</v>
      </c>
      <c r="H923" s="4"/>
      <c r="I923" s="4"/>
      <c r="J923" s="4"/>
      <c r="K923" s="4"/>
      <c r="L923" s="4"/>
      <c r="M923" s="4"/>
      <c r="N923" s="9" t="str">
        <f>IFERROR(__xludf.DUMMYFUNCTION("""COMPUTED_VALUE"""),"OEPS080062")</f>
        <v>OEPS080062</v>
      </c>
      <c r="O923" s="4" t="str">
        <f>IFERROR(__xludf.DUMMYFUNCTION("""COMPUTED_VALUE"""),"NCP163AFCT250T2G")</f>
        <v>NCP163AFCT250T2G</v>
      </c>
      <c r="P923" s="4" t="str">
        <f>IFERROR(__xludf.DUMMYFUNCTION("""COMPUTED_VALUE"""),"14(Tp) ")</f>
        <v>14(Tp) </v>
      </c>
      <c r="Q923" s="4">
        <f>IFERROR(__xludf.DUMMYFUNCTION("""COMPUTED_VALUE"""),14.0)</f>
        <v>14</v>
      </c>
      <c r="R923" s="4">
        <f>IFERROR(__xludf.DUMMYFUNCTION("""COMPUTED_VALUE"""),14.0)</f>
        <v>14</v>
      </c>
      <c r="S923" s="4" t="str">
        <f>IFERROR(__xludf.DUMMYFUNCTION("""COMPUTED_VALUE"""),"Tape")</f>
        <v>Tape</v>
      </c>
      <c r="T923" s="4" t="str">
        <f>IFERROR(__xludf.DUMMYFUNCTION("""COMPUTED_VALUE"""),"0526")</f>
        <v>0526</v>
      </c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</row>
    <row r="924">
      <c r="A924" s="4" t="str">
        <f>IFERROR(__xludf.DUMMYFUNCTION("""COMPUTED_VALUE"""),"RESISTOR:   SMD 0603 56kΩ ±1% 0.100W   [RC0603FR-0756KL] [SMD]")</f>
        <v>RESISTOR:   SMD 0603 56kΩ ±1% 0.100W   [RC0603FR-0756KL] [SMD]</v>
      </c>
      <c r="B924" s="4" t="str">
        <f>IFERROR(__xludf.DUMMYFUNCTION("""COMPUTED_VALUE"""),"OEPS020134")</f>
        <v>OEPS020134</v>
      </c>
      <c r="C924" s="4" t="str">
        <f>IFERROR(__xludf.DUMMYFUNCTION("""COMPUTED_VALUE"""),"SMD")</f>
        <v>SMD</v>
      </c>
      <c r="D924" s="4" t="str">
        <f>IFERROR(__xludf.DUMMYFUNCTION("""COMPUTED_VALUE"""),"RC0603FR-0756KL")</f>
        <v>RC0603FR-0756KL</v>
      </c>
      <c r="E924" s="4">
        <f>IFERROR(__xludf.DUMMYFUNCTION("""COMPUTED_VALUE"""),30.0)</f>
        <v>30</v>
      </c>
      <c r="F924" s="4" t="str">
        <f>IFERROR(__xludf.DUMMYFUNCTION("""COMPUTED_VALUE"""),"Digikey")</f>
        <v>Digikey</v>
      </c>
      <c r="G924" s="4" t="str">
        <f>IFERROR(__xludf.DUMMYFUNCTION("""COMPUTED_VALUE"""),"311-56KHRDKR-ND")</f>
        <v>311-56KHRDKR-ND</v>
      </c>
      <c r="H924" s="4"/>
      <c r="I924" s="4"/>
      <c r="J924" s="4"/>
      <c r="K924" s="4"/>
      <c r="L924" s="4"/>
      <c r="M924" s="4"/>
      <c r="N924" s="9" t="str">
        <f>IFERROR(__xludf.DUMMYFUNCTION("""COMPUTED_VALUE"""),"OEPS080063")</f>
        <v>OEPS080063</v>
      </c>
      <c r="O924" s="4" t="str">
        <f>IFERROR(__xludf.DUMMYFUNCTION("""COMPUTED_VALUE"""),"BNO055")</f>
        <v>BNO055</v>
      </c>
      <c r="P924" s="4" t="str">
        <f>IFERROR(__xludf.DUMMYFUNCTION("""COMPUTED_VALUE"""),"2240(R) 3798(R) ")</f>
        <v>2240(R) 3798(R) </v>
      </c>
      <c r="Q924" s="4">
        <f>IFERROR(__xludf.DUMMYFUNCTION("""COMPUTED_VALUE"""),6038.0)</f>
        <v>6038</v>
      </c>
      <c r="R924" s="4">
        <f>IFERROR(__xludf.DUMMYFUNCTION("""COMPUTED_VALUE"""),2240.0)</f>
        <v>2240</v>
      </c>
      <c r="S924" s="4" t="str">
        <f>IFERROR(__xludf.DUMMYFUNCTION("""COMPUTED_VALUE"""),"Reel")</f>
        <v>Reel</v>
      </c>
      <c r="T924" s="4" t="str">
        <f>IFERROR(__xludf.DUMMYFUNCTION("""COMPUTED_VALUE"""),"1223")</f>
        <v>1223</v>
      </c>
      <c r="U924" s="4">
        <f>IFERROR(__xludf.DUMMYFUNCTION("""COMPUTED_VALUE"""),3798.0)</f>
        <v>3798</v>
      </c>
      <c r="V924" s="4" t="str">
        <f>IFERROR(__xludf.DUMMYFUNCTION("""COMPUTED_VALUE"""),"Reel")</f>
        <v>Reel</v>
      </c>
      <c r="W924" s="4" t="str">
        <f>IFERROR(__xludf.DUMMYFUNCTION("""COMPUTED_VALUE"""),"0325")</f>
        <v>0325</v>
      </c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</row>
    <row r="925">
      <c r="A925" s="4" t="str">
        <f>IFERROR(__xludf.DUMMYFUNCTION("""COMPUTED_VALUE"""),"RESISTOR:   SMD 0603 6.04kΩ ±1% 0.100W (OEPS J30 023)   [RC0603FR-076K04L] [SMD]")</f>
        <v>RESISTOR:   SMD 0603 6.04kΩ ±1% 0.100W (OEPS J30 023)   [RC0603FR-076K04L] [SMD]</v>
      </c>
      <c r="B925" s="4" t="str">
        <f>IFERROR(__xludf.DUMMYFUNCTION("""COMPUTED_VALUE"""),"OEPS020140")</f>
        <v>OEPS020140</v>
      </c>
      <c r="C925" s="4" t="str">
        <f>IFERROR(__xludf.DUMMYFUNCTION("""COMPUTED_VALUE"""),"SMD")</f>
        <v>SMD</v>
      </c>
      <c r="D925" s="4" t="str">
        <f>IFERROR(__xludf.DUMMYFUNCTION("""COMPUTED_VALUE"""),"RC0603FR-076K04L")</f>
        <v>RC0603FR-076K04L</v>
      </c>
      <c r="E925" s="4">
        <f>IFERROR(__xludf.DUMMYFUNCTION("""COMPUTED_VALUE"""),30.0)</f>
        <v>30</v>
      </c>
      <c r="F925" s="4" t="str">
        <f>IFERROR(__xludf.DUMMYFUNCTION("""COMPUTED_VALUE"""),"Digikey")</f>
        <v>Digikey</v>
      </c>
      <c r="G925" s="4" t="str">
        <f>IFERROR(__xludf.DUMMYFUNCTION("""COMPUTED_VALUE"""),"311-6.04KHRDKR-ND")</f>
        <v>311-6.04KHRDKR-ND</v>
      </c>
      <c r="H925" s="4"/>
      <c r="I925" s="4"/>
      <c r="J925" s="4"/>
      <c r="K925" s="4"/>
      <c r="L925" s="4"/>
      <c r="M925" s="4"/>
      <c r="N925" s="9" t="str">
        <f>IFERROR(__xludf.DUMMYFUNCTION("""COMPUTED_VALUE"""),"OEPS080064")</f>
        <v>OEPS080064</v>
      </c>
      <c r="O925" s="4" t="str">
        <f>IFERROR(__xludf.DUMMYFUNCTION("""COMPUTED_VALUE"""),"DS90UB933TRTVTQ1")</f>
        <v>DS90UB933TRTVTQ1</v>
      </c>
      <c r="P925" s="4" t="str">
        <f>IFERROR(__xludf.DUMMYFUNCTION("""COMPUTED_VALUE"""),"25(R) ")</f>
        <v>25(R) </v>
      </c>
      <c r="Q925" s="4">
        <f>IFERROR(__xludf.DUMMYFUNCTION("""COMPUTED_VALUE"""),25.0)</f>
        <v>25</v>
      </c>
      <c r="R925" s="4">
        <f>IFERROR(__xludf.DUMMYFUNCTION("""COMPUTED_VALUE"""),25.0)</f>
        <v>25</v>
      </c>
      <c r="S925" s="4" t="str">
        <f>IFERROR(__xludf.DUMMYFUNCTION("""COMPUTED_VALUE"""),"Reel")</f>
        <v>Reel</v>
      </c>
      <c r="T925" s="4" t="str">
        <f>IFERROR(__xludf.DUMMYFUNCTION("""COMPUTED_VALUE"""),"0822")</f>
        <v>0822</v>
      </c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</row>
    <row r="926">
      <c r="A926" s="4" t="str">
        <f>IFERROR(__xludf.DUMMYFUNCTION("""COMPUTED_VALUE"""),"RESISTOR:   SMD 0603 60.4kΩ ±1% 0.100W   [RC0603FR-0760K4L] [SMD]")</f>
        <v>RESISTOR:   SMD 0603 60.4kΩ ±1% 0.100W   [RC0603FR-0760K4L] [SMD]</v>
      </c>
      <c r="B926" s="4" t="str">
        <f>IFERROR(__xludf.DUMMYFUNCTION("""COMPUTED_VALUE"""),"OEPS020101")</f>
        <v>OEPS020101</v>
      </c>
      <c r="C926" s="4" t="str">
        <f>IFERROR(__xludf.DUMMYFUNCTION("""COMPUTED_VALUE"""),"SMD")</f>
        <v>SMD</v>
      </c>
      <c r="D926" s="4" t="str">
        <f>IFERROR(__xludf.DUMMYFUNCTION("""COMPUTED_VALUE"""),"RC0603FR-0760K4L")</f>
        <v>RC0603FR-0760K4L</v>
      </c>
      <c r="E926" s="4">
        <f>IFERROR(__xludf.DUMMYFUNCTION("""COMPUTED_VALUE"""),30.0)</f>
        <v>30</v>
      </c>
      <c r="F926" s="4" t="str">
        <f>IFERROR(__xludf.DUMMYFUNCTION("""COMPUTED_VALUE"""),"DigiKey")</f>
        <v>DigiKey</v>
      </c>
      <c r="G926" s="4" t="str">
        <f>IFERROR(__xludf.DUMMYFUNCTION("""COMPUTED_VALUE"""),"311-60.4KHRDKR-ND")</f>
        <v>311-60.4KHRDKR-ND</v>
      </c>
      <c r="H926" s="4"/>
      <c r="I926" s="4"/>
      <c r="J926" s="4"/>
      <c r="K926" s="4"/>
      <c r="L926" s="4"/>
      <c r="M926" s="4"/>
      <c r="N926" s="9" t="str">
        <f>IFERROR(__xludf.DUMMYFUNCTION("""COMPUTED_VALUE"""),"OEPS080065")</f>
        <v>OEPS080065</v>
      </c>
      <c r="O926" s="4" t="str">
        <f>IFERROR(__xludf.DUMMYFUNCTION("""COMPUTED_VALUE"""),"ATMEGA168V-10MQR")</f>
        <v>ATMEGA168V-10MQR</v>
      </c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</row>
    <row r="927">
      <c r="A927" s="4" t="str">
        <f>IFERROR(__xludf.DUMMYFUNCTION("""COMPUTED_VALUE"""),"RESISTOR:   SMD 0603 626Ω ±0.1% 0.100W   [RT0603BRD07626RL] [SMD]")</f>
        <v>RESISTOR:   SMD 0603 626Ω ±0.1% 0.100W   [RT0603BRD07626RL] [SMD]</v>
      </c>
      <c r="B927" s="4" t="str">
        <f>IFERROR(__xludf.DUMMYFUNCTION("""COMPUTED_VALUE"""),"OEPS020167")</f>
        <v>OEPS020167</v>
      </c>
      <c r="C927" s="4" t="str">
        <f>IFERROR(__xludf.DUMMYFUNCTION("""COMPUTED_VALUE"""),"SMD")</f>
        <v>SMD</v>
      </c>
      <c r="D927" s="4" t="str">
        <f>IFERROR(__xludf.DUMMYFUNCTION("""COMPUTED_VALUE"""),"RT0603BRD07626RL")</f>
        <v>RT0603BRD07626RL</v>
      </c>
      <c r="E927" s="4">
        <f>IFERROR(__xludf.DUMMYFUNCTION("""COMPUTED_VALUE"""),30.0)</f>
        <v>30</v>
      </c>
      <c r="F927" s="4" t="str">
        <f>IFERROR(__xludf.DUMMYFUNCTION("""COMPUTED_VALUE"""),"DigiKey")</f>
        <v>DigiKey</v>
      </c>
      <c r="G927" s="4" t="str">
        <f>IFERROR(__xludf.DUMMYFUNCTION("""COMPUTED_VALUE"""),"13-RT0603BRD07626RLDKR-ND")</f>
        <v>13-RT0603BRD07626RLDKR-ND</v>
      </c>
      <c r="H927" s="4"/>
      <c r="I927" s="4"/>
      <c r="J927" s="4"/>
      <c r="K927" s="4"/>
      <c r="L927" s="4"/>
      <c r="M927" s="4"/>
      <c r="N927" s="9" t="str">
        <f>IFERROR(__xludf.DUMMYFUNCTION("""COMPUTED_VALUE"""),"OEPS080067")</f>
        <v>OEPS080067</v>
      </c>
      <c r="O927" s="4" t="str">
        <f>IFERROR(__xludf.DUMMYFUNCTION("""COMPUTED_VALUE"""),"DS90UB913ATRTVTQ1")</f>
        <v>DS90UB913ATRTVTQ1</v>
      </c>
      <c r="P927" s="4" t="str">
        <f>IFERROR(__xludf.DUMMYFUNCTION("""COMPUTED_VALUE"""),"8(R) 4 1 ")</f>
        <v>8(R) 4 1 </v>
      </c>
      <c r="Q927" s="4">
        <f>IFERROR(__xludf.DUMMYFUNCTION("""COMPUTED_VALUE"""),13.0)</f>
        <v>13</v>
      </c>
      <c r="R927" s="4">
        <f>IFERROR(__xludf.DUMMYFUNCTION("""COMPUTED_VALUE"""),8.0)</f>
        <v>8</v>
      </c>
      <c r="S927" s="4" t="str">
        <f>IFERROR(__xludf.DUMMYFUNCTION("""COMPUTED_VALUE"""),"Reel")</f>
        <v>Reel</v>
      </c>
      <c r="T927" s="4" t="str">
        <f>IFERROR(__xludf.DUMMYFUNCTION("""COMPUTED_VALUE"""),"0820")</f>
        <v>0820</v>
      </c>
      <c r="U927" s="4">
        <f>IFERROR(__xludf.DUMMYFUNCTION("""COMPUTED_VALUE"""),4.0)</f>
        <v>4</v>
      </c>
      <c r="V927" s="4" t="str">
        <f>IFERROR(__xludf.DUMMYFUNCTION("""COMPUTED_VALUE"""),"Box")</f>
        <v>Box</v>
      </c>
      <c r="W927" s="4" t="str">
        <f>IFERROR(__xludf.DUMMYFUNCTION("""COMPUTED_VALUE"""),"XXXX")</f>
        <v>XXXX</v>
      </c>
      <c r="X927" s="4">
        <f>IFERROR(__xludf.DUMMYFUNCTION("""COMPUTED_VALUE"""),1.0)</f>
        <v>1</v>
      </c>
      <c r="Y927" s="4" t="str">
        <f>IFERROR(__xludf.DUMMYFUNCTION("""COMPUTED_VALUE"""),"Bag")</f>
        <v>Bag</v>
      </c>
      <c r="Z927" s="4" t="str">
        <f>IFERROR(__xludf.DUMMYFUNCTION("""COMPUTED_VALUE"""),"XXXX")</f>
        <v>XXXX</v>
      </c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</row>
    <row r="928">
      <c r="A928" s="4" t="str">
        <f>IFERROR(__xludf.DUMMYFUNCTION("""COMPUTED_VALUE"""),"RESISTOR:   SMD 0603 649kΩ ±1% 0.100W   [ERJ-3EKF6493V] [SMD]")</f>
        <v>RESISTOR:   SMD 0603 649kΩ ±1% 0.100W   [ERJ-3EKF6493V] [SMD]</v>
      </c>
      <c r="B928" s="4" t="str">
        <f>IFERROR(__xludf.DUMMYFUNCTION("""COMPUTED_VALUE"""),"OEPS020102")</f>
        <v>OEPS020102</v>
      </c>
      <c r="C928" s="4" t="str">
        <f>IFERROR(__xludf.DUMMYFUNCTION("""COMPUTED_VALUE"""),"SMD")</f>
        <v>SMD</v>
      </c>
      <c r="D928" s="4" t="str">
        <f>IFERROR(__xludf.DUMMYFUNCTION("""COMPUTED_VALUE"""),"ERJ-3EKF6493V")</f>
        <v>ERJ-3EKF6493V</v>
      </c>
      <c r="E928" s="4">
        <f>IFERROR(__xludf.DUMMYFUNCTION("""COMPUTED_VALUE"""),30.0)</f>
        <v>30</v>
      </c>
      <c r="F928" s="4" t="str">
        <f>IFERROR(__xludf.DUMMYFUNCTION("""COMPUTED_VALUE"""),"DigiKey")</f>
        <v>DigiKey</v>
      </c>
      <c r="G928" s="4" t="str">
        <f>IFERROR(__xludf.DUMMYFUNCTION("""COMPUTED_VALUE"""),"P649KHDKR-ND")</f>
        <v>P649KHDKR-ND</v>
      </c>
      <c r="H928" s="4"/>
      <c r="I928" s="4"/>
      <c r="J928" s="4"/>
      <c r="K928" s="4"/>
      <c r="L928" s="4"/>
      <c r="M928" s="4"/>
      <c r="N928" s="9" t="str">
        <f>IFERROR(__xludf.DUMMYFUNCTION("""COMPUTED_VALUE"""),"OEPS080068")</f>
        <v>OEPS080068</v>
      </c>
      <c r="O928" s="4" t="str">
        <f>IFERROR(__xludf.DUMMYFUNCTION("""COMPUTED_VALUE"""),"LMV321IDCKR")</f>
        <v>LMV321IDCKR</v>
      </c>
      <c r="P928" s="4" t="str">
        <f>IFERROR(__xludf.DUMMYFUNCTION("""COMPUTED_VALUE"""),"300(Tp) 1 147(R) 58(R) ")</f>
        <v>300(Tp) 1 147(R) 58(R) </v>
      </c>
      <c r="Q928" s="4">
        <f>IFERROR(__xludf.DUMMYFUNCTION("""COMPUTED_VALUE"""),506.0)</f>
        <v>506</v>
      </c>
      <c r="R928" s="4">
        <f>IFERROR(__xludf.DUMMYFUNCTION("""COMPUTED_VALUE"""),300.0)</f>
        <v>300</v>
      </c>
      <c r="S928" s="4" t="str">
        <f>IFERROR(__xludf.DUMMYFUNCTION("""COMPUTED_VALUE"""),"Tape")</f>
        <v>Tape</v>
      </c>
      <c r="T928" s="4" t="str">
        <f>IFERROR(__xludf.DUMMYFUNCTION("""COMPUTED_VALUE"""),"1122")</f>
        <v>1122</v>
      </c>
      <c r="U928" s="4">
        <f>IFERROR(__xludf.DUMMYFUNCTION("""COMPUTED_VALUE"""),1.0)</f>
        <v>1</v>
      </c>
      <c r="V928" s="4" t="str">
        <f>IFERROR(__xludf.DUMMYFUNCTION("""COMPUTED_VALUE"""),"Bag")</f>
        <v>Bag</v>
      </c>
      <c r="W928" s="4" t="str">
        <f>IFERROR(__xludf.DUMMYFUNCTION("""COMPUTED_VALUE"""),"0224")</f>
        <v>0224</v>
      </c>
      <c r="X928" s="4">
        <f>IFERROR(__xludf.DUMMYFUNCTION("""COMPUTED_VALUE"""),147.0)</f>
        <v>147</v>
      </c>
      <c r="Y928" s="4" t="str">
        <f>IFERROR(__xludf.DUMMYFUNCTION("""COMPUTED_VALUE"""),"Reel")</f>
        <v>Reel</v>
      </c>
      <c r="Z928" s="4" t="str">
        <f>IFERROR(__xludf.DUMMYFUNCTION("""COMPUTED_VALUE"""),"1122")</f>
        <v>1122</v>
      </c>
      <c r="AA928" s="4">
        <f>IFERROR(__xludf.DUMMYFUNCTION("""COMPUTED_VALUE"""),58.0)</f>
        <v>58</v>
      </c>
      <c r="AB928" s="4" t="str">
        <f>IFERROR(__xludf.DUMMYFUNCTION("""COMPUTED_VALUE"""),"Reel")</f>
        <v>Reel</v>
      </c>
      <c r="AC928" s="4" t="str">
        <f>IFERROR(__xludf.DUMMYFUNCTION("""COMPUTED_VALUE"""),"1122")</f>
        <v>1122</v>
      </c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</row>
    <row r="929">
      <c r="A929" s="4" t="str">
        <f>IFERROR(__xludf.DUMMYFUNCTION("""COMPUTED_VALUE"""),"RESISTOR:   SMD 0603 68kΩ ±1% 0.100W   [RC0603FR-0768KL] [SMD]")</f>
        <v>RESISTOR:   SMD 0603 68kΩ ±1% 0.100W   [RC0603FR-0768KL] [SMD]</v>
      </c>
      <c r="B929" s="4" t="str">
        <f>IFERROR(__xludf.DUMMYFUNCTION("""COMPUTED_VALUE"""),"OEPS020127")</f>
        <v>OEPS020127</v>
      </c>
      <c r="C929" s="4" t="str">
        <f>IFERROR(__xludf.DUMMYFUNCTION("""COMPUTED_VALUE"""),"SMD")</f>
        <v>SMD</v>
      </c>
      <c r="D929" s="4" t="str">
        <f>IFERROR(__xludf.DUMMYFUNCTION("""COMPUTED_VALUE"""),"RC0603FR-0768KL")</f>
        <v>RC0603FR-0768KL</v>
      </c>
      <c r="E929" s="4">
        <f>IFERROR(__xludf.DUMMYFUNCTION("""COMPUTED_VALUE"""),30.0)</f>
        <v>30</v>
      </c>
      <c r="F929" s="4" t="str">
        <f>IFERROR(__xludf.DUMMYFUNCTION("""COMPUTED_VALUE"""),"Digikey")</f>
        <v>Digikey</v>
      </c>
      <c r="G929" s="4" t="str">
        <f>IFERROR(__xludf.DUMMYFUNCTION("""COMPUTED_VALUE"""),"311-68.0KHRDKR-ND")</f>
        <v>311-68.0KHRDKR-ND</v>
      </c>
      <c r="H929" s="4"/>
      <c r="I929" s="4"/>
      <c r="J929" s="4"/>
      <c r="K929" s="4"/>
      <c r="L929" s="4"/>
      <c r="M929" s="4"/>
      <c r="N929" s="9" t="str">
        <f>IFERROR(__xludf.DUMMYFUNCTION("""COMPUTED_VALUE"""),"OEPS080069")</f>
        <v>OEPS080069</v>
      </c>
      <c r="O929" s="4" t="str">
        <f>IFERROR(__xludf.DUMMYFUNCTION("""COMPUTED_VALUE"""),"LTC3218EDDB#TRMPBF")</f>
        <v>LTC3218EDDB#TRMPBF</v>
      </c>
      <c r="P929" s="4" t="str">
        <f>IFERROR(__xludf.DUMMYFUNCTION("""COMPUTED_VALUE"""),"1 39(Tp) 131(R) 111 ")</f>
        <v>1 39(Tp) 131(R) 111 </v>
      </c>
      <c r="Q929" s="4">
        <f>IFERROR(__xludf.DUMMYFUNCTION("""COMPUTED_VALUE"""),282.0)</f>
        <v>282</v>
      </c>
      <c r="R929" s="4">
        <f>IFERROR(__xludf.DUMMYFUNCTION("""COMPUTED_VALUE"""),1.0)</f>
        <v>1</v>
      </c>
      <c r="S929" s="4" t="str">
        <f>IFERROR(__xludf.DUMMYFUNCTION("""COMPUTED_VALUE"""),"Bag")</f>
        <v>Bag</v>
      </c>
      <c r="T929" s="4" t="str">
        <f>IFERROR(__xludf.DUMMYFUNCTION("""COMPUTED_VALUE"""),"0224")</f>
        <v>0224</v>
      </c>
      <c r="U929" s="4">
        <f>IFERROR(__xludf.DUMMYFUNCTION("""COMPUTED_VALUE"""),39.0)</f>
        <v>39</v>
      </c>
      <c r="V929" s="4" t="str">
        <f>IFERROR(__xludf.DUMMYFUNCTION("""COMPUTED_VALUE"""),"Tape")</f>
        <v>Tape</v>
      </c>
      <c r="W929" s="4" t="str">
        <f>IFERROR(__xludf.DUMMYFUNCTION("""COMPUTED_VALUE"""),"0722")</f>
        <v>0722</v>
      </c>
      <c r="X929" s="4">
        <f>IFERROR(__xludf.DUMMYFUNCTION("""COMPUTED_VALUE"""),131.0)</f>
        <v>131</v>
      </c>
      <c r="Y929" s="4" t="str">
        <f>IFERROR(__xludf.DUMMYFUNCTION("""COMPUTED_VALUE"""),"Reel")</f>
        <v>Reel</v>
      </c>
      <c r="Z929" s="4" t="str">
        <f>IFERROR(__xludf.DUMMYFUNCTION("""COMPUTED_VALUE"""),"1022")</f>
        <v>1022</v>
      </c>
      <c r="AA929" s="4">
        <f>IFERROR(__xludf.DUMMYFUNCTION("""COMPUTED_VALUE"""),111.0)</f>
        <v>111</v>
      </c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</row>
    <row r="930">
      <c r="A930" s="4" t="str">
        <f>IFERROR(__xludf.DUMMYFUNCTION("""COMPUTED_VALUE"""),"RESISTOR:   SMD 0603 8.2kΩ ±1% 0.100W   [ERJ-3EKF8201V] [SMD]")</f>
        <v>RESISTOR:   SMD 0603 8.2kΩ ±1% 0.100W   [ERJ-3EKF8201V] [SMD]</v>
      </c>
      <c r="B930" s="4" t="str">
        <f>IFERROR(__xludf.DUMMYFUNCTION("""COMPUTED_VALUE"""),"OEPS020103")</f>
        <v>OEPS020103</v>
      </c>
      <c r="C930" s="4" t="str">
        <f>IFERROR(__xludf.DUMMYFUNCTION("""COMPUTED_VALUE"""),"SMD")</f>
        <v>SMD</v>
      </c>
      <c r="D930" s="4" t="str">
        <f>IFERROR(__xludf.DUMMYFUNCTION("""COMPUTED_VALUE"""),"ERJ-3EKF8201V")</f>
        <v>ERJ-3EKF8201V</v>
      </c>
      <c r="E930" s="4">
        <f>IFERROR(__xludf.DUMMYFUNCTION("""COMPUTED_VALUE"""),30.0)</f>
        <v>30</v>
      </c>
      <c r="F930" s="4" t="str">
        <f>IFERROR(__xludf.DUMMYFUNCTION("""COMPUTED_VALUE"""),"DigiKey")</f>
        <v>DigiKey</v>
      </c>
      <c r="G930" s="4" t="str">
        <f>IFERROR(__xludf.DUMMYFUNCTION("""COMPUTED_VALUE"""),"P8.20KHDKR-ND")</f>
        <v>P8.20KHDKR-ND</v>
      </c>
      <c r="H930" s="4"/>
      <c r="I930" s="4"/>
      <c r="J930" s="4"/>
      <c r="K930" s="4"/>
      <c r="L930" s="4"/>
      <c r="M930" s="4"/>
      <c r="N930" s="9" t="str">
        <f>IFERROR(__xludf.DUMMYFUNCTION("""COMPUTED_VALUE"""),"OEPS080070")</f>
        <v>OEPS080070</v>
      </c>
      <c r="O930" s="4" t="str">
        <f>IFERROR(__xludf.DUMMYFUNCTION("""COMPUTED_VALUE"""),"71010120A")</f>
        <v>71010120A</v>
      </c>
      <c r="P930" s="4" t="str">
        <f>IFERROR(__xludf.DUMMYFUNCTION("""COMPUTED_VALUE"""),"1817(R) ")</f>
        <v>1817(R) </v>
      </c>
      <c r="Q930" s="4">
        <f>IFERROR(__xludf.DUMMYFUNCTION("""COMPUTED_VALUE"""),1817.0)</f>
        <v>1817</v>
      </c>
      <c r="R930" s="4">
        <f>IFERROR(__xludf.DUMMYFUNCTION("""COMPUTED_VALUE"""),1817.0)</f>
        <v>1817</v>
      </c>
      <c r="S930" s="4" t="str">
        <f>IFERROR(__xludf.DUMMYFUNCTION("""COMPUTED_VALUE"""),"Reel")</f>
        <v>Reel</v>
      </c>
      <c r="T930" s="4" t="str">
        <f>IFERROR(__xludf.DUMMYFUNCTION("""COMPUTED_VALUE"""),"0325")</f>
        <v>0325</v>
      </c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</row>
    <row r="931">
      <c r="A931" s="4" t="str">
        <f>IFERROR(__xludf.DUMMYFUNCTION("""COMPUTED_VALUE"""),"RESISTOR:   SMD 0603 82kΩ ±1% 0.100W   [RC0603FR-0782KL] [SMD]")</f>
        <v>RESISTOR:   SMD 0603 82kΩ ±1% 0.100W   [RC0603FR-0782KL] [SMD]</v>
      </c>
      <c r="B931" s="4" t="str">
        <f>IFERROR(__xludf.DUMMYFUNCTION("""COMPUTED_VALUE"""),"OEPS020185")</f>
        <v>OEPS020185</v>
      </c>
      <c r="C931" s="4" t="str">
        <f>IFERROR(__xludf.DUMMYFUNCTION("""COMPUTED_VALUE"""),"SMD")</f>
        <v>SMD</v>
      </c>
      <c r="D931" s="4" t="str">
        <f>IFERROR(__xludf.DUMMYFUNCTION("""COMPUTED_VALUE"""),"RC0603FR-0782KL")</f>
        <v>RC0603FR-0782KL</v>
      </c>
      <c r="E931" s="4">
        <f>IFERROR(__xludf.DUMMYFUNCTION("""COMPUTED_VALUE"""),20.0)</f>
        <v>20</v>
      </c>
      <c r="F931" s="4" t="str">
        <f>IFERROR(__xludf.DUMMYFUNCTION("""COMPUTED_VALUE"""),"Digikey")</f>
        <v>Digikey</v>
      </c>
      <c r="G931" s="4" t="str">
        <f>IFERROR(__xludf.DUMMYFUNCTION("""COMPUTED_VALUE"""),"311-82.0KHRDKR-ND")</f>
        <v>311-82.0KHRDKR-ND</v>
      </c>
      <c r="H931" s="4"/>
      <c r="I931" s="4"/>
      <c r="J931" s="4"/>
      <c r="K931" s="4"/>
      <c r="L931" s="4"/>
      <c r="M931" s="4"/>
      <c r="N931" s="9" t="str">
        <f>IFERROR(__xludf.DUMMYFUNCTION("""COMPUTED_VALUE"""),"OEPS080071")</f>
        <v>OEPS080071</v>
      </c>
      <c r="O931" s="4" t="str">
        <f>IFERROR(__xludf.DUMMYFUNCTION("""COMPUTED_VALUE"""),"NOIP1SP0480A-STI")</f>
        <v>NOIP1SP0480A-STI</v>
      </c>
      <c r="P931" s="4" t="str">
        <f>IFERROR(__xludf.DUMMYFUNCTION("""COMPUTED_VALUE"""),"80 ")</f>
        <v>80 </v>
      </c>
      <c r="Q931" s="4">
        <f>IFERROR(__xludf.DUMMYFUNCTION("""COMPUTED_VALUE"""),80.0)</f>
        <v>80</v>
      </c>
      <c r="R931" s="4">
        <f>IFERROR(__xludf.DUMMYFUNCTION("""COMPUTED_VALUE"""),80.0)</f>
        <v>80</v>
      </c>
      <c r="S931" s="4" t="str">
        <f>IFERROR(__xludf.DUMMYFUNCTION("""COMPUTED_VALUE"""),"Bag")</f>
        <v>Bag</v>
      </c>
      <c r="T931" s="4" t="str">
        <f>IFERROR(__xludf.DUMMYFUNCTION("""COMPUTED_VALUE"""),"1024")</f>
        <v>1024</v>
      </c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</row>
    <row r="932">
      <c r="A932" s="4" t="str">
        <f>IFERROR(__xludf.DUMMYFUNCTION("""COMPUTED_VALUE"""),"RESISTOR:   SMD 0603 84.5kΩ ±0.1% 0.100W   [ERA-3AEB8452V] [SMD]")</f>
        <v>RESISTOR:   SMD 0603 84.5kΩ ±0.1% 0.100W   [ERA-3AEB8452V] [SMD]</v>
      </c>
      <c r="B932" s="4" t="str">
        <f>IFERROR(__xludf.DUMMYFUNCTION("""COMPUTED_VALUE"""),"OEPS020158")</f>
        <v>OEPS020158</v>
      </c>
      <c r="C932" s="4" t="str">
        <f>IFERROR(__xludf.DUMMYFUNCTION("""COMPUTED_VALUE"""),"SMD")</f>
        <v>SMD</v>
      </c>
      <c r="D932" s="4" t="str">
        <f>IFERROR(__xludf.DUMMYFUNCTION("""COMPUTED_VALUE"""),"ERA-3AEB8452V")</f>
        <v>ERA-3AEB8452V</v>
      </c>
      <c r="E932" s="4">
        <f>IFERROR(__xludf.DUMMYFUNCTION("""COMPUTED_VALUE"""),30.0)</f>
        <v>30</v>
      </c>
      <c r="F932" s="4" t="str">
        <f>IFERROR(__xludf.DUMMYFUNCTION("""COMPUTED_VALUE"""),"DigiKey")</f>
        <v>DigiKey</v>
      </c>
      <c r="G932" s="4" t="str">
        <f>IFERROR(__xludf.DUMMYFUNCTION("""COMPUTED_VALUE"""),"P84.5KDBDKR-ND")</f>
        <v>P84.5KDBDKR-ND</v>
      </c>
      <c r="H932" s="4"/>
      <c r="I932" s="4"/>
      <c r="J932" s="4"/>
      <c r="K932" s="4"/>
      <c r="L932" s="4"/>
      <c r="M932" s="4"/>
      <c r="N932" s="9" t="str">
        <f>IFERROR(__xludf.DUMMYFUNCTION("""COMPUTED_VALUE"""),"OEPS080072")</f>
        <v>OEPS080072</v>
      </c>
      <c r="O932" s="4" t="str">
        <f>IFERROR(__xludf.DUMMYFUNCTION("""COMPUTED_VALUE"""),"PCA9509AGM,125")</f>
        <v>PCA9509AGM,125</v>
      </c>
      <c r="P932" s="4" t="str">
        <f>IFERROR(__xludf.DUMMYFUNCTION("""COMPUTED_VALUE"""),"1686(R) ")</f>
        <v>1686(R) </v>
      </c>
      <c r="Q932" s="4">
        <f>IFERROR(__xludf.DUMMYFUNCTION("""COMPUTED_VALUE"""),1686.0)</f>
        <v>1686</v>
      </c>
      <c r="R932" s="4">
        <f>IFERROR(__xludf.DUMMYFUNCTION("""COMPUTED_VALUE"""),1686.0)</f>
        <v>1686</v>
      </c>
      <c r="S932" s="4" t="str">
        <f>IFERROR(__xludf.DUMMYFUNCTION("""COMPUTED_VALUE"""),"Reel")</f>
        <v>Reel</v>
      </c>
      <c r="T932" s="4" t="str">
        <f>IFERROR(__xludf.DUMMYFUNCTION("""COMPUTED_VALUE"""),"XX24")</f>
        <v>XX24</v>
      </c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</row>
    <row r="933">
      <c r="A933" s="4" t="str">
        <f>IFERROR(__xludf.DUMMYFUNCTION("""COMPUTED_VALUE"""),"RESISTOR:   SMD 0603 9.53kΩ ±1% 0.100W   [RC0603FR-079K53L] [SMD]")</f>
        <v>RESISTOR:   SMD 0603 9.53kΩ ±1% 0.100W   [RC0603FR-079K53L] [SMD]</v>
      </c>
      <c r="B933" s="4" t="str">
        <f>IFERROR(__xludf.DUMMYFUNCTION("""COMPUTED_VALUE"""),"OEPS020118")</f>
        <v>OEPS020118</v>
      </c>
      <c r="C933" s="4" t="str">
        <f>IFERROR(__xludf.DUMMYFUNCTION("""COMPUTED_VALUE"""),"SMD")</f>
        <v>SMD</v>
      </c>
      <c r="D933" s="4" t="str">
        <f>IFERROR(__xludf.DUMMYFUNCTION("""COMPUTED_VALUE"""),"RC0603FR-079K53L")</f>
        <v>RC0603FR-079K53L</v>
      </c>
      <c r="E933" s="4">
        <f>IFERROR(__xludf.DUMMYFUNCTION("""COMPUTED_VALUE"""),30.0)</f>
        <v>30</v>
      </c>
      <c r="F933" s="4" t="str">
        <f>IFERROR(__xludf.DUMMYFUNCTION("""COMPUTED_VALUE"""),"Digikey")</f>
        <v>Digikey</v>
      </c>
      <c r="G933" s="4" t="str">
        <f>IFERROR(__xludf.DUMMYFUNCTION("""COMPUTED_VALUE"""),"311-9.53KHRDKR-ND")</f>
        <v>311-9.53KHRDKR-ND</v>
      </c>
      <c r="H933" s="4"/>
      <c r="I933" s="4"/>
      <c r="J933" s="4"/>
      <c r="K933" s="4"/>
      <c r="L933" s="4"/>
      <c r="M933" s="4"/>
      <c r="N933" s="9" t="str">
        <f>IFERROR(__xludf.DUMMYFUNCTION("""COMPUTED_VALUE"""),"OEPS080073")</f>
        <v>OEPS080073</v>
      </c>
      <c r="O933" s="4" t="str">
        <f>IFERROR(__xludf.DUMMYFUNCTION("""COMPUTED_VALUE"""),"KC2520K66.6667C1GE00")</f>
        <v>KC2520K66.6667C1GE00</v>
      </c>
      <c r="P933" s="4" t="str">
        <f>IFERROR(__xludf.DUMMYFUNCTION("""COMPUTED_VALUE"""),"22(R) ")</f>
        <v>22(R) </v>
      </c>
      <c r="Q933" s="4">
        <f>IFERROR(__xludf.DUMMYFUNCTION("""COMPUTED_VALUE"""),22.0)</f>
        <v>22</v>
      </c>
      <c r="R933" s="4">
        <f>IFERROR(__xludf.DUMMYFUNCTION("""COMPUTED_VALUE"""),22.0)</f>
        <v>22</v>
      </c>
      <c r="S933" s="4" t="str">
        <f>IFERROR(__xludf.DUMMYFUNCTION("""COMPUTED_VALUE"""),"Reel")</f>
        <v>Reel</v>
      </c>
      <c r="T933" s="4" t="str">
        <f>IFERROR(__xludf.DUMMYFUNCTION("""COMPUTED_VALUE"""),"0921")</f>
        <v>0921</v>
      </c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</row>
    <row r="934">
      <c r="A934" s="4" t="str">
        <f>IFERROR(__xludf.DUMMYFUNCTION("""COMPUTED_VALUE"""),"RESISTOR:   SMD 0603 90.9kΩ ±1% 0.100W   [RMCF0603FT90K9] [SMD]")</f>
        <v>RESISTOR:   SMD 0603 90.9kΩ ±1% 0.100W   [RMCF0603FT90K9] [SMD]</v>
      </c>
      <c r="B934" s="4" t="str">
        <f>IFERROR(__xludf.DUMMYFUNCTION("""COMPUTED_VALUE"""),"OEPS020098")</f>
        <v>OEPS020098</v>
      </c>
      <c r="C934" s="4" t="str">
        <f>IFERROR(__xludf.DUMMYFUNCTION("""COMPUTED_VALUE"""),"SMD")</f>
        <v>SMD</v>
      </c>
      <c r="D934" s="4" t="str">
        <f>IFERROR(__xludf.DUMMYFUNCTION("""COMPUTED_VALUE"""),"RMCF0603FT90K9")</f>
        <v>RMCF0603FT90K9</v>
      </c>
      <c r="E934" s="4">
        <f>IFERROR(__xludf.DUMMYFUNCTION("""COMPUTED_VALUE"""),30.0)</f>
        <v>30</v>
      </c>
      <c r="F934" s="4" t="str">
        <f>IFERROR(__xludf.DUMMYFUNCTION("""COMPUTED_VALUE"""),"DigiKey")</f>
        <v>DigiKey</v>
      </c>
      <c r="G934" s="4" t="str">
        <f>IFERROR(__xludf.DUMMYFUNCTION("""COMPUTED_VALUE"""),"RMCF0603FT90K9DKR-ND")</f>
        <v>RMCF0603FT90K9DKR-ND</v>
      </c>
      <c r="H934" s="4"/>
      <c r="I934" s="4"/>
      <c r="J934" s="4"/>
      <c r="K934" s="4"/>
      <c r="L934" s="4"/>
      <c r="M934" s="4"/>
      <c r="N934" s="9" t="str">
        <f>IFERROR(__xludf.DUMMYFUNCTION("""COMPUTED_VALUE"""),"OEPS080074")</f>
        <v>OEPS080074</v>
      </c>
      <c r="O934" s="4" t="str">
        <f>IFERROR(__xludf.DUMMYFUNCTION("""COMPUTED_VALUE"""),"TLV7103318DSER")</f>
        <v>TLV7103318DSER</v>
      </c>
      <c r="P934" s="4" t="str">
        <f>IFERROR(__xludf.DUMMYFUNCTION("""COMPUTED_VALUE"""),"1(Tp) 495(R) 42(R) ")</f>
        <v>1(Tp) 495(R) 42(R) </v>
      </c>
      <c r="Q934" s="4">
        <f>IFERROR(__xludf.DUMMYFUNCTION("""COMPUTED_VALUE"""),538.0)</f>
        <v>538</v>
      </c>
      <c r="R934" s="4">
        <f>IFERROR(__xludf.DUMMYFUNCTION("""COMPUTED_VALUE"""),1.0)</f>
        <v>1</v>
      </c>
      <c r="S934" s="4" t="str">
        <f>IFERROR(__xludf.DUMMYFUNCTION("""COMPUTED_VALUE"""),"Tape")</f>
        <v>Tape</v>
      </c>
      <c r="T934" s="4" t="str">
        <f>IFERROR(__xludf.DUMMYFUNCTION("""COMPUTED_VALUE"""),"0224")</f>
        <v>0224</v>
      </c>
      <c r="U934" s="4">
        <f>IFERROR(__xludf.DUMMYFUNCTION("""COMPUTED_VALUE"""),495.0)</f>
        <v>495</v>
      </c>
      <c r="V934" s="4" t="str">
        <f>IFERROR(__xludf.DUMMYFUNCTION("""COMPUTED_VALUE"""),"Reel")</f>
        <v>Reel</v>
      </c>
      <c r="W934" s="4" t="str">
        <f>IFERROR(__xludf.DUMMYFUNCTION("""COMPUTED_VALUE"""),"0921")</f>
        <v>0921</v>
      </c>
      <c r="X934" s="4">
        <f>IFERROR(__xludf.DUMMYFUNCTION("""COMPUTED_VALUE"""),42.0)</f>
        <v>42</v>
      </c>
      <c r="Y934" s="4" t="str">
        <f>IFERROR(__xludf.DUMMYFUNCTION("""COMPUTED_VALUE"""),"Reel")</f>
        <v>Reel</v>
      </c>
      <c r="Z934" s="4" t="str">
        <f>IFERROR(__xludf.DUMMYFUNCTION("""COMPUTED_VALUE"""),"0820")</f>
        <v>0820</v>
      </c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</row>
    <row r="935">
      <c r="A935" s="4" t="str">
        <f>IFERROR(__xludf.DUMMYFUNCTION("""COMPUTED_VALUE"""),"RESISTOR:   SMD 0603 95.3kΩ ±1% 0.100W   [RC0603FR-0795K3L] [SMD]")</f>
        <v>RESISTOR:   SMD 0603 95.3kΩ ±1% 0.100W   [RC0603FR-0795K3L] [SMD]</v>
      </c>
      <c r="B935" s="4" t="str">
        <f>IFERROR(__xludf.DUMMYFUNCTION("""COMPUTED_VALUE"""),"OEPS020124")</f>
        <v>OEPS020124</v>
      </c>
      <c r="C935" s="4" t="str">
        <f>IFERROR(__xludf.DUMMYFUNCTION("""COMPUTED_VALUE"""),"SMD")</f>
        <v>SMD</v>
      </c>
      <c r="D935" s="4" t="str">
        <f>IFERROR(__xludf.DUMMYFUNCTION("""COMPUTED_VALUE"""),"RC0603FR-0795K3L")</f>
        <v>RC0603FR-0795K3L</v>
      </c>
      <c r="E935" s="4">
        <f>IFERROR(__xludf.DUMMYFUNCTION("""COMPUTED_VALUE"""),30.0)</f>
        <v>30</v>
      </c>
      <c r="F935" s="4" t="str">
        <f>IFERROR(__xludf.DUMMYFUNCTION("""COMPUTED_VALUE"""),"Digikey")</f>
        <v>Digikey</v>
      </c>
      <c r="G935" s="4" t="str">
        <f>IFERROR(__xludf.DUMMYFUNCTION("""COMPUTED_VALUE"""),"311-95.3KHRDKR-ND")</f>
        <v>311-95.3KHRDKR-ND</v>
      </c>
      <c r="H935" s="4"/>
      <c r="I935" s="4"/>
      <c r="J935" s="4"/>
      <c r="K935" s="4"/>
      <c r="L935" s="4"/>
      <c r="M935" s="4"/>
      <c r="N935" s="9" t="str">
        <f>IFERROR(__xludf.DUMMYFUNCTION("""COMPUTED_VALUE"""),"OEPS080075")</f>
        <v>OEPS080075</v>
      </c>
      <c r="O935" s="4" t="str">
        <f>IFERROR(__xludf.DUMMYFUNCTION("""COMPUTED_VALUE"""),"TPL0102-100RUCR")</f>
        <v>TPL0102-100RUCR</v>
      </c>
      <c r="P935" s="4" t="str">
        <f>IFERROR(__xludf.DUMMYFUNCTION("""COMPUTED_VALUE"""),"2(Tp) 1(Tp) ")</f>
        <v>2(Tp) 1(Tp) </v>
      </c>
      <c r="Q935" s="4">
        <f>IFERROR(__xludf.DUMMYFUNCTION("""COMPUTED_VALUE"""),3.0)</f>
        <v>3</v>
      </c>
      <c r="R935" s="4">
        <f>IFERROR(__xludf.DUMMYFUNCTION("""COMPUTED_VALUE"""),2.0)</f>
        <v>2</v>
      </c>
      <c r="S935" s="4" t="str">
        <f>IFERROR(__xludf.DUMMYFUNCTION("""COMPUTED_VALUE"""),"Tape")</f>
        <v>Tape</v>
      </c>
      <c r="T935" s="4" t="str">
        <f>IFERROR(__xludf.DUMMYFUNCTION("""COMPUTED_VALUE"""),"1122")</f>
        <v>1122</v>
      </c>
      <c r="U935" s="4">
        <f>IFERROR(__xludf.DUMMYFUNCTION("""COMPUTED_VALUE"""),1.0)</f>
        <v>1</v>
      </c>
      <c r="V935" s="4" t="str">
        <f>IFERROR(__xludf.DUMMYFUNCTION("""COMPUTED_VALUE"""),"Tape")</f>
        <v>Tape</v>
      </c>
      <c r="W935" s="4" t="str">
        <f>IFERROR(__xludf.DUMMYFUNCTION("""COMPUTED_VALUE"""),"0224")</f>
        <v>0224</v>
      </c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</row>
    <row r="936">
      <c r="A936" s="4" t="str">
        <f>IFERROR(__xludf.DUMMYFUNCTION("""COMPUTED_VALUE"""),"RESISTOR:   SMD 0805 0.13Ω ±1% 0.250W   [ERJ-U6SFR13V] [SMD]")</f>
        <v>RESISTOR:   SMD 0805 0.13Ω ±1% 0.250W   [ERJ-U6SFR13V] [SMD]</v>
      </c>
      <c r="B936" s="4" t="str">
        <f>IFERROR(__xludf.DUMMYFUNCTION("""COMPUTED_VALUE"""),"OEPS020194")</f>
        <v>OEPS020194</v>
      </c>
      <c r="C936" s="4" t="str">
        <f>IFERROR(__xludf.DUMMYFUNCTION("""COMPUTED_VALUE"""),"SMD")</f>
        <v>SMD</v>
      </c>
      <c r="D936" s="4" t="str">
        <f>IFERROR(__xludf.DUMMYFUNCTION("""COMPUTED_VALUE"""),"ERJ-U6SFR13V")</f>
        <v>ERJ-U6SFR13V</v>
      </c>
      <c r="E936" s="4">
        <f>IFERROR(__xludf.DUMMYFUNCTION("""COMPUTED_VALUE"""),20.0)</f>
        <v>20</v>
      </c>
      <c r="F936" s="4" t="str">
        <f>IFERROR(__xludf.DUMMYFUNCTION("""COMPUTED_VALUE"""),"Digikey")</f>
        <v>Digikey</v>
      </c>
      <c r="G936" s="4" t="str">
        <f>IFERROR(__xludf.DUMMYFUNCTION("""COMPUTED_VALUE"""),"P.13BJDKR-ND")</f>
        <v>P.13BJDKR-ND</v>
      </c>
      <c r="H936" s="4"/>
      <c r="I936" s="4"/>
      <c r="J936" s="4"/>
      <c r="K936" s="4"/>
      <c r="L936" s="4"/>
      <c r="M936" s="4"/>
      <c r="N936" s="9" t="str">
        <f>IFERROR(__xludf.DUMMYFUNCTION("""COMPUTED_VALUE"""),"OEPS080076")</f>
        <v>OEPS080076</v>
      </c>
      <c r="O936" s="4" t="str">
        <f>IFERROR(__xludf.DUMMYFUNCTION("""COMPUTED_VALUE"""),"NCP163AMX330TBG")</f>
        <v>NCP163AMX330TBG</v>
      </c>
      <c r="P936" s="4" t="str">
        <f>IFERROR(__xludf.DUMMYFUNCTION("""COMPUTED_VALUE"""),"13 95(R) 396(R) ")</f>
        <v>13 95(R) 396(R) </v>
      </c>
      <c r="Q936" s="4">
        <f>IFERROR(__xludf.DUMMYFUNCTION("""COMPUTED_VALUE"""),504.0)</f>
        <v>504</v>
      </c>
      <c r="R936" s="4">
        <f>IFERROR(__xludf.DUMMYFUNCTION("""COMPUTED_VALUE"""),13.0)</f>
        <v>13</v>
      </c>
      <c r="S936" s="4" t="str">
        <f>IFERROR(__xludf.DUMMYFUNCTION("""COMPUTED_VALUE"""),"Bag")</f>
        <v>Bag</v>
      </c>
      <c r="T936" s="4" t="str">
        <f>IFERROR(__xludf.DUMMYFUNCTION("""COMPUTED_VALUE"""),"XXXX")</f>
        <v>XXXX</v>
      </c>
      <c r="U936" s="4">
        <f>IFERROR(__xludf.DUMMYFUNCTION("""COMPUTED_VALUE"""),95.0)</f>
        <v>95</v>
      </c>
      <c r="V936" s="4" t="str">
        <f>IFERROR(__xludf.DUMMYFUNCTION("""COMPUTED_VALUE"""),"Reel")</f>
        <v>Reel</v>
      </c>
      <c r="W936" s="4" t="str">
        <f>IFERROR(__xludf.DUMMYFUNCTION("""COMPUTED_VALUE"""),"1022")</f>
        <v>1022</v>
      </c>
      <c r="X936" s="4">
        <f>IFERROR(__xludf.DUMMYFUNCTION("""COMPUTED_VALUE"""),396.0)</f>
        <v>396</v>
      </c>
      <c r="Y936" s="4" t="str">
        <f>IFERROR(__xludf.DUMMYFUNCTION("""COMPUTED_VALUE"""),"Reel")</f>
        <v>Reel</v>
      </c>
      <c r="Z936" s="4" t="str">
        <f>IFERROR(__xludf.DUMMYFUNCTION("""COMPUTED_VALUE"""),"0921")</f>
        <v>0921</v>
      </c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</row>
    <row r="937">
      <c r="A937" s="4" t="str">
        <f>IFERROR(__xludf.DUMMYFUNCTION("""COMPUTED_VALUE"""),"RESISTOR:   SMD 0805 0.5Ω ±1% 0.333W    [RL1220S-R50-F] [SMD]")</f>
        <v>RESISTOR:   SMD 0805 0.5Ω ±1% 0.333W    [RL1220S-R50-F] [SMD]</v>
      </c>
      <c r="B937" s="4" t="str">
        <f>IFERROR(__xludf.DUMMYFUNCTION("""COMPUTED_VALUE"""),"OEPS020221")</f>
        <v>OEPS020221</v>
      </c>
      <c r="C937" s="4" t="str">
        <f>IFERROR(__xludf.DUMMYFUNCTION("""COMPUTED_VALUE"""),"SMD")</f>
        <v>SMD</v>
      </c>
      <c r="D937" s="4" t="str">
        <f>IFERROR(__xludf.DUMMYFUNCTION("""COMPUTED_VALUE"""),"RL1220S-R50-F")</f>
        <v>RL1220S-R50-F</v>
      </c>
      <c r="E937" s="4">
        <f>IFERROR(__xludf.DUMMYFUNCTION("""COMPUTED_VALUE"""),20.0)</f>
        <v>20</v>
      </c>
      <c r="F937" s="4" t="str">
        <f>IFERROR(__xludf.DUMMYFUNCTION("""COMPUTED_VALUE"""),"Digikey")</f>
        <v>Digikey</v>
      </c>
      <c r="G937" s="4" t="str">
        <f>IFERROR(__xludf.DUMMYFUNCTION("""COMPUTED_VALUE"""),"RL12S.50FDKR-ND")</f>
        <v>RL12S.50FDKR-ND</v>
      </c>
      <c r="H937" s="4"/>
      <c r="I937" s="4"/>
      <c r="J937" s="4"/>
      <c r="K937" s="4"/>
      <c r="L937" s="4"/>
      <c r="M937" s="4"/>
      <c r="N937" s="9" t="str">
        <f>IFERROR(__xludf.DUMMYFUNCTION("""COMPUTED_VALUE"""),"OEPS080077")</f>
        <v>OEPS080077</v>
      </c>
      <c r="O937" s="4" t="str">
        <f>IFERROR(__xludf.DUMMYFUNCTION("""COMPUTED_VALUE"""),"NCP163AFCT180T2G")</f>
        <v>NCP163AFCT180T2G</v>
      </c>
      <c r="P937" s="4" t="str">
        <f>IFERROR(__xludf.DUMMYFUNCTION("""COMPUTED_VALUE"""),"397(Tp) 2 ")</f>
        <v>397(Tp) 2 </v>
      </c>
      <c r="Q937" s="4">
        <f>IFERROR(__xludf.DUMMYFUNCTION("""COMPUTED_VALUE"""),399.0)</f>
        <v>399</v>
      </c>
      <c r="R937" s="4">
        <f>IFERROR(__xludf.DUMMYFUNCTION("""COMPUTED_VALUE"""),397.0)</f>
        <v>397</v>
      </c>
      <c r="S937" s="4" t="str">
        <f>IFERROR(__xludf.DUMMYFUNCTION("""COMPUTED_VALUE"""),"Tape")</f>
        <v>Tape</v>
      </c>
      <c r="T937" s="4" t="str">
        <f>IFERROR(__xludf.DUMMYFUNCTION("""COMPUTED_VALUE"""),"XX23")</f>
        <v>XX23</v>
      </c>
      <c r="U937" s="4">
        <f>IFERROR(__xludf.DUMMYFUNCTION("""COMPUTED_VALUE"""),2.0)</f>
        <v>2</v>
      </c>
      <c r="V937" s="4" t="str">
        <f>IFERROR(__xludf.DUMMYFUNCTION("""COMPUTED_VALUE"""),"Bag")</f>
        <v>Bag</v>
      </c>
      <c r="W937" s="4" t="str">
        <f>IFERROR(__xludf.DUMMYFUNCTION("""COMPUTED_VALUE"""),"XXXX")</f>
        <v>XXXX</v>
      </c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</row>
    <row r="938">
      <c r="A938" s="4" t="str">
        <f>IFERROR(__xludf.DUMMYFUNCTION("""COMPUTED_VALUE"""),"RESISTOR:   SMD 0805 0.68Ω ±1% 0.250W   [RL0805FR-7W0R68L] [SMD]")</f>
        <v>RESISTOR:   SMD 0805 0.68Ω ±1% 0.250W   [RL0805FR-7W0R68L] [SMD]</v>
      </c>
      <c r="B938" s="4" t="str">
        <f>IFERROR(__xludf.DUMMYFUNCTION("""COMPUTED_VALUE"""),"OEPS020195")</f>
        <v>OEPS020195</v>
      </c>
      <c r="C938" s="4" t="str">
        <f>IFERROR(__xludf.DUMMYFUNCTION("""COMPUTED_VALUE"""),"SMD")</f>
        <v>SMD</v>
      </c>
      <c r="D938" s="4" t="str">
        <f>IFERROR(__xludf.DUMMYFUNCTION("""COMPUTED_VALUE"""),"RL0805FR-7W0R68L")</f>
        <v>RL0805FR-7W0R68L</v>
      </c>
      <c r="E938" s="4">
        <f>IFERROR(__xludf.DUMMYFUNCTION("""COMPUTED_VALUE"""),20.0)</f>
        <v>20</v>
      </c>
      <c r="F938" s="4" t="str">
        <f>IFERROR(__xludf.DUMMYFUNCTION("""COMPUTED_VALUE"""),"Digikey")</f>
        <v>Digikey</v>
      </c>
      <c r="G938" s="4" t="str">
        <f>IFERROR(__xludf.DUMMYFUNCTION("""COMPUTED_VALUE"""),"311-.68LUDKR-ND")</f>
        <v>311-.68LUDKR-ND</v>
      </c>
      <c r="H938" s="4"/>
      <c r="I938" s="4"/>
      <c r="J938" s="4"/>
      <c r="K938" s="4"/>
      <c r="L938" s="4"/>
      <c r="M938" s="4"/>
      <c r="N938" s="9" t="str">
        <f>IFERROR(__xludf.DUMMYFUNCTION("""COMPUTED_VALUE"""),"OEPS080080")</f>
        <v>OEPS080080</v>
      </c>
      <c r="O938" s="4" t="str">
        <f>IFERROR(__xludf.DUMMYFUNCTION("""COMPUTED_VALUE"""),"RHD2132 #D8214")</f>
        <v>RHD2132 #D8214</v>
      </c>
      <c r="P938" s="4" t="str">
        <f>IFERROR(__xludf.DUMMYFUNCTION("""COMPUTED_VALUE"""),"25 25 25 25 25 20 20 20 ")</f>
        <v>25 25 25 25 25 20 20 20 </v>
      </c>
      <c r="Q938" s="4">
        <f>IFERROR(__xludf.DUMMYFUNCTION("""COMPUTED_VALUE"""),185.0)</f>
        <v>185</v>
      </c>
      <c r="R938" s="4">
        <f>IFERROR(__xludf.DUMMYFUNCTION("""COMPUTED_VALUE"""),25.0)</f>
        <v>25</v>
      </c>
      <c r="S938" s="4" t="str">
        <f>IFERROR(__xludf.DUMMYFUNCTION("""COMPUTED_VALUE"""),"Box")</f>
        <v>Box</v>
      </c>
      <c r="T938" s="4" t="str">
        <f>IFERROR(__xludf.DUMMYFUNCTION("""COMPUTED_VALUE"""),"0526")</f>
        <v>0526</v>
      </c>
      <c r="U938" s="4">
        <f>IFERROR(__xludf.DUMMYFUNCTION("""COMPUTED_VALUE"""),25.0)</f>
        <v>25</v>
      </c>
      <c r="V938" s="4" t="str">
        <f>IFERROR(__xludf.DUMMYFUNCTION("""COMPUTED_VALUE"""),"Box")</f>
        <v>Box</v>
      </c>
      <c r="W938" s="4" t="str">
        <f>IFERROR(__xludf.DUMMYFUNCTION("""COMPUTED_VALUE"""),"0526")</f>
        <v>0526</v>
      </c>
      <c r="X938" s="4">
        <f>IFERROR(__xludf.DUMMYFUNCTION("""COMPUTED_VALUE"""),25.0)</f>
        <v>25</v>
      </c>
      <c r="Y938" s="4" t="str">
        <f>IFERROR(__xludf.DUMMYFUNCTION("""COMPUTED_VALUE"""),"Box")</f>
        <v>Box</v>
      </c>
      <c r="Z938" s="4" t="str">
        <f>IFERROR(__xludf.DUMMYFUNCTION("""COMPUTED_VALUE"""),"0526")</f>
        <v>0526</v>
      </c>
      <c r="AA938" s="4">
        <f>IFERROR(__xludf.DUMMYFUNCTION("""COMPUTED_VALUE"""),25.0)</f>
        <v>25</v>
      </c>
      <c r="AB938" s="4" t="str">
        <f>IFERROR(__xludf.DUMMYFUNCTION("""COMPUTED_VALUE"""),"Box")</f>
        <v>Box</v>
      </c>
      <c r="AC938" s="4" t="str">
        <f>IFERROR(__xludf.DUMMYFUNCTION("""COMPUTED_VALUE"""),"0526")</f>
        <v>0526</v>
      </c>
      <c r="AD938" s="4">
        <f>IFERROR(__xludf.DUMMYFUNCTION("""COMPUTED_VALUE"""),25.0)</f>
        <v>25</v>
      </c>
      <c r="AE938" s="4" t="str">
        <f>IFERROR(__xludf.DUMMYFUNCTION("""COMPUTED_VALUE"""),"Box")</f>
        <v>Box</v>
      </c>
      <c r="AF938" s="4" t="str">
        <f>IFERROR(__xludf.DUMMYFUNCTION("""COMPUTED_VALUE"""),"0526")</f>
        <v>0526</v>
      </c>
      <c r="AG938" s="4">
        <f>IFERROR(__xludf.DUMMYFUNCTION("""COMPUTED_VALUE"""),20.0)</f>
        <v>20</v>
      </c>
      <c r="AH938" s="4" t="str">
        <f>IFERROR(__xludf.DUMMYFUNCTION("""COMPUTED_VALUE"""),"Box")</f>
        <v>Box</v>
      </c>
      <c r="AI938" s="4" t="str">
        <f>IFERROR(__xludf.DUMMYFUNCTION("""COMPUTED_VALUE"""),"0526")</f>
        <v>0526</v>
      </c>
      <c r="AJ938" s="4">
        <f>IFERROR(__xludf.DUMMYFUNCTION("""COMPUTED_VALUE"""),20.0)</f>
        <v>20</v>
      </c>
      <c r="AK938" s="4" t="str">
        <f>IFERROR(__xludf.DUMMYFUNCTION("""COMPUTED_VALUE"""),"Box")</f>
        <v>Box</v>
      </c>
      <c r="AL938" s="4" t="str">
        <f>IFERROR(__xludf.DUMMYFUNCTION("""COMPUTED_VALUE"""),"0526")</f>
        <v>0526</v>
      </c>
      <c r="AM938" s="4">
        <f>IFERROR(__xludf.DUMMYFUNCTION("""COMPUTED_VALUE"""),20.0)</f>
        <v>20</v>
      </c>
      <c r="AN938" s="4"/>
      <c r="AO938" s="4"/>
      <c r="AP938" s="4"/>
      <c r="AQ938" s="4"/>
      <c r="AR938" s="4"/>
      <c r="AS938" s="4"/>
      <c r="AT938" s="4"/>
      <c r="AU938" s="4"/>
      <c r="AV938" s="4"/>
      <c r="AW938" s="4"/>
    </row>
    <row r="939">
      <c r="A939" s="4" t="str">
        <f>IFERROR(__xludf.DUMMYFUNCTION("""COMPUTED_VALUE"""),"RESISTOR:   SMD 0805 0Ω 2A   [RC0805JR-070RL] [SMD]")</f>
        <v>RESISTOR:   SMD 0805 0Ω 2A   [RC0805JR-070RL] [SMD]</v>
      </c>
      <c r="B939" s="4" t="str">
        <f>IFERROR(__xludf.DUMMYFUNCTION("""COMPUTED_VALUE"""),"OEPS020025")</f>
        <v>OEPS020025</v>
      </c>
      <c r="C939" s="4" t="str">
        <f>IFERROR(__xludf.DUMMYFUNCTION("""COMPUTED_VALUE"""),"SMD")</f>
        <v>SMD</v>
      </c>
      <c r="D939" s="4" t="str">
        <f>IFERROR(__xludf.DUMMYFUNCTION("""COMPUTED_VALUE"""),"RC0805JR-070RL")</f>
        <v>RC0805JR-070RL</v>
      </c>
      <c r="E939" s="4">
        <f>IFERROR(__xludf.DUMMYFUNCTION("""COMPUTED_VALUE"""),20.0)</f>
        <v>20</v>
      </c>
      <c r="F939" s="4" t="str">
        <f>IFERROR(__xludf.DUMMYFUNCTION("""COMPUTED_VALUE"""),"DigiKey")</f>
        <v>DigiKey</v>
      </c>
      <c r="G939" s="4" t="str">
        <f>IFERROR(__xludf.DUMMYFUNCTION("""COMPUTED_VALUE"""),"311-0.0ARCT-ND")</f>
        <v>311-0.0ARCT-ND</v>
      </c>
      <c r="H939" s="4"/>
      <c r="I939" s="4"/>
      <c r="J939" s="4"/>
      <c r="K939" s="4"/>
      <c r="L939" s="4"/>
      <c r="M939" s="4"/>
      <c r="N939" s="9" t="str">
        <f>IFERROR(__xludf.DUMMYFUNCTION("""COMPUTED_VALUE"""),"OEPS080081")</f>
        <v>OEPS080081</v>
      </c>
      <c r="O939" s="4" t="str">
        <f>IFERROR(__xludf.DUMMYFUNCTION("""COMPUTED_VALUE"""),"RHD2164 #D8215")</f>
        <v>RHD2164 #D8215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</row>
    <row r="940">
      <c r="A940" s="4" t="str">
        <f>IFERROR(__xludf.DUMMYFUNCTION("""COMPUTED_VALUE"""),"RESISTOR:   SMD 0805 1.24kΩ ±1% 0.125W   [ERJ-6ENF1241V] [SMD]")</f>
        <v>RESISTOR:   SMD 0805 1.24kΩ ±1% 0.125W   [ERJ-6ENF1241V] [SMD]</v>
      </c>
      <c r="B940" s="4" t="str">
        <f>IFERROR(__xludf.DUMMYFUNCTION("""COMPUTED_VALUE"""),"OEPS020197")</f>
        <v>OEPS020197</v>
      </c>
      <c r="C940" s="4" t="str">
        <f>IFERROR(__xludf.DUMMYFUNCTION("""COMPUTED_VALUE"""),"SMD")</f>
        <v>SMD</v>
      </c>
      <c r="D940" s="4" t="str">
        <f>IFERROR(__xludf.DUMMYFUNCTION("""COMPUTED_VALUE"""),"ERJ-6ENF1241V")</f>
        <v>ERJ-6ENF1241V</v>
      </c>
      <c r="E940" s="4">
        <f>IFERROR(__xludf.DUMMYFUNCTION("""COMPUTED_VALUE"""),20.0)</f>
        <v>20</v>
      </c>
      <c r="F940" s="4" t="str">
        <f>IFERROR(__xludf.DUMMYFUNCTION("""COMPUTED_VALUE"""),"Digikey")</f>
        <v>Digikey</v>
      </c>
      <c r="G940" s="4" t="str">
        <f>IFERROR(__xludf.DUMMYFUNCTION("""COMPUTED_VALUE"""),"P1.24KCDKR-ND")</f>
        <v>P1.24KCDKR-ND</v>
      </c>
      <c r="H940" s="4"/>
      <c r="I940" s="4"/>
      <c r="J940" s="4"/>
      <c r="K940" s="4"/>
      <c r="L940" s="4"/>
      <c r="M940" s="4"/>
      <c r="N940" s="9" t="str">
        <f>IFERROR(__xludf.DUMMYFUNCTION("""COMPUTED_VALUE"""),"OEPS080082")</f>
        <v>OEPS080082</v>
      </c>
      <c r="O940" s="4" t="str">
        <f>IFERROR(__xludf.DUMMYFUNCTION("""COMPUTED_VALUE"""),"TLV70725PDQNT")</f>
        <v>TLV70725PDQNT</v>
      </c>
      <c r="P940" s="4" t="str">
        <f>IFERROR(__xludf.DUMMYFUNCTION("""COMPUTED_VALUE"""),"42(Tp) ")</f>
        <v>42(Tp) </v>
      </c>
      <c r="Q940" s="4">
        <f>IFERROR(__xludf.DUMMYFUNCTION("""COMPUTED_VALUE"""),42.0)</f>
        <v>42</v>
      </c>
      <c r="R940" s="4">
        <f>IFERROR(__xludf.DUMMYFUNCTION("""COMPUTED_VALUE"""),42.0)</f>
        <v>42</v>
      </c>
      <c r="S940" s="4" t="str">
        <f>IFERROR(__xludf.DUMMYFUNCTION("""COMPUTED_VALUE"""),"Tape")</f>
        <v>Tape</v>
      </c>
      <c r="T940" s="4" t="str">
        <f>IFERROR(__xludf.DUMMYFUNCTION("""COMPUTED_VALUE"""),"0325")</f>
        <v>0325</v>
      </c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</row>
    <row r="941">
      <c r="A941" s="4" t="str">
        <f>IFERROR(__xludf.DUMMYFUNCTION("""COMPUTED_VALUE"""),"RESISTOR:   SMD 0805 100kΩ ±1% 0.125W   [MCWR08X1003FTL] [SMD]")</f>
        <v>RESISTOR:   SMD 0805 100kΩ ±1% 0.125W   [MCWR08X1003FTL] [SMD]</v>
      </c>
      <c r="B941" s="4" t="str">
        <f>IFERROR(__xludf.DUMMYFUNCTION("""COMPUTED_VALUE"""),"OEPS020180")</f>
        <v>OEPS020180</v>
      </c>
      <c r="C941" s="4" t="str">
        <f>IFERROR(__xludf.DUMMYFUNCTION("""COMPUTED_VALUE"""),"SMD")</f>
        <v>SMD</v>
      </c>
      <c r="D941" s="4" t="str">
        <f>IFERROR(__xludf.DUMMYFUNCTION("""COMPUTED_VALUE"""),"MCWR08X1003FTL")</f>
        <v>MCWR08X1003FTL</v>
      </c>
      <c r="E941" s="4">
        <f>IFERROR(__xludf.DUMMYFUNCTION("""COMPUTED_VALUE"""),20.0)</f>
        <v>20</v>
      </c>
      <c r="F941" s="4" t="str">
        <f>IFERROR(__xludf.DUMMYFUNCTION("""COMPUTED_VALUE"""),"Farnell")</f>
        <v>Farnell</v>
      </c>
      <c r="G941" s="4" t="str">
        <f>IFERROR(__xludf.DUMMYFUNCTION("""COMPUTED_VALUE"""),"2447551")</f>
        <v>2447551</v>
      </c>
      <c r="H941" s="4"/>
      <c r="I941" s="4"/>
      <c r="J941" s="4"/>
      <c r="K941" s="4"/>
      <c r="L941" s="4"/>
      <c r="M941" s="4"/>
      <c r="N941" s="9" t="str">
        <f>IFERROR(__xludf.DUMMYFUNCTION("""COMPUTED_VALUE"""),"OEPS080083")</f>
        <v>OEPS080083</v>
      </c>
      <c r="O941" s="4" t="str">
        <f>IFERROR(__xludf.DUMMYFUNCTION("""COMPUTED_VALUE"""),"ATXMEGA128A1U-AU")</f>
        <v>ATXMEGA128A1U-AU</v>
      </c>
      <c r="P941" s="4" t="str">
        <f>IFERROR(__xludf.DUMMYFUNCTION("""COMPUTED_VALUE"""),"269(Tr) 27(Tr) 88(Tr) 45(Tr) 4 1(Tp) ")</f>
        <v>269(Tr) 27(Tr) 88(Tr) 45(Tr) 4 1(Tp) </v>
      </c>
      <c r="Q941" s="4">
        <f>IFERROR(__xludf.DUMMYFUNCTION("""COMPUTED_VALUE"""),434.0)</f>
        <v>434</v>
      </c>
      <c r="R941" s="4">
        <f>IFERROR(__xludf.DUMMYFUNCTION("""COMPUTED_VALUE"""),269.0)</f>
        <v>269</v>
      </c>
      <c r="S941" s="4" t="str">
        <f>IFERROR(__xludf.DUMMYFUNCTION("""COMPUTED_VALUE"""),"Tray")</f>
        <v>Tray</v>
      </c>
      <c r="T941" s="4" t="str">
        <f>IFERROR(__xludf.DUMMYFUNCTION("""COMPUTED_VALUE"""),"0522")</f>
        <v>0522</v>
      </c>
      <c r="U941" s="4">
        <f>IFERROR(__xludf.DUMMYFUNCTION("""COMPUTED_VALUE"""),27.0)</f>
        <v>27</v>
      </c>
      <c r="V941" s="4" t="str">
        <f>IFERROR(__xludf.DUMMYFUNCTION("""COMPUTED_VALUE"""),"Tray")</f>
        <v>Tray</v>
      </c>
      <c r="W941" s="4" t="str">
        <f>IFERROR(__xludf.DUMMYFUNCTION("""COMPUTED_VALUE"""),"0722")</f>
        <v>0722</v>
      </c>
      <c r="X941" s="4">
        <f>IFERROR(__xludf.DUMMYFUNCTION("""COMPUTED_VALUE"""),88.0)</f>
        <v>88</v>
      </c>
      <c r="Y941" s="4" t="str">
        <f>IFERROR(__xludf.DUMMYFUNCTION("""COMPUTED_VALUE"""),"Tray")</f>
        <v>Tray</v>
      </c>
      <c r="Z941" s="4" t="str">
        <f>IFERROR(__xludf.DUMMYFUNCTION("""COMPUTED_VALUE"""),"0622")</f>
        <v>0622</v>
      </c>
      <c r="AA941" s="4">
        <f>IFERROR(__xludf.DUMMYFUNCTION("""COMPUTED_VALUE"""),45.0)</f>
        <v>45</v>
      </c>
      <c r="AB941" s="4" t="str">
        <f>IFERROR(__xludf.DUMMYFUNCTION("""COMPUTED_VALUE"""),"Tray")</f>
        <v>Tray</v>
      </c>
      <c r="AC941" s="4" t="str">
        <f>IFERROR(__xludf.DUMMYFUNCTION("""COMPUTED_VALUE"""),"0923")</f>
        <v>0923</v>
      </c>
      <c r="AD941" s="4">
        <f>IFERROR(__xludf.DUMMYFUNCTION("""COMPUTED_VALUE"""),4.0)</f>
        <v>4</v>
      </c>
      <c r="AE941" s="4" t="str">
        <f>IFERROR(__xludf.DUMMYFUNCTION("""COMPUTED_VALUE"""),"Bag")</f>
        <v>Bag</v>
      </c>
      <c r="AF941" s="4" t="str">
        <f>IFERROR(__xludf.DUMMYFUNCTION("""COMPUTED_VALUE"""),"XXXX")</f>
        <v>XXXX</v>
      </c>
      <c r="AG941" s="4">
        <f>IFERROR(__xludf.DUMMYFUNCTION("""COMPUTED_VALUE"""),1.0)</f>
        <v>1</v>
      </c>
      <c r="AH941" s="4" t="str">
        <f>IFERROR(__xludf.DUMMYFUNCTION("""COMPUTED_VALUE"""),"Tape")</f>
        <v>Tape</v>
      </c>
      <c r="AI941" s="4" t="str">
        <f>IFERROR(__xludf.DUMMYFUNCTION("""COMPUTED_VALUE"""),"XX20")</f>
        <v>XX20</v>
      </c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</row>
    <row r="942">
      <c r="A942" s="4" t="str">
        <f>IFERROR(__xludf.DUMMYFUNCTION("""COMPUTED_VALUE"""),"RESISTOR:   SMD 0805 100Ω ±1% 0.125W   [MCWR08X1000FTL] [SMD]")</f>
        <v>RESISTOR:   SMD 0805 100Ω ±1% 0.125W   [MCWR08X1000FTL] [SMD]</v>
      </c>
      <c r="B942" s="4" t="str">
        <f>IFERROR(__xludf.DUMMYFUNCTION("""COMPUTED_VALUE"""),"OEPS020181")</f>
        <v>OEPS020181</v>
      </c>
      <c r="C942" s="4" t="str">
        <f>IFERROR(__xludf.DUMMYFUNCTION("""COMPUTED_VALUE"""),"SMD")</f>
        <v>SMD</v>
      </c>
      <c r="D942" s="4" t="str">
        <f>IFERROR(__xludf.DUMMYFUNCTION("""COMPUTED_VALUE"""),"MCWR08X1000FTL")</f>
        <v>MCWR08X1000FTL</v>
      </c>
      <c r="E942" s="4">
        <f>IFERROR(__xludf.DUMMYFUNCTION("""COMPUTED_VALUE"""),20.0)</f>
        <v>20</v>
      </c>
      <c r="F942" s="4" t="str">
        <f>IFERROR(__xludf.DUMMYFUNCTION("""COMPUTED_VALUE"""),"Farnell")</f>
        <v>Farnell</v>
      </c>
      <c r="G942" s="4" t="str">
        <f>IFERROR(__xludf.DUMMYFUNCTION("""COMPUTED_VALUE"""),"2447552")</f>
        <v>2447552</v>
      </c>
      <c r="H942" s="4"/>
      <c r="I942" s="4"/>
      <c r="J942" s="4"/>
      <c r="K942" s="4"/>
      <c r="L942" s="4"/>
      <c r="M942" s="4"/>
      <c r="N942" s="9" t="str">
        <f>IFERROR(__xludf.DUMMYFUNCTION("""COMPUTED_VALUE"""),"OEPS080084")</f>
        <v>OEPS080084</v>
      </c>
      <c r="O942" s="4" t="str">
        <f>IFERROR(__xludf.DUMMYFUNCTION("""COMPUTED_VALUE"""),"SI8642BC-B-IS1")</f>
        <v>SI8642BC-B-IS1</v>
      </c>
      <c r="P942" s="4" t="str">
        <f>IFERROR(__xludf.DUMMYFUNCTION("""COMPUTED_VALUE"""),"9(Tb) ")</f>
        <v>9(Tb) </v>
      </c>
      <c r="Q942" s="4">
        <f>IFERROR(__xludf.DUMMYFUNCTION("""COMPUTED_VALUE"""),9.0)</f>
        <v>9</v>
      </c>
      <c r="R942" s="4">
        <f>IFERROR(__xludf.DUMMYFUNCTION("""COMPUTED_VALUE"""),9.0)</f>
        <v>9</v>
      </c>
      <c r="S942" s="4" t="str">
        <f>IFERROR(__xludf.DUMMYFUNCTION("""COMPUTED_VALUE"""),"Tube")</f>
        <v>Tube</v>
      </c>
      <c r="T942" s="4" t="str">
        <f>IFERROR(__xludf.DUMMYFUNCTION("""COMPUTED_VALUE"""),"XXXX")</f>
        <v>XXXX</v>
      </c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</row>
    <row r="943">
      <c r="A943" s="4" t="str">
        <f>IFERROR(__xludf.DUMMYFUNCTION("""COMPUTED_VALUE"""),"RESISTOR:   SMD 0805 10kΩ ±1% 0.125W   [CRG0805F10K] [SMD]")</f>
        <v>RESISTOR:   SMD 0805 10kΩ ±1% 0.125W   [CRG0805F10K] [SMD]</v>
      </c>
      <c r="B943" s="4" t="str">
        <f>IFERROR(__xludf.DUMMYFUNCTION("""COMPUTED_VALUE"""),"OEPS020153")</f>
        <v>OEPS020153</v>
      </c>
      <c r="C943" s="4" t="str">
        <f>IFERROR(__xludf.DUMMYFUNCTION("""COMPUTED_VALUE"""),"SMD")</f>
        <v>SMD</v>
      </c>
      <c r="D943" s="4" t="str">
        <f>IFERROR(__xludf.DUMMYFUNCTION("""COMPUTED_VALUE"""),"CRG0805F10K")</f>
        <v>CRG0805F10K</v>
      </c>
      <c r="E943" s="4">
        <f>IFERROR(__xludf.DUMMYFUNCTION("""COMPUTED_VALUE"""),20.0)</f>
        <v>20</v>
      </c>
      <c r="F943" s="4" t="str">
        <f>IFERROR(__xludf.DUMMYFUNCTION("""COMPUTED_VALUE"""),"Digikey")</f>
        <v>Digikey</v>
      </c>
      <c r="G943" s="4" t="str">
        <f>IFERROR(__xludf.DUMMYFUNCTION("""COMPUTED_VALUE"""),"A106054DKR-ND")</f>
        <v>A106054DKR-ND</v>
      </c>
      <c r="H943" s="4"/>
      <c r="I943" s="4"/>
      <c r="J943" s="4"/>
      <c r="K943" s="4"/>
      <c r="L943" s="4"/>
      <c r="M943" s="4"/>
      <c r="N943" s="9" t="str">
        <f>IFERROR(__xludf.DUMMYFUNCTION("""COMPUTED_VALUE"""),"OEPS080085")</f>
        <v>OEPS080085</v>
      </c>
      <c r="O943" s="4" t="str">
        <f>IFERROR(__xludf.DUMMYFUNCTION("""COMPUTED_VALUE"""),"TPS73801DCQR")</f>
        <v>TPS73801DCQR</v>
      </c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</row>
    <row r="944">
      <c r="A944" s="4" t="str">
        <f>IFERROR(__xludf.DUMMYFUNCTION("""COMPUTED_VALUE"""),"RESISTOR:   SMD 0805 150Ω ±1% 0.125W   [CRG0805F150R] [SMD]")</f>
        <v>RESISTOR:   SMD 0805 150Ω ±1% 0.125W   [CRG0805F150R] [SMD]</v>
      </c>
      <c r="B944" s="4" t="str">
        <f>IFERROR(__xludf.DUMMYFUNCTION("""COMPUTED_VALUE"""),"OEPS020226")</f>
        <v>OEPS020226</v>
      </c>
      <c r="C944" s="4" t="str">
        <f>IFERROR(__xludf.DUMMYFUNCTION("""COMPUTED_VALUE"""),"SMD")</f>
        <v>SMD</v>
      </c>
      <c r="D944" s="4" t="str">
        <f>IFERROR(__xludf.DUMMYFUNCTION("""COMPUTED_VALUE"""),"CRG0805F150R")</f>
        <v>CRG0805F150R</v>
      </c>
      <c r="E944" s="4">
        <f>IFERROR(__xludf.DUMMYFUNCTION("""COMPUTED_VALUE"""),20.0)</f>
        <v>20</v>
      </c>
      <c r="F944" s="4" t="str">
        <f>IFERROR(__xludf.DUMMYFUNCTION("""COMPUTED_VALUE"""),"Digikey")</f>
        <v>Digikey</v>
      </c>
      <c r="G944" s="4" t="str">
        <f>IFERROR(__xludf.DUMMYFUNCTION("""COMPUTED_VALUE"""),"1712-CRG0805F150RDKR-ND")</f>
        <v>1712-CRG0805F150RDKR-ND</v>
      </c>
      <c r="H944" s="4"/>
      <c r="I944" s="4"/>
      <c r="J944" s="4"/>
      <c r="K944" s="4"/>
      <c r="L944" s="4"/>
      <c r="M944" s="4"/>
      <c r="N944" s="9" t="str">
        <f>IFERROR(__xludf.DUMMYFUNCTION("""COMPUTED_VALUE"""),"OEPS080086")</f>
        <v>OEPS080086</v>
      </c>
      <c r="O944" s="4" t="str">
        <f>IFERROR(__xludf.DUMMYFUNCTION("""COMPUTED_VALUE"""),"TLV70033DDCR")</f>
        <v>TLV70033DDCR</v>
      </c>
      <c r="P944" s="4" t="str">
        <f>IFERROR(__xludf.DUMMYFUNCTION("""COMPUTED_VALUE"""),"4 84(R) ")</f>
        <v>4 84(R) </v>
      </c>
      <c r="Q944" s="4">
        <f>IFERROR(__xludf.DUMMYFUNCTION("""COMPUTED_VALUE"""),88.0)</f>
        <v>88</v>
      </c>
      <c r="R944" s="4">
        <f>IFERROR(__xludf.DUMMYFUNCTION("""COMPUTED_VALUE"""),4.0)</f>
        <v>4</v>
      </c>
      <c r="S944" s="4" t="str">
        <f>IFERROR(__xludf.DUMMYFUNCTION("""COMPUTED_VALUE"""),"Bag")</f>
        <v>Bag</v>
      </c>
      <c r="T944" s="4" t="str">
        <f>IFERROR(__xludf.DUMMYFUNCTION("""COMPUTED_VALUE"""),"1123")</f>
        <v>1123</v>
      </c>
      <c r="U944" s="4">
        <f>IFERROR(__xludf.DUMMYFUNCTION("""COMPUTED_VALUE"""),84.0)</f>
        <v>84</v>
      </c>
      <c r="V944" s="4" t="str">
        <f>IFERROR(__xludf.DUMMYFUNCTION("""COMPUTED_VALUE"""),"Reel")</f>
        <v>Reel</v>
      </c>
      <c r="W944" s="4" t="str">
        <f>IFERROR(__xludf.DUMMYFUNCTION("""COMPUTED_VALUE"""),"0521")</f>
        <v>0521</v>
      </c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</row>
    <row r="945">
      <c r="A945" s="4" t="str">
        <f>IFERROR(__xludf.DUMMYFUNCTION("""COMPUTED_VALUE"""),"RESISTOR:   SMD 0805 15kΩ ±1% 0.125W   [CRG0805F15K] [SMD]")</f>
        <v>RESISTOR:   SMD 0805 15kΩ ±1% 0.125W   [CRG0805F15K] [SMD]</v>
      </c>
      <c r="B945" s="4" t="str">
        <f>IFERROR(__xludf.DUMMYFUNCTION("""COMPUTED_VALUE"""),"OEPS020152")</f>
        <v>OEPS020152</v>
      </c>
      <c r="C945" s="4" t="str">
        <f>IFERROR(__xludf.DUMMYFUNCTION("""COMPUTED_VALUE"""),"SMD")</f>
        <v>SMD</v>
      </c>
      <c r="D945" s="4" t="str">
        <f>IFERROR(__xludf.DUMMYFUNCTION("""COMPUTED_VALUE"""),"CRG0805F15K")</f>
        <v>CRG0805F15K</v>
      </c>
      <c r="E945" s="4">
        <f>IFERROR(__xludf.DUMMYFUNCTION("""COMPUTED_VALUE"""),20.0)</f>
        <v>20</v>
      </c>
      <c r="F945" s="4" t="str">
        <f>IFERROR(__xludf.DUMMYFUNCTION("""COMPUTED_VALUE"""),"Digikey")</f>
        <v>Digikey</v>
      </c>
      <c r="G945" s="4" t="str">
        <f>IFERROR(__xludf.DUMMYFUNCTION("""COMPUTED_VALUE"""),"A126341DKR-ND")</f>
        <v>A126341DKR-ND</v>
      </c>
      <c r="H945" s="4"/>
      <c r="I945" s="4"/>
      <c r="J945" s="4"/>
      <c r="K945" s="4"/>
      <c r="L945" s="4"/>
      <c r="M945" s="4"/>
      <c r="N945" s="9" t="str">
        <f>IFERROR(__xludf.DUMMYFUNCTION("""COMPUTED_VALUE"""),"OEPS080087")</f>
        <v>OEPS080087</v>
      </c>
      <c r="O945" s="4" t="str">
        <f>IFERROR(__xludf.DUMMYFUNCTION("""COMPUTED_VALUE"""),"74LVC1G125GV,125")</f>
        <v>74LVC1G125GV,125</v>
      </c>
      <c r="P945" s="4" t="str">
        <f>IFERROR(__xludf.DUMMYFUNCTION("""COMPUTED_VALUE"""),"2(Tp) ")</f>
        <v>2(Tp) </v>
      </c>
      <c r="Q945" s="4">
        <f>IFERROR(__xludf.DUMMYFUNCTION("""COMPUTED_VALUE"""),2.0)</f>
        <v>2</v>
      </c>
      <c r="R945" s="4">
        <f>IFERROR(__xludf.DUMMYFUNCTION("""COMPUTED_VALUE"""),2.0)</f>
        <v>2</v>
      </c>
      <c r="S945" s="4" t="str">
        <f>IFERROR(__xludf.DUMMYFUNCTION("""COMPUTED_VALUE"""),"Tape")</f>
        <v>Tape</v>
      </c>
      <c r="T945" s="4" t="str">
        <f>IFERROR(__xludf.DUMMYFUNCTION("""COMPUTED_VALUE"""),"1123")</f>
        <v>1123</v>
      </c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</row>
    <row r="946">
      <c r="A946" s="4" t="str">
        <f>IFERROR(__xludf.DUMMYFUNCTION("""COMPUTED_VALUE"""),"RESISTOR:   SMD 0805 1kΩ ±1% 0.250W   [CRCW08051K00FKEA] [SMD]")</f>
        <v>RESISTOR:   SMD 0805 1kΩ ±1% 0.250W   [CRCW08051K00FKEA] [SMD]</v>
      </c>
      <c r="B946" s="4" t="str">
        <f>IFERROR(__xludf.DUMMYFUNCTION("""COMPUTED_VALUE"""),"OEPS020199")</f>
        <v>OEPS020199</v>
      </c>
      <c r="C946" s="4" t="str">
        <f>IFERROR(__xludf.DUMMYFUNCTION("""COMPUTED_VALUE"""),"SMD")</f>
        <v>SMD</v>
      </c>
      <c r="D946" s="4" t="str">
        <f>IFERROR(__xludf.DUMMYFUNCTION("""COMPUTED_VALUE"""),"CRCW08051K00FKEA")</f>
        <v>CRCW08051K00FKEA</v>
      </c>
      <c r="E946" s="4">
        <f>IFERROR(__xludf.DUMMYFUNCTION("""COMPUTED_VALUE"""),20.0)</f>
        <v>20</v>
      </c>
      <c r="F946" s="4" t="str">
        <f>IFERROR(__xludf.DUMMYFUNCTION("""COMPUTED_VALUE"""),"Digikey")</f>
        <v>Digikey</v>
      </c>
      <c r="G946" s="4" t="str">
        <f>IFERROR(__xludf.DUMMYFUNCTION("""COMPUTED_VALUE"""),"541-1.00KCDKR-ND")</f>
        <v>541-1.00KCDKR-ND</v>
      </c>
      <c r="H946" s="4"/>
      <c r="I946" s="4"/>
      <c r="J946" s="4"/>
      <c r="K946" s="4"/>
      <c r="L946" s="4"/>
      <c r="M946" s="4"/>
      <c r="N946" s="9" t="str">
        <f>IFERROR(__xludf.DUMMYFUNCTION("""COMPUTED_VALUE"""),"OEPS080090")</f>
        <v>OEPS080090</v>
      </c>
      <c r="O946" s="4" t="str">
        <f>IFERROR(__xludf.DUMMYFUNCTION("""COMPUTED_VALUE"""),"ATXMEGA64A1U-C7U")</f>
        <v>ATXMEGA64A1U-C7U</v>
      </c>
      <c r="P946" s="4" t="str">
        <f>IFERROR(__xludf.DUMMYFUNCTION("""COMPUTED_VALUE"""),"110 115(Tr) ")</f>
        <v>110 115(Tr) </v>
      </c>
      <c r="Q946" s="4">
        <f>IFERROR(__xludf.DUMMYFUNCTION("""COMPUTED_VALUE"""),225.0)</f>
        <v>225</v>
      </c>
      <c r="R946" s="4">
        <f>IFERROR(__xludf.DUMMYFUNCTION("""COMPUTED_VALUE"""),110.0)</f>
        <v>110</v>
      </c>
      <c r="S946" s="4" t="str">
        <f>IFERROR(__xludf.DUMMYFUNCTION("""COMPUTED_VALUE"""),"Box")</f>
        <v>Box</v>
      </c>
      <c r="T946" s="4" t="str">
        <f>IFERROR(__xludf.DUMMYFUNCTION("""COMPUTED_VALUE"""),"0521")</f>
        <v>0521</v>
      </c>
      <c r="U946" s="4">
        <f>IFERROR(__xludf.DUMMYFUNCTION("""COMPUTED_VALUE"""),115.0)</f>
        <v>115</v>
      </c>
      <c r="V946" s="4" t="str">
        <f>IFERROR(__xludf.DUMMYFUNCTION("""COMPUTED_VALUE"""),"Tray")</f>
        <v>Tray</v>
      </c>
      <c r="W946" s="4" t="str">
        <f>IFERROR(__xludf.DUMMYFUNCTION("""COMPUTED_VALUE"""),"0521")</f>
        <v>0521</v>
      </c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</row>
    <row r="947">
      <c r="A947" s="4" t="str">
        <f>IFERROR(__xludf.DUMMYFUNCTION("""COMPUTED_VALUE"""),"RESISTOR:   SMD 0805 1kΩ ±5% 0.100W   [MC01W080551K] [SMD]")</f>
        <v>RESISTOR:   SMD 0805 1kΩ ±5% 0.100W   [MC01W080551K] [SMD]</v>
      </c>
      <c r="B947" s="4" t="str">
        <f>IFERROR(__xludf.DUMMYFUNCTION("""COMPUTED_VALUE"""),"OEPS020177")</f>
        <v>OEPS020177</v>
      </c>
      <c r="C947" s="4" t="str">
        <f>IFERROR(__xludf.DUMMYFUNCTION("""COMPUTED_VALUE"""),"SMD")</f>
        <v>SMD</v>
      </c>
      <c r="D947" s="4" t="str">
        <f>IFERROR(__xludf.DUMMYFUNCTION("""COMPUTED_VALUE"""),"MC01W080551K")</f>
        <v>MC01W080551K</v>
      </c>
      <c r="E947" s="4">
        <f>IFERROR(__xludf.DUMMYFUNCTION("""COMPUTED_VALUE"""),20.0)</f>
        <v>20</v>
      </c>
      <c r="F947" s="4" t="str">
        <f>IFERROR(__xludf.DUMMYFUNCTION("""COMPUTED_VALUE"""),"Farnell")</f>
        <v>Farnell</v>
      </c>
      <c r="G947" s="4" t="str">
        <f>IFERROR(__xludf.DUMMYFUNCTION("""COMPUTED_VALUE"""),"9333711")</f>
        <v>9333711</v>
      </c>
      <c r="H947" s="4"/>
      <c r="I947" s="4"/>
      <c r="J947" s="4"/>
      <c r="K947" s="4"/>
      <c r="L947" s="4"/>
      <c r="M947" s="4"/>
      <c r="N947" s="9" t="str">
        <f>IFERROR(__xludf.DUMMYFUNCTION("""COMPUTED_VALUE"""),"OEPS080091")</f>
        <v>OEPS080091</v>
      </c>
      <c r="O947" s="4" t="str">
        <f>IFERROR(__xludf.DUMMYFUNCTION("""COMPUTED_VALUE"""),"AD5752AREZ")</f>
        <v>AD5752AREZ</v>
      </c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</row>
    <row r="948">
      <c r="A948" s="4" t="str">
        <f>IFERROR(__xludf.DUMMYFUNCTION("""COMPUTED_VALUE"""),"RESISTOR:   SMD 0805 2.2kΩ ±1% 0.125W   [CRG0805F2K2] [SMD]")</f>
        <v>RESISTOR:   SMD 0805 2.2kΩ ±1% 0.125W   [CRG0805F2K2] [SMD]</v>
      </c>
      <c r="B948" s="4" t="str">
        <f>IFERROR(__xludf.DUMMYFUNCTION("""COMPUTED_VALUE"""),"OEPS020154")</f>
        <v>OEPS020154</v>
      </c>
      <c r="C948" s="4" t="str">
        <f>IFERROR(__xludf.DUMMYFUNCTION("""COMPUTED_VALUE"""),"SMD")</f>
        <v>SMD</v>
      </c>
      <c r="D948" s="4" t="str">
        <f>IFERROR(__xludf.DUMMYFUNCTION("""COMPUTED_VALUE"""),"CRG0805F2K2")</f>
        <v>CRG0805F2K2</v>
      </c>
      <c r="E948" s="4">
        <f>IFERROR(__xludf.DUMMYFUNCTION("""COMPUTED_VALUE"""),20.0)</f>
        <v>20</v>
      </c>
      <c r="F948" s="4" t="str">
        <f>IFERROR(__xludf.DUMMYFUNCTION("""COMPUTED_VALUE"""),"Digikey")</f>
        <v>Digikey</v>
      </c>
      <c r="G948" s="4" t="str">
        <f>IFERROR(__xludf.DUMMYFUNCTION("""COMPUTED_VALUE"""),"A106060DKR-ND")</f>
        <v>A106060DKR-ND</v>
      </c>
      <c r="H948" s="4"/>
      <c r="I948" s="4"/>
      <c r="J948" s="4"/>
      <c r="K948" s="4"/>
      <c r="L948" s="4"/>
      <c r="M948" s="4"/>
      <c r="N948" s="9" t="str">
        <f>IFERROR(__xludf.DUMMYFUNCTION("""COMPUTED_VALUE"""),"OEPS080092")</f>
        <v>OEPS080092</v>
      </c>
      <c r="O948" s="4" t="str">
        <f>IFERROR(__xludf.DUMMYFUNCTION("""COMPUTED_VALUE"""),"DSC6102MI2A-000.0000T")</f>
        <v>DSC6102MI2A-000.0000T</v>
      </c>
      <c r="P948" s="4" t="str">
        <f>IFERROR(__xludf.DUMMYFUNCTION("""COMPUTED_VALUE"""),"581(Tp) ")</f>
        <v>581(Tp) </v>
      </c>
      <c r="Q948" s="4">
        <f>IFERROR(__xludf.DUMMYFUNCTION("""COMPUTED_VALUE"""),581.0)</f>
        <v>581</v>
      </c>
      <c r="R948" s="4">
        <f>IFERROR(__xludf.DUMMYFUNCTION("""COMPUTED_VALUE"""),581.0)</f>
        <v>581</v>
      </c>
      <c r="S948" s="4" t="str">
        <f>IFERROR(__xludf.DUMMYFUNCTION("""COMPUTED_VALUE"""),"Tape")</f>
        <v>Tape</v>
      </c>
      <c r="T948" s="4" t="str">
        <f>IFERROR(__xludf.DUMMYFUNCTION("""COMPUTED_VALUE"""),"0224")</f>
        <v>0224</v>
      </c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</row>
    <row r="949">
      <c r="A949" s="4" t="str">
        <f>IFERROR(__xludf.DUMMYFUNCTION("""COMPUTED_VALUE"""),"RESISTOR:   SMD 0805 200kΩ ±1% 0.125W   [MCWR08X2003FTL] [SMD]")</f>
        <v>RESISTOR:   SMD 0805 200kΩ ±1% 0.125W   [MCWR08X2003FTL] [SMD]</v>
      </c>
      <c r="B949" s="4" t="str">
        <f>IFERROR(__xludf.DUMMYFUNCTION("""COMPUTED_VALUE"""),"OEPS020204")</f>
        <v>OEPS020204</v>
      </c>
      <c r="C949" s="4" t="str">
        <f>IFERROR(__xludf.DUMMYFUNCTION("""COMPUTED_VALUE"""),"SMD")</f>
        <v>SMD</v>
      </c>
      <c r="D949" s="4" t="str">
        <f>IFERROR(__xludf.DUMMYFUNCTION("""COMPUTED_VALUE"""),"MCWR08X2003FTL")</f>
        <v>MCWR08X2003FTL</v>
      </c>
      <c r="E949" s="4">
        <f>IFERROR(__xludf.DUMMYFUNCTION("""COMPUTED_VALUE"""),20.0)</f>
        <v>20</v>
      </c>
      <c r="F949" s="4" t="str">
        <f>IFERROR(__xludf.DUMMYFUNCTION("""COMPUTED_VALUE"""),"Farnell")</f>
        <v>Farnell</v>
      </c>
      <c r="G949" s="4" t="str">
        <f>IFERROR(__xludf.DUMMYFUNCTION("""COMPUTED_VALUE"""),"2447601")</f>
        <v>2447601</v>
      </c>
      <c r="H949" s="4"/>
      <c r="I949" s="4"/>
      <c r="J949" s="4"/>
      <c r="K949" s="4"/>
      <c r="L949" s="4"/>
      <c r="M949" s="4"/>
      <c r="N949" s="9" t="str">
        <f>IFERROR(__xludf.DUMMYFUNCTION("""COMPUTED_VALUE"""),"OEPS080093")</f>
        <v>OEPS080093</v>
      </c>
      <c r="O949" s="4" t="str">
        <f>IFERROR(__xludf.DUMMYFUNCTION("""COMPUTED_VALUE"""),"FT232RNL-REEL")</f>
        <v>FT232RNL-REEL</v>
      </c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</row>
    <row r="950">
      <c r="A950" s="4" t="str">
        <f>IFERROR(__xludf.DUMMYFUNCTION("""COMPUTED_VALUE"""),"RESISTOR:   SMD 0805 20kΩ ±1% 0.125W   [MCPWR05FTEW2002] [SMD]")</f>
        <v>RESISTOR:   SMD 0805 20kΩ ±1% 0.125W   [MCPWR05FTEW2002] [SMD]</v>
      </c>
      <c r="B950" s="4" t="str">
        <f>IFERROR(__xludf.DUMMYFUNCTION("""COMPUTED_VALUE"""),"OEPS020179")</f>
        <v>OEPS020179</v>
      </c>
      <c r="C950" s="4" t="str">
        <f>IFERROR(__xludf.DUMMYFUNCTION("""COMPUTED_VALUE"""),"SMD")</f>
        <v>SMD</v>
      </c>
      <c r="D950" s="4" t="str">
        <f>IFERROR(__xludf.DUMMYFUNCTION("""COMPUTED_VALUE"""),"MCPWR05FTEW2002")</f>
        <v>MCPWR05FTEW2002</v>
      </c>
      <c r="E950" s="4">
        <f>IFERROR(__xludf.DUMMYFUNCTION("""COMPUTED_VALUE"""),20.0)</f>
        <v>20</v>
      </c>
      <c r="F950" s="4" t="str">
        <f>IFERROR(__xludf.DUMMYFUNCTION("""COMPUTED_VALUE"""),"Farnell")</f>
        <v>Farnell</v>
      </c>
      <c r="G950" s="4" t="str">
        <f>IFERROR(__xludf.DUMMYFUNCTION("""COMPUTED_VALUE"""),"1887316")</f>
        <v>1887316</v>
      </c>
      <c r="H950" s="4"/>
      <c r="I950" s="4"/>
      <c r="J950" s="4"/>
      <c r="K950" s="4"/>
      <c r="L950" s="4"/>
      <c r="M950" s="4"/>
      <c r="N950" s="9" t="str">
        <f>IFERROR(__xludf.DUMMYFUNCTION("""COMPUTED_VALUE"""),"OEPS080095")</f>
        <v>OEPS080095</v>
      </c>
      <c r="O950" s="4" t="str">
        <f>IFERROR(__xludf.DUMMYFUNCTION("""COMPUTED_VALUE"""),"RHS2116 #D5716")</f>
        <v>RHS2116 #D5716</v>
      </c>
      <c r="P950" s="4" t="str">
        <f>IFERROR(__xludf.DUMMYFUNCTION("""COMPUTED_VALUE"""),"14 10 6 20 10 ")</f>
        <v>14 10 6 20 10 </v>
      </c>
      <c r="Q950" s="4">
        <f>IFERROR(__xludf.DUMMYFUNCTION("""COMPUTED_VALUE"""),60.0)</f>
        <v>60</v>
      </c>
      <c r="R950" s="4">
        <f>IFERROR(__xludf.DUMMYFUNCTION("""COMPUTED_VALUE"""),14.0)</f>
        <v>14</v>
      </c>
      <c r="S950" s="4" t="str">
        <f>IFERROR(__xludf.DUMMYFUNCTION("""COMPUTED_VALUE"""),"Bag")</f>
        <v>Bag</v>
      </c>
      <c r="T950" s="4" t="str">
        <f>IFERROR(__xludf.DUMMYFUNCTION("""COMPUTED_VALUE"""),"1224")</f>
        <v>1224</v>
      </c>
      <c r="U950" s="4">
        <f>IFERROR(__xludf.DUMMYFUNCTION("""COMPUTED_VALUE"""),10.0)</f>
        <v>10</v>
      </c>
      <c r="V950" s="4" t="str">
        <f>IFERROR(__xludf.DUMMYFUNCTION("""COMPUTED_VALUE"""),"Bag")</f>
        <v>Bag</v>
      </c>
      <c r="W950" s="4" t="str">
        <f>IFERROR(__xludf.DUMMYFUNCTION("""COMPUTED_VALUE"""),"1224")</f>
        <v>1224</v>
      </c>
      <c r="X950" s="4">
        <f>IFERROR(__xludf.DUMMYFUNCTION("""COMPUTED_VALUE"""),6.0)</f>
        <v>6</v>
      </c>
      <c r="Y950" s="4" t="str">
        <f>IFERROR(__xludf.DUMMYFUNCTION("""COMPUTED_VALUE"""),"Bag")</f>
        <v>Bag</v>
      </c>
      <c r="Z950" s="4" t="str">
        <f>IFERROR(__xludf.DUMMYFUNCTION("""COMPUTED_VALUE"""),"1224")</f>
        <v>1224</v>
      </c>
      <c r="AA950" s="4">
        <f>IFERROR(__xludf.DUMMYFUNCTION("""COMPUTED_VALUE"""),20.0)</f>
        <v>20</v>
      </c>
      <c r="AB950" s="4" t="str">
        <f>IFERROR(__xludf.DUMMYFUNCTION("""COMPUTED_VALUE"""),"Bag")</f>
        <v>Bag</v>
      </c>
      <c r="AC950" s="4" t="str">
        <f>IFERROR(__xludf.DUMMYFUNCTION("""COMPUTED_VALUE"""),"1224")</f>
        <v>1224</v>
      </c>
      <c r="AD950" s="4">
        <f>IFERROR(__xludf.DUMMYFUNCTION("""COMPUTED_VALUE"""),10.0)</f>
        <v>10</v>
      </c>
      <c r="AE950" s="4" t="str">
        <f>IFERROR(__xludf.DUMMYFUNCTION("""COMPUTED_VALUE"""),"Bag")</f>
        <v>Bag</v>
      </c>
      <c r="AF950" s="4" t="str">
        <f>IFERROR(__xludf.DUMMYFUNCTION("""COMPUTED_VALUE"""),"1224")</f>
        <v>1224</v>
      </c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</row>
    <row r="951">
      <c r="A951" s="4" t="str">
        <f>IFERROR(__xludf.DUMMYFUNCTION("""COMPUTED_VALUE"""),"RESISTOR:   SMD 0805 220Ω ±1% 0.125W   [CRG0805F220R] [SMD]")</f>
        <v>RESISTOR:   SMD 0805 220Ω ±1% 0.125W   [CRG0805F220R] [SMD]</v>
      </c>
      <c r="B951" s="4" t="str">
        <f>IFERROR(__xludf.DUMMYFUNCTION("""COMPUTED_VALUE"""),"OEPS020225")</f>
        <v>OEPS020225</v>
      </c>
      <c r="C951" s="4" t="str">
        <f>IFERROR(__xludf.DUMMYFUNCTION("""COMPUTED_VALUE"""),"SMD")</f>
        <v>SMD</v>
      </c>
      <c r="D951" s="4" t="str">
        <f>IFERROR(__xludf.DUMMYFUNCTION("""COMPUTED_VALUE"""),"CRG0805F220R")</f>
        <v>CRG0805F220R</v>
      </c>
      <c r="E951" s="4">
        <f>IFERROR(__xludf.DUMMYFUNCTION("""COMPUTED_VALUE"""),20.0)</f>
        <v>20</v>
      </c>
      <c r="F951" s="4" t="str">
        <f>IFERROR(__xludf.DUMMYFUNCTION("""COMPUTED_VALUE"""),"Digikey")</f>
        <v>Digikey</v>
      </c>
      <c r="G951" s="4" t="str">
        <f>IFERROR(__xludf.DUMMYFUNCTION("""COMPUTED_VALUE"""),"A126351DKR-ND")</f>
        <v>A126351DKR-ND</v>
      </c>
      <c r="H951" s="4"/>
      <c r="I951" s="4"/>
      <c r="J951" s="4"/>
      <c r="K951" s="4"/>
      <c r="L951" s="4"/>
      <c r="M951" s="4"/>
      <c r="N951" s="9" t="str">
        <f>IFERROR(__xludf.DUMMYFUNCTION("""COMPUTED_VALUE"""),"OEPS080096")</f>
        <v>OEPS080096</v>
      </c>
      <c r="O951" s="4" t="str">
        <f>IFERROR(__xludf.DUMMYFUNCTION("""COMPUTED_VALUE"""),"NCP163AFCT330T2G")</f>
        <v>NCP163AFCT330T2G</v>
      </c>
      <c r="P951" s="4" t="str">
        <f>IFERROR(__xludf.DUMMYFUNCTION("""COMPUTED_VALUE"""),"19(Tp) ")</f>
        <v>19(Tp) </v>
      </c>
      <c r="Q951" s="4">
        <f>IFERROR(__xludf.DUMMYFUNCTION("""COMPUTED_VALUE"""),19.0)</f>
        <v>19</v>
      </c>
      <c r="R951" s="4">
        <f>IFERROR(__xludf.DUMMYFUNCTION("""COMPUTED_VALUE"""),19.0)</f>
        <v>19</v>
      </c>
      <c r="S951" s="4" t="str">
        <f>IFERROR(__xludf.DUMMYFUNCTION("""COMPUTED_VALUE"""),"Tape")</f>
        <v>Tape</v>
      </c>
      <c r="T951" s="4" t="str">
        <f>IFERROR(__xludf.DUMMYFUNCTION("""COMPUTED_VALUE"""),"0526")</f>
        <v>0526</v>
      </c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</row>
    <row r="952">
      <c r="A952" s="4" t="str">
        <f>IFERROR(__xludf.DUMMYFUNCTION("""COMPUTED_VALUE"""),"RESISTOR:   SMD 0805 249Ω ±1% 0.125W   [ERJ-6ENF2490V] [SMD]")</f>
        <v>RESISTOR:   SMD 0805 249Ω ±1% 0.125W   [ERJ-6ENF2490V] [SMD]</v>
      </c>
      <c r="B952" s="4" t="str">
        <f>IFERROR(__xludf.DUMMYFUNCTION("""COMPUTED_VALUE"""),"OEPS020196")</f>
        <v>OEPS020196</v>
      </c>
      <c r="C952" s="4" t="str">
        <f>IFERROR(__xludf.DUMMYFUNCTION("""COMPUTED_VALUE"""),"SMD")</f>
        <v>SMD</v>
      </c>
      <c r="D952" s="4" t="str">
        <f>IFERROR(__xludf.DUMMYFUNCTION("""COMPUTED_VALUE"""),"ERJ-6ENF2490V")</f>
        <v>ERJ-6ENF2490V</v>
      </c>
      <c r="E952" s="4">
        <f>IFERROR(__xludf.DUMMYFUNCTION("""COMPUTED_VALUE"""),20.0)</f>
        <v>20</v>
      </c>
      <c r="F952" s="4" t="str">
        <f>IFERROR(__xludf.DUMMYFUNCTION("""COMPUTED_VALUE"""),"Digikey")</f>
        <v>Digikey</v>
      </c>
      <c r="G952" s="4" t="str">
        <f>IFERROR(__xludf.DUMMYFUNCTION("""COMPUTED_VALUE"""),"P249CDKR-ND")</f>
        <v>P249CDKR-ND</v>
      </c>
      <c r="H952" s="4"/>
      <c r="I952" s="4"/>
      <c r="J952" s="4"/>
      <c r="K952" s="4"/>
      <c r="L952" s="4"/>
      <c r="M952" s="4"/>
      <c r="N952" s="9" t="str">
        <f>IFERROR(__xludf.DUMMYFUNCTION("""COMPUTED_VALUE"""),"OEPS080110")</f>
        <v>OEPS080110</v>
      </c>
      <c r="O952" s="4" t="str">
        <f>IFERROR(__xludf.DUMMYFUNCTION("""COMPUTED_VALUE"""),"TMUX136RSER")</f>
        <v>TMUX136RSER</v>
      </c>
      <c r="P952" s="4" t="str">
        <f>IFERROR(__xludf.DUMMYFUNCTION("""COMPUTED_VALUE"""),"4(Tp) 1(Tp) 5(R) ")</f>
        <v>4(Tp) 1(Tp) 5(R) </v>
      </c>
      <c r="Q952" s="4">
        <f>IFERROR(__xludf.DUMMYFUNCTION("""COMPUTED_VALUE"""),10.0)</f>
        <v>10</v>
      </c>
      <c r="R952" s="4">
        <f>IFERROR(__xludf.DUMMYFUNCTION("""COMPUTED_VALUE"""),4.0)</f>
        <v>4</v>
      </c>
      <c r="S952" s="4" t="str">
        <f>IFERROR(__xludf.DUMMYFUNCTION("""COMPUTED_VALUE"""),"Tape")</f>
        <v>Tape</v>
      </c>
      <c r="T952" s="4" t="str">
        <f>IFERROR(__xludf.DUMMYFUNCTION("""COMPUTED_VALUE"""),"0325")</f>
        <v>0325</v>
      </c>
      <c r="U952" s="4">
        <f>IFERROR(__xludf.DUMMYFUNCTION("""COMPUTED_VALUE"""),1.0)</f>
        <v>1</v>
      </c>
      <c r="V952" s="4" t="str">
        <f>IFERROR(__xludf.DUMMYFUNCTION("""COMPUTED_VALUE"""),"Tape")</f>
        <v>Tape</v>
      </c>
      <c r="W952" s="4" t="str">
        <f>IFERROR(__xludf.DUMMYFUNCTION("""COMPUTED_VALUE"""),"0324")</f>
        <v>0324</v>
      </c>
      <c r="X952" s="4">
        <f>IFERROR(__xludf.DUMMYFUNCTION("""COMPUTED_VALUE"""),5.0)</f>
        <v>5</v>
      </c>
      <c r="Y952" s="4" t="str">
        <f>IFERROR(__xludf.DUMMYFUNCTION("""COMPUTED_VALUE"""),"Reel")</f>
        <v>Reel</v>
      </c>
      <c r="Z952" s="4" t="str">
        <f>IFERROR(__xludf.DUMMYFUNCTION("""COMPUTED_VALUE"""),"0425")</f>
        <v>0425</v>
      </c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</row>
    <row r="953">
      <c r="A953" s="4" t="str">
        <f>IFERROR(__xludf.DUMMYFUNCTION("""COMPUTED_VALUE"""),"RESISTOR:   SMD 0805 270Ω ±1% 0.500W   [CRCW0805270RFKEAHP] [SMD]")</f>
        <v>RESISTOR:   SMD 0805 270Ω ±1% 0.500W   [CRCW0805270RFKEAHP] [SMD]</v>
      </c>
      <c r="B953" s="4" t="str">
        <f>IFERROR(__xludf.DUMMYFUNCTION("""COMPUTED_VALUE"""),"OEPS020024")</f>
        <v>OEPS020024</v>
      </c>
      <c r="C953" s="4" t="str">
        <f>IFERROR(__xludf.DUMMYFUNCTION("""COMPUTED_VALUE"""),"SMD")</f>
        <v>SMD</v>
      </c>
      <c r="D953" s="4" t="str">
        <f>IFERROR(__xludf.DUMMYFUNCTION("""COMPUTED_VALUE"""),"CRCW0805270RFKEAHP")</f>
        <v>CRCW0805270RFKEAHP</v>
      </c>
      <c r="E953" s="4">
        <f>IFERROR(__xludf.DUMMYFUNCTION("""COMPUTED_VALUE"""),20.0)</f>
        <v>20</v>
      </c>
      <c r="F953" s="4" t="str">
        <f>IFERROR(__xludf.DUMMYFUNCTION("""COMPUTED_VALUE"""),"DigiKey")</f>
        <v>DigiKey</v>
      </c>
      <c r="G953" s="4" t="str">
        <f>IFERROR(__xludf.DUMMYFUNCTION("""COMPUTED_VALUE"""),"541-270TDKR-ND")</f>
        <v>541-270TDKR-ND</v>
      </c>
      <c r="H953" s="4"/>
      <c r="I953" s="4"/>
      <c r="J953" s="4"/>
      <c r="K953" s="4"/>
      <c r="L953" s="4"/>
      <c r="M953" s="4"/>
      <c r="N953" s="9" t="str">
        <f>IFERROR(__xludf.DUMMYFUNCTION("""COMPUTED_VALUE"""),"OEPS080112")</f>
        <v>OEPS080112</v>
      </c>
      <c r="O953" s="4" t="str">
        <f>IFERROR(__xludf.DUMMYFUNCTION("""COMPUTED_VALUE"""),"M24CG64-FMN6TP")</f>
        <v>M24CG64-FMN6TP</v>
      </c>
      <c r="P953" s="4" t="str">
        <f>IFERROR(__xludf.DUMMYFUNCTION("""COMPUTED_VALUE"""),"3(Tp) 1(Tp) 3(R) ")</f>
        <v>3(Tp) 1(Tp) 3(R) </v>
      </c>
      <c r="Q953" s="4">
        <f>IFERROR(__xludf.DUMMYFUNCTION("""COMPUTED_VALUE"""),7.0)</f>
        <v>7</v>
      </c>
      <c r="R953" s="4">
        <f>IFERROR(__xludf.DUMMYFUNCTION("""COMPUTED_VALUE"""),3.0)</f>
        <v>3</v>
      </c>
      <c r="S953" s="4" t="str">
        <f>IFERROR(__xludf.DUMMYFUNCTION("""COMPUTED_VALUE"""),"Tape")</f>
        <v>Tape</v>
      </c>
      <c r="T953" s="4" t="str">
        <f>IFERROR(__xludf.DUMMYFUNCTION("""COMPUTED_VALUE"""),"0325")</f>
        <v>0325</v>
      </c>
      <c r="U953" s="4">
        <f>IFERROR(__xludf.DUMMYFUNCTION("""COMPUTED_VALUE"""),1.0)</f>
        <v>1</v>
      </c>
      <c r="V953" s="4" t="str">
        <f>IFERROR(__xludf.DUMMYFUNCTION("""COMPUTED_VALUE"""),"Tape")</f>
        <v>Tape</v>
      </c>
      <c r="W953" s="4" t="str">
        <f>IFERROR(__xludf.DUMMYFUNCTION("""COMPUTED_VALUE"""),"0325")</f>
        <v>0325</v>
      </c>
      <c r="X953" s="4">
        <f>IFERROR(__xludf.DUMMYFUNCTION("""COMPUTED_VALUE"""),3.0)</f>
        <v>3</v>
      </c>
      <c r="Y953" s="4" t="str">
        <f>IFERROR(__xludf.DUMMYFUNCTION("""COMPUTED_VALUE"""),"Reel")</f>
        <v>Reel</v>
      </c>
      <c r="Z953" s="4" t="str">
        <f>IFERROR(__xludf.DUMMYFUNCTION("""COMPUTED_VALUE"""),"0425")</f>
        <v>0425</v>
      </c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</row>
    <row r="954">
      <c r="A954" s="4" t="str">
        <f>IFERROR(__xludf.DUMMYFUNCTION("""COMPUTED_VALUE"""),"RESISTOR:   SMD 0805 2kΩ ±1% 0.125W   [ERJ-6ENF2001V] [SMD]")</f>
        <v>RESISTOR:   SMD 0805 2kΩ ±1% 0.125W   [ERJ-6ENF2001V] [SMD]</v>
      </c>
      <c r="B954" s="4" t="str">
        <f>IFERROR(__xludf.DUMMYFUNCTION("""COMPUTED_VALUE"""),"OEPS020198")</f>
        <v>OEPS020198</v>
      </c>
      <c r="C954" s="4" t="str">
        <f>IFERROR(__xludf.DUMMYFUNCTION("""COMPUTED_VALUE"""),"SMD")</f>
        <v>SMD</v>
      </c>
      <c r="D954" s="4" t="str">
        <f>IFERROR(__xludf.DUMMYFUNCTION("""COMPUTED_VALUE"""),"ERJ-6ENF2001V")</f>
        <v>ERJ-6ENF2001V</v>
      </c>
      <c r="E954" s="4">
        <f>IFERROR(__xludf.DUMMYFUNCTION("""COMPUTED_VALUE"""),20.0)</f>
        <v>20</v>
      </c>
      <c r="F954" s="4" t="str">
        <f>IFERROR(__xludf.DUMMYFUNCTION("""COMPUTED_VALUE"""),"Digikey")</f>
        <v>Digikey</v>
      </c>
      <c r="G954" s="4" t="str">
        <f>IFERROR(__xludf.DUMMYFUNCTION("""COMPUTED_VALUE"""),"P2.00KCDKR-ND")</f>
        <v>P2.00KCDKR-ND</v>
      </c>
      <c r="H954" s="4"/>
      <c r="I954" s="4"/>
      <c r="J954" s="4"/>
      <c r="K954" s="4"/>
      <c r="L954" s="4"/>
      <c r="M954" s="4"/>
      <c r="N954" s="9" t="str">
        <f>IFERROR(__xludf.DUMMYFUNCTION("""COMPUTED_VALUE"""),"OEPS080116")</f>
        <v>OEPS080116</v>
      </c>
      <c r="O954" s="4" t="str">
        <f>IFERROR(__xludf.DUMMYFUNCTION("""COMPUTED_VALUE"""),"ATXMEGA32A4U-MHR")</f>
        <v>ATXMEGA32A4U-MHR</v>
      </c>
      <c r="P954" s="4" t="str">
        <f>IFERROR(__xludf.DUMMYFUNCTION("""COMPUTED_VALUE"""),"5 ")</f>
        <v>5 </v>
      </c>
      <c r="Q954" s="4">
        <f>IFERROR(__xludf.DUMMYFUNCTION("""COMPUTED_VALUE"""),5.0)</f>
        <v>5</v>
      </c>
      <c r="R954" s="4"/>
      <c r="S954" s="4"/>
      <c r="T954" s="4"/>
      <c r="U954" s="4">
        <f>IFERROR(__xludf.DUMMYFUNCTION("""COMPUTED_VALUE"""),5.0)</f>
        <v>5</v>
      </c>
      <c r="V954" s="4" t="str">
        <f>IFERROR(__xludf.DUMMYFUNCTION("""COMPUTED_VALUE"""),"Bag")</f>
        <v>Bag</v>
      </c>
      <c r="W954" s="4" t="str">
        <f>IFERROR(__xludf.DUMMYFUNCTION("""COMPUTED_VALUE"""),"0126")</f>
        <v>0126</v>
      </c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</row>
    <row r="955">
      <c r="A955" s="4" t="str">
        <f>IFERROR(__xludf.DUMMYFUNCTION("""COMPUTED_VALUE"""),"RESISTOR:   SMD 0805 330Ω ±5% 0.500W   [ESR10EZPJ391] [SMD]")</f>
        <v>RESISTOR:   SMD 0805 330Ω ±5% 0.500W   [ESR10EZPJ391] [SMD]</v>
      </c>
      <c r="B955" s="4" t="str">
        <f>IFERROR(__xludf.DUMMYFUNCTION("""COMPUTED_VALUE"""),"OEPS020192")</f>
        <v>OEPS020192</v>
      </c>
      <c r="C955" s="4" t="str">
        <f>IFERROR(__xludf.DUMMYFUNCTION("""COMPUTED_VALUE"""),"SMD")</f>
        <v>SMD</v>
      </c>
      <c r="D955" s="4" t="str">
        <f>IFERROR(__xludf.DUMMYFUNCTION("""COMPUTED_VALUE"""),"ESR10EZPJ391")</f>
        <v>ESR10EZPJ391</v>
      </c>
      <c r="E955" s="4">
        <f>IFERROR(__xludf.DUMMYFUNCTION("""COMPUTED_VALUE"""),20.0)</f>
        <v>20</v>
      </c>
      <c r="F955" s="4" t="str">
        <f>IFERROR(__xludf.DUMMYFUNCTION("""COMPUTED_VALUE"""),"DigiKey")</f>
        <v>DigiKey</v>
      </c>
      <c r="G955" s="4" t="str">
        <f>IFERROR(__xludf.DUMMYFUNCTION("""COMPUTED_VALUE"""),"RHM390KDKR-ND")</f>
        <v>RHM390KDKR-ND</v>
      </c>
      <c r="H955" s="4"/>
      <c r="I955" s="4"/>
      <c r="J955" s="4"/>
      <c r="K955" s="4"/>
      <c r="L955" s="4"/>
      <c r="M955" s="4"/>
      <c r="N955" s="9" t="str">
        <f>IFERROR(__xludf.DUMMYFUNCTION("""COMPUTED_VALUE"""),"OEPS080118")</f>
        <v>OEPS080118</v>
      </c>
      <c r="O955" s="4" t="str">
        <f>IFERROR(__xludf.DUMMYFUNCTION("""COMPUTED_VALUE"""),"AD5142BRUZ10")</f>
        <v>AD5142BRUZ10</v>
      </c>
      <c r="P955" s="4" t="str">
        <f>IFERROR(__xludf.DUMMYFUNCTION("""COMPUTED_VALUE"""),"4(Tb) ")</f>
        <v>4(Tb) </v>
      </c>
      <c r="Q955" s="4">
        <f>IFERROR(__xludf.DUMMYFUNCTION("""COMPUTED_VALUE"""),4.0)</f>
        <v>4</v>
      </c>
      <c r="R955" s="4">
        <f>IFERROR(__xludf.DUMMYFUNCTION("""COMPUTED_VALUE"""),4.0)</f>
        <v>4</v>
      </c>
      <c r="S955" s="4" t="str">
        <f>IFERROR(__xludf.DUMMYFUNCTION("""COMPUTED_VALUE"""),"Tube")</f>
        <v>Tube</v>
      </c>
      <c r="T955" s="4" t="str">
        <f>IFERROR(__xludf.DUMMYFUNCTION("""COMPUTED_VALUE"""),"0924")</f>
        <v>0924</v>
      </c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</row>
    <row r="956">
      <c r="A956" s="4" t="str">
        <f>IFERROR(__xludf.DUMMYFUNCTION("""COMPUTED_VALUE"""),"RESISTOR:   SMD 0805 4.7MΩ ±1% 0.125W   [MCWR08W4704FTL] [SMD]")</f>
        <v>RESISTOR:   SMD 0805 4.7MΩ ±1% 0.125W   [MCWR08W4704FTL] [SMD]</v>
      </c>
      <c r="B956" s="4" t="str">
        <f>IFERROR(__xludf.DUMMYFUNCTION("""COMPUTED_VALUE"""),"OEPS020182")</f>
        <v>OEPS020182</v>
      </c>
      <c r="C956" s="4" t="str">
        <f>IFERROR(__xludf.DUMMYFUNCTION("""COMPUTED_VALUE"""),"SMD")</f>
        <v>SMD</v>
      </c>
      <c r="D956" s="4" t="str">
        <f>IFERROR(__xludf.DUMMYFUNCTION("""COMPUTED_VALUE"""),"MCWR08W4704FTL")</f>
        <v>MCWR08W4704FTL</v>
      </c>
      <c r="E956" s="4">
        <f>IFERROR(__xludf.DUMMYFUNCTION("""COMPUTED_VALUE"""),20.0)</f>
        <v>20</v>
      </c>
      <c r="F956" s="4" t="str">
        <f>IFERROR(__xludf.DUMMYFUNCTION("""COMPUTED_VALUE"""),"Farnell")</f>
        <v>Farnell</v>
      </c>
      <c r="G956" s="4" t="str">
        <f>IFERROR(__xludf.DUMMYFUNCTION("""COMPUTED_VALUE"""),"2447676")</f>
        <v>2447676</v>
      </c>
      <c r="H956" s="4"/>
      <c r="I956" s="4"/>
      <c r="J956" s="4"/>
      <c r="K956" s="4"/>
      <c r="L956" s="4"/>
      <c r="M956" s="4"/>
      <c r="N956" s="9" t="str">
        <f>IFERROR(__xludf.DUMMYFUNCTION("""COMPUTED_VALUE"""),"OEPS080120")</f>
        <v>OEPS080120</v>
      </c>
      <c r="O956" s="4" t="str">
        <f>IFERROR(__xludf.DUMMYFUNCTION("""COMPUTED_VALUE"""),"ADC121S021CIMFX/NOPB")</f>
        <v>ADC121S021CIMFX/NOPB</v>
      </c>
      <c r="P956" s="4" t="str">
        <f>IFERROR(__xludf.DUMMYFUNCTION("""COMPUTED_VALUE"""),"8(R) ")</f>
        <v>8(R) </v>
      </c>
      <c r="Q956" s="4">
        <f>IFERROR(__xludf.DUMMYFUNCTION("""COMPUTED_VALUE"""),8.0)</f>
        <v>8</v>
      </c>
      <c r="R956" s="4">
        <f>IFERROR(__xludf.DUMMYFUNCTION("""COMPUTED_VALUE"""),8.0)</f>
        <v>8</v>
      </c>
      <c r="S956" s="4" t="str">
        <f>IFERROR(__xludf.DUMMYFUNCTION("""COMPUTED_VALUE"""),"Reel")</f>
        <v>Reel</v>
      </c>
      <c r="T956" s="4" t="str">
        <f>IFERROR(__xludf.DUMMYFUNCTION("""COMPUTED_VALUE"""),"0625")</f>
        <v>0625</v>
      </c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</row>
    <row r="957">
      <c r="A957" s="4" t="str">
        <f>IFERROR(__xludf.DUMMYFUNCTION("""COMPUTED_VALUE"""),"RESISTOR:   SMD 0805 4.7Ω ±1% 0.125W   [MCMR08W4R70FTL] [SMD]")</f>
        <v>RESISTOR:   SMD 0805 4.7Ω ±1% 0.125W   [MCMR08W4R70FTL] [SMD]</v>
      </c>
      <c r="B957" s="4" t="str">
        <f>IFERROR(__xludf.DUMMYFUNCTION("""COMPUTED_VALUE"""),"OEPS020178")</f>
        <v>OEPS020178</v>
      </c>
      <c r="C957" s="4" t="str">
        <f>IFERROR(__xludf.DUMMYFUNCTION("""COMPUTED_VALUE"""),"SMD")</f>
        <v>SMD</v>
      </c>
      <c r="D957" s="4" t="str">
        <f>IFERROR(__xludf.DUMMYFUNCTION("""COMPUTED_VALUE"""),"MCMR08W4R70FTL")</f>
        <v>MCMR08W4R70FTL</v>
      </c>
      <c r="E957" s="4">
        <f>IFERROR(__xludf.DUMMYFUNCTION("""COMPUTED_VALUE"""),20.0)</f>
        <v>20</v>
      </c>
      <c r="F957" s="4" t="str">
        <f>IFERROR(__xludf.DUMMYFUNCTION("""COMPUTED_VALUE"""),"Farnell")</f>
        <v>Farnell</v>
      </c>
      <c r="G957" s="4" t="str">
        <f>IFERROR(__xludf.DUMMYFUNCTION("""COMPUTED_VALUE"""),"2073599")</f>
        <v>2073599</v>
      </c>
      <c r="H957" s="4"/>
      <c r="I957" s="4"/>
      <c r="J957" s="4"/>
      <c r="K957" s="4"/>
      <c r="L957" s="4"/>
      <c r="M957" s="4"/>
      <c r="N957" s="9" t="str">
        <f>IFERROR(__xludf.DUMMYFUNCTION("""COMPUTED_VALUE"""),"OEPS080121")</f>
        <v>OEPS080121</v>
      </c>
      <c r="O957" s="4" t="str">
        <f>IFERROR(__xludf.DUMMYFUNCTION("""COMPUTED_VALUE"""),"MCP4921T-E/MS")</f>
        <v>MCP4921T-E/MS</v>
      </c>
      <c r="P957" s="4" t="str">
        <f>IFERROR(__xludf.DUMMYFUNCTION("""COMPUTED_VALUE"""),"16(Tp) 3(Tp) ")</f>
        <v>16(Tp) 3(Tp) </v>
      </c>
      <c r="Q957" s="4">
        <f>IFERROR(__xludf.DUMMYFUNCTION("""COMPUTED_VALUE"""),19.0)</f>
        <v>19</v>
      </c>
      <c r="R957" s="4">
        <f>IFERROR(__xludf.DUMMYFUNCTION("""COMPUTED_VALUE"""),16.0)</f>
        <v>16</v>
      </c>
      <c r="S957" s="4" t="str">
        <f>IFERROR(__xludf.DUMMYFUNCTION("""COMPUTED_VALUE"""),"Tape")</f>
        <v>Tape</v>
      </c>
      <c r="T957" s="4" t="str">
        <f>IFERROR(__xludf.DUMMYFUNCTION("""COMPUTED_VALUE"""),"1025")</f>
        <v>1025</v>
      </c>
      <c r="U957" s="4">
        <f>IFERROR(__xludf.DUMMYFUNCTION("""COMPUTED_VALUE"""),3.0)</f>
        <v>3</v>
      </c>
      <c r="V957" s="4" t="str">
        <f>IFERROR(__xludf.DUMMYFUNCTION("""COMPUTED_VALUE"""),"Tape")</f>
        <v>Tape</v>
      </c>
      <c r="W957" s="4" t="str">
        <f>IFERROR(__xludf.DUMMYFUNCTION("""COMPUTED_VALUE"""),"0325")</f>
        <v>0325</v>
      </c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</row>
    <row r="958">
      <c r="A958" s="4" t="str">
        <f>IFERROR(__xludf.DUMMYFUNCTION("""COMPUTED_VALUE"""),"RESISTOR:   SMD 0805 9kΩ ±0.1% 0.125W   [RT0805BRE079KL] [SMD]")</f>
        <v>RESISTOR:   SMD 0805 9kΩ ±0.1% 0.125W   [RT0805BRE079KL] [SMD]</v>
      </c>
      <c r="B958" s="4" t="str">
        <f>IFERROR(__xludf.DUMMYFUNCTION("""COMPUTED_VALUE"""),"OEPS020207")</f>
        <v>OEPS020207</v>
      </c>
      <c r="C958" s="4" t="str">
        <f>IFERROR(__xludf.DUMMYFUNCTION("""COMPUTED_VALUE"""),"SMD")</f>
        <v>SMD</v>
      </c>
      <c r="D958" s="4" t="str">
        <f>IFERROR(__xludf.DUMMYFUNCTION("""COMPUTED_VALUE"""),"RT0805BRE079KL")</f>
        <v>RT0805BRE079KL</v>
      </c>
      <c r="E958" s="4">
        <f>IFERROR(__xludf.DUMMYFUNCTION("""COMPUTED_VALUE"""),20.0)</f>
        <v>20</v>
      </c>
      <c r="F958" s="4" t="str">
        <f>IFERROR(__xludf.DUMMYFUNCTION("""COMPUTED_VALUE"""),"Digikey")</f>
        <v>Digikey</v>
      </c>
      <c r="G958" s="4" t="str">
        <f>IFERROR(__xludf.DUMMYFUNCTION("""COMPUTED_VALUE"""),"13-RT0805BRE079KLDKR-ND")</f>
        <v>13-RT0805BRE079KLDKR-ND</v>
      </c>
      <c r="H958" s="4"/>
      <c r="I958" s="4"/>
      <c r="J958" s="4"/>
      <c r="K958" s="4"/>
      <c r="L958" s="4"/>
      <c r="M958" s="4"/>
      <c r="N958" s="9" t="str">
        <f>IFERROR(__xludf.DUMMYFUNCTION("""COMPUTED_VALUE"""),"OEPS080123")</f>
        <v>OEPS080123</v>
      </c>
      <c r="O958" s="4" t="str">
        <f>IFERROR(__xludf.DUMMYFUNCTION("""COMPUTED_VALUE"""),"ADXL335BCPZ-RL7")</f>
        <v>ADXL335BCPZ-RL7</v>
      </c>
      <c r="P958" s="4" t="str">
        <f>IFERROR(__xludf.DUMMYFUNCTION("""COMPUTED_VALUE"""),"12(Tp) ")</f>
        <v>12(Tp) </v>
      </c>
      <c r="Q958" s="4">
        <f>IFERROR(__xludf.DUMMYFUNCTION("""COMPUTED_VALUE"""),12.0)</f>
        <v>12</v>
      </c>
      <c r="R958" s="4">
        <f>IFERROR(__xludf.DUMMYFUNCTION("""COMPUTED_VALUE"""),12.0)</f>
        <v>12</v>
      </c>
      <c r="S958" s="4" t="str">
        <f>IFERROR(__xludf.DUMMYFUNCTION("""COMPUTED_VALUE"""),"Tape")</f>
        <v>Tape</v>
      </c>
      <c r="T958" s="4" t="str">
        <f>IFERROR(__xludf.DUMMYFUNCTION("""COMPUTED_VALUE"""),"0325")</f>
        <v>0325</v>
      </c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</row>
    <row r="959">
      <c r="A959" s="4" t="str">
        <f>IFERROR(__xludf.DUMMYFUNCTION("""COMPUTED_VALUE"""),"RESISTOR:   SMD 1206 0.47Ω ±0.5% 0.500W   [KDV12DR470ET] [SMD]")</f>
        <v>RESISTOR:   SMD 1206 0.47Ω ±0.5% 0.500W   [KDV12DR470ET] [SMD]</v>
      </c>
      <c r="B959" s="4" t="str">
        <f>IFERROR(__xludf.DUMMYFUNCTION("""COMPUTED_VALUE"""),"OEPS020241")</f>
        <v>OEPS020241</v>
      </c>
      <c r="C959" s="4" t="str">
        <f>IFERROR(__xludf.DUMMYFUNCTION("""COMPUTED_VALUE"""),"SMD")</f>
        <v>SMD</v>
      </c>
      <c r="D959" s="4" t="str">
        <f>IFERROR(__xludf.DUMMYFUNCTION("""COMPUTED_VALUE"""),"KDV12DR470ET")</f>
        <v>KDV12DR470ET</v>
      </c>
      <c r="E959" s="4">
        <f>IFERROR(__xludf.DUMMYFUNCTION("""COMPUTED_VALUE"""),20.0)</f>
        <v>20</v>
      </c>
      <c r="F959" s="4" t="str">
        <f>IFERROR(__xludf.DUMMYFUNCTION("""COMPUTED_VALUE"""),"Digikey")</f>
        <v>Digikey</v>
      </c>
      <c r="G959" s="4" t="str">
        <f>IFERROR(__xludf.DUMMYFUNCTION("""COMPUTED_VALUE"""),"273-KDV12DR470ETDKR-ND")</f>
        <v>273-KDV12DR470ETDKR-ND</v>
      </c>
      <c r="H959" s="4"/>
      <c r="I959" s="4"/>
      <c r="J959" s="4"/>
      <c r="K959" s="4"/>
      <c r="L959" s="4"/>
      <c r="M959" s="4"/>
      <c r="N959" s="9" t="str">
        <f>IFERROR(__xludf.DUMMYFUNCTION("""COMPUTED_VALUE"""),"OEPS080124")</f>
        <v>OEPS080124</v>
      </c>
      <c r="O959" s="4" t="str">
        <f>IFERROR(__xludf.DUMMYFUNCTION("""COMPUTED_VALUE"""),"RHD2216 #D8213")</f>
        <v>RHD2216 #D8213</v>
      </c>
      <c r="P959" s="4" t="str">
        <f>IFERROR(__xludf.DUMMYFUNCTION("""COMPUTED_VALUE"""),"13 25 ")</f>
        <v>13 25 </v>
      </c>
      <c r="Q959" s="4">
        <f>IFERROR(__xludf.DUMMYFUNCTION("""COMPUTED_VALUE"""),38.0)</f>
        <v>38</v>
      </c>
      <c r="R959" s="4">
        <f>IFERROR(__xludf.DUMMYFUNCTION("""COMPUTED_VALUE"""),13.0)</f>
        <v>13</v>
      </c>
      <c r="S959" s="4" t="str">
        <f>IFERROR(__xludf.DUMMYFUNCTION("""COMPUTED_VALUE"""),"Bag")</f>
        <v>Bag</v>
      </c>
      <c r="T959" s="4" t="str">
        <f>IFERROR(__xludf.DUMMYFUNCTION("""COMPUTED_VALUE"""),"0725")</f>
        <v>0725</v>
      </c>
      <c r="U959" s="4">
        <f>IFERROR(__xludf.DUMMYFUNCTION("""COMPUTED_VALUE"""),25.0)</f>
        <v>25</v>
      </c>
      <c r="V959" s="4" t="str">
        <f>IFERROR(__xludf.DUMMYFUNCTION("""COMPUTED_VALUE"""),"Bag")</f>
        <v>Bag</v>
      </c>
      <c r="W959" s="4" t="str">
        <f>IFERROR(__xludf.DUMMYFUNCTION("""COMPUTED_VALUE"""),"XXXX")</f>
        <v>XXXX</v>
      </c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</row>
    <row r="960">
      <c r="A960" s="4" t="str">
        <f>IFERROR(__xludf.DUMMYFUNCTION("""COMPUTED_VALUE"""),"RESISTOR:   SMD 1206 100Ω ±0.1% 0.52W   [TNPW1206100RBEEA] [SMD]")</f>
        <v>RESISTOR:   SMD 1206 100Ω ±0.1% 0.52W   [TNPW1206100RBEEA] [SMD]</v>
      </c>
      <c r="B960" s="4" t="str">
        <f>IFERROR(__xludf.DUMMYFUNCTION("""COMPUTED_VALUE"""),"OEPS020172")</f>
        <v>OEPS020172</v>
      </c>
      <c r="C960" s="4" t="str">
        <f>IFERROR(__xludf.DUMMYFUNCTION("""COMPUTED_VALUE"""),"SMD")</f>
        <v>SMD</v>
      </c>
      <c r="D960" s="4" t="str">
        <f>IFERROR(__xludf.DUMMYFUNCTION("""COMPUTED_VALUE"""),"TNPW1206100RBEEA")</f>
        <v>TNPW1206100RBEEA</v>
      </c>
      <c r="E960" s="4">
        <f>IFERROR(__xludf.DUMMYFUNCTION("""COMPUTED_VALUE"""),15.0)</f>
        <v>15</v>
      </c>
      <c r="F960" s="4" t="str">
        <f>IFERROR(__xludf.DUMMYFUNCTION("""COMPUTED_VALUE"""),"Digikey")</f>
        <v>Digikey</v>
      </c>
      <c r="G960" s="4" t="str">
        <f>IFERROR(__xludf.DUMMYFUNCTION("""COMPUTED_VALUE"""),"TNP100ACDKR-ND")</f>
        <v>TNP100ACDKR-ND</v>
      </c>
      <c r="H960" s="4"/>
      <c r="I960" s="4"/>
      <c r="J960" s="4"/>
      <c r="K960" s="4"/>
      <c r="L960" s="4"/>
      <c r="M960" s="4"/>
      <c r="N960" s="9" t="str">
        <f>IFERROR(__xludf.DUMMYFUNCTION("""COMPUTED_VALUE"""),"OEPS080125")</f>
        <v>OEPS080125</v>
      </c>
      <c r="O960" s="4" t="str">
        <f>IFERROR(__xludf.DUMMYFUNCTION("""COMPUTED_VALUE"""),"LT3471EDD#PBF")</f>
        <v>LT3471EDD#PBF</v>
      </c>
      <c r="P960" s="4" t="str">
        <f>IFERROR(__xludf.DUMMYFUNCTION("""COMPUTED_VALUE"""),"48(R) 21(Tb) ")</f>
        <v>48(R) 21(Tb) </v>
      </c>
      <c r="Q960" s="4">
        <f>IFERROR(__xludf.DUMMYFUNCTION("""COMPUTED_VALUE"""),69.0)</f>
        <v>69</v>
      </c>
      <c r="R960" s="4">
        <f>IFERROR(__xludf.DUMMYFUNCTION("""COMPUTED_VALUE"""),48.0)</f>
        <v>48</v>
      </c>
      <c r="S960" s="4" t="str">
        <f>IFERROR(__xludf.DUMMYFUNCTION("""COMPUTED_VALUE"""),"Reel")</f>
        <v>Reel</v>
      </c>
      <c r="T960" s="4" t="str">
        <f>IFERROR(__xludf.DUMMYFUNCTION("""COMPUTED_VALUE"""),"0625")</f>
        <v>0625</v>
      </c>
      <c r="U960" s="4">
        <f>IFERROR(__xludf.DUMMYFUNCTION("""COMPUTED_VALUE"""),21.0)</f>
        <v>21</v>
      </c>
      <c r="V960" s="4" t="str">
        <f>IFERROR(__xludf.DUMMYFUNCTION("""COMPUTED_VALUE"""),"Tube")</f>
        <v>Tube</v>
      </c>
      <c r="W960" s="4" t="str">
        <f>IFERROR(__xludf.DUMMYFUNCTION("""COMPUTED_VALUE"""),"0325")</f>
        <v>0325</v>
      </c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</row>
    <row r="961">
      <c r="A961" s="4" t="str">
        <f>IFERROR(__xludf.DUMMYFUNCTION("""COMPUTED_VALUE"""),"RESISTOR:   SMD 1206 15Ω ±0.1% 1W   [PHPA1206E15R0BST1] [SMD]")</f>
        <v>RESISTOR:   SMD 1206 15Ω ±0.1% 1W   [PHPA1206E15R0BST1] [SMD]</v>
      </c>
      <c r="B961" s="4" t="str">
        <f>IFERROR(__xludf.DUMMYFUNCTION("""COMPUTED_VALUE"""),"OEPS020244")</f>
        <v>OEPS020244</v>
      </c>
      <c r="C961" s="4" t="str">
        <f>IFERROR(__xludf.DUMMYFUNCTION("""COMPUTED_VALUE"""),"SMD")</f>
        <v>SMD</v>
      </c>
      <c r="D961" s="4" t="str">
        <f>IFERROR(__xludf.DUMMYFUNCTION("""COMPUTED_VALUE"""),"PHPA1206E15R0BST1")</f>
        <v>PHPA1206E15R0BST1</v>
      </c>
      <c r="E961" s="4">
        <f>IFERROR(__xludf.DUMMYFUNCTION("""COMPUTED_VALUE"""),10.0)</f>
        <v>10</v>
      </c>
      <c r="F961" s="4" t="str">
        <f>IFERROR(__xludf.DUMMYFUNCTION("""COMPUTED_VALUE"""),"DigiKey")</f>
        <v>DigiKey</v>
      </c>
      <c r="G961" s="4" t="str">
        <f>IFERROR(__xludf.DUMMYFUNCTION("""COMPUTED_VALUE"""),"764-PHPA1206E15R0BST1DKR-ND")</f>
        <v>764-PHPA1206E15R0BST1DKR-ND</v>
      </c>
      <c r="H961" s="4"/>
      <c r="I961" s="4"/>
      <c r="J961" s="4"/>
      <c r="K961" s="4"/>
      <c r="L961" s="4"/>
      <c r="M961" s="4"/>
      <c r="N961" s="9" t="str">
        <f>IFERROR(__xludf.DUMMYFUNCTION("""COMPUTED_VALUE"""),"OEPS080126")</f>
        <v>OEPS080126</v>
      </c>
      <c r="O961" s="4" t="str">
        <f>IFERROR(__xludf.DUMMYFUNCTION("""COMPUTED_VALUE"""),"SN74LVC4245APWR")</f>
        <v>SN74LVC4245APWR</v>
      </c>
      <c r="P961" s="4" t="str">
        <f>IFERROR(__xludf.DUMMYFUNCTION("""COMPUTED_VALUE"""),"1(Tp) 3 ")</f>
        <v>1(Tp) 3 </v>
      </c>
      <c r="Q961" s="4">
        <f>IFERROR(__xludf.DUMMYFUNCTION("""COMPUTED_VALUE"""),4.0)</f>
        <v>4</v>
      </c>
      <c r="R961" s="4">
        <f>IFERROR(__xludf.DUMMYFUNCTION("""COMPUTED_VALUE"""),1.0)</f>
        <v>1</v>
      </c>
      <c r="S961" s="4" t="str">
        <f>IFERROR(__xludf.DUMMYFUNCTION("""COMPUTED_VALUE"""),"Tape")</f>
        <v>Tape</v>
      </c>
      <c r="T961" s="4" t="str">
        <f>IFERROR(__xludf.DUMMYFUNCTION("""COMPUTED_VALUE"""),"0325")</f>
        <v>0325</v>
      </c>
      <c r="U961" s="4">
        <f>IFERROR(__xludf.DUMMYFUNCTION("""COMPUTED_VALUE"""),3.0)</f>
        <v>3</v>
      </c>
      <c r="V961" s="4" t="str">
        <f>IFERROR(__xludf.DUMMYFUNCTION("""COMPUTED_VALUE"""),"Bag")</f>
        <v>Bag</v>
      </c>
      <c r="W961" s="4" t="str">
        <f>IFERROR(__xludf.DUMMYFUNCTION("""COMPUTED_VALUE"""),"XXXX")</f>
        <v>XXXX</v>
      </c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</row>
    <row r="962">
      <c r="A962" s="4" t="str">
        <f>IFERROR(__xludf.DUMMYFUNCTION("""COMPUTED_VALUE"""),"RESISTOR:   SMD 1210 2.2MΩ ±5% 0.5W   [CRGCQ1210J2M2] [SMD]")</f>
        <v>RESISTOR:   SMD 1210 2.2MΩ ±5% 0.5W   [CRGCQ1210J2M2] [SMD]</v>
      </c>
      <c r="B962" s="4" t="str">
        <f>IFERROR(__xludf.DUMMYFUNCTION("""COMPUTED_VALUE"""),"OEPS020230")</f>
        <v>OEPS020230</v>
      </c>
      <c r="C962" s="4" t="str">
        <f>IFERROR(__xludf.DUMMYFUNCTION("""COMPUTED_VALUE"""),"SMD")</f>
        <v>SMD</v>
      </c>
      <c r="D962" s="4" t="str">
        <f>IFERROR(__xludf.DUMMYFUNCTION("""COMPUTED_VALUE"""),"CRGCQ1210J2M2")</f>
        <v>CRGCQ1210J2M2</v>
      </c>
      <c r="E962" s="4">
        <f>IFERROR(__xludf.DUMMYFUNCTION("""COMPUTED_VALUE"""),10.0)</f>
        <v>10</v>
      </c>
      <c r="F962" s="4" t="str">
        <f>IFERROR(__xludf.DUMMYFUNCTION("""COMPUTED_VALUE"""),"Digikey")</f>
        <v>Digikey</v>
      </c>
      <c r="G962" s="4" t="str">
        <f>IFERROR(__xludf.DUMMYFUNCTION("""COMPUTED_VALUE"""),"A130240DKR-ND")</f>
        <v>A130240DKR-ND</v>
      </c>
      <c r="H962" s="4"/>
      <c r="I962" s="4"/>
      <c r="J962" s="4"/>
      <c r="K962" s="4"/>
      <c r="L962" s="4"/>
      <c r="M962" s="4"/>
      <c r="N962" s="9" t="str">
        <f>IFERROR(__xludf.DUMMYFUNCTION("""COMPUTED_VALUE"""),"OEPS080127")</f>
        <v>OEPS080127</v>
      </c>
      <c r="O962" s="4" t="str">
        <f>IFERROR(__xludf.DUMMYFUNCTION("""COMPUTED_VALUE"""),"TCA9406DCUR")</f>
        <v>TCA9406DCUR</v>
      </c>
      <c r="P962" s="4" t="str">
        <f>IFERROR(__xludf.DUMMYFUNCTION("""COMPUTED_VALUE"""),"103(Tp) 1(Tp) 9 3(R) ")</f>
        <v>103(Tp) 1(Tp) 9 3(R) </v>
      </c>
      <c r="Q962" s="4">
        <f>IFERROR(__xludf.DUMMYFUNCTION("""COMPUTED_VALUE"""),116.0)</f>
        <v>116</v>
      </c>
      <c r="R962" s="4">
        <f>IFERROR(__xludf.DUMMYFUNCTION("""COMPUTED_VALUE"""),103.0)</f>
        <v>103</v>
      </c>
      <c r="S962" s="4" t="str">
        <f>IFERROR(__xludf.DUMMYFUNCTION("""COMPUTED_VALUE"""),"Tape")</f>
        <v>Tape</v>
      </c>
      <c r="T962" s="4" t="str">
        <f>IFERROR(__xludf.DUMMYFUNCTION("""COMPUTED_VALUE"""),"0325")</f>
        <v>0325</v>
      </c>
      <c r="U962" s="4">
        <f>IFERROR(__xludf.DUMMYFUNCTION("""COMPUTED_VALUE"""),1.0)</f>
        <v>1</v>
      </c>
      <c r="V962" s="4" t="str">
        <f>IFERROR(__xludf.DUMMYFUNCTION("""COMPUTED_VALUE"""),"Tape")</f>
        <v>Tape</v>
      </c>
      <c r="W962" s="4" t="str">
        <f>IFERROR(__xludf.DUMMYFUNCTION("""COMPUTED_VALUE"""),"0325")</f>
        <v>0325</v>
      </c>
      <c r="X962" s="4">
        <f>IFERROR(__xludf.DUMMYFUNCTION("""COMPUTED_VALUE"""),9.0)</f>
        <v>9</v>
      </c>
      <c r="Y962" s="4" t="str">
        <f>IFERROR(__xludf.DUMMYFUNCTION("""COMPUTED_VALUE"""),"Bag")</f>
        <v>Bag</v>
      </c>
      <c r="Z962" s="4" t="str">
        <f>IFERROR(__xludf.DUMMYFUNCTION("""COMPUTED_VALUE"""),"XXXX")</f>
        <v>XXXX</v>
      </c>
      <c r="AA962" s="4">
        <f>IFERROR(__xludf.DUMMYFUNCTION("""COMPUTED_VALUE"""),3.0)</f>
        <v>3</v>
      </c>
      <c r="AB962" s="4" t="str">
        <f>IFERROR(__xludf.DUMMYFUNCTION("""COMPUTED_VALUE"""),"Reel")</f>
        <v>Reel</v>
      </c>
      <c r="AC962" s="4" t="str">
        <f>IFERROR(__xludf.DUMMYFUNCTION("""COMPUTED_VALUE"""),"0425")</f>
        <v>0425</v>
      </c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</row>
    <row r="963">
      <c r="A963" s="4" t="str">
        <f>IFERROR(__xludf.DUMMYFUNCTION("""COMPUTED_VALUE"""),"RESISTOR:   SMD 2512 15Ω ±1% 2W   [CRM2512-FX-15R0ELF] [SMD]")</f>
        <v>RESISTOR:   SMD 2512 15Ω ±1% 2W   [CRM2512-FX-15R0ELF] [SMD]</v>
      </c>
      <c r="B963" s="4" t="str">
        <f>IFERROR(__xludf.DUMMYFUNCTION("""COMPUTED_VALUE"""),"OEPS020039")</f>
        <v>OEPS020039</v>
      </c>
      <c r="C963" s="4" t="str">
        <f>IFERROR(__xludf.DUMMYFUNCTION("""COMPUTED_VALUE"""),"SMD")</f>
        <v>SMD</v>
      </c>
      <c r="D963" s="4" t="str">
        <f>IFERROR(__xludf.DUMMYFUNCTION("""COMPUTED_VALUE"""),"CRM2512-FX-15R0ELF")</f>
        <v>CRM2512-FX-15R0ELF</v>
      </c>
      <c r="E963" s="4">
        <f>IFERROR(__xludf.DUMMYFUNCTION("""COMPUTED_VALUE"""),5.0)</f>
        <v>5</v>
      </c>
      <c r="F963" s="4" t="str">
        <f>IFERROR(__xludf.DUMMYFUNCTION("""COMPUTED_VALUE"""),"DigiKey")</f>
        <v>DigiKey</v>
      </c>
      <c r="G963" s="4" t="str">
        <f>IFERROR(__xludf.DUMMYFUNCTION("""COMPUTED_VALUE"""),"CRM2512-FX-15R0ELFDKR-ND")</f>
        <v>CRM2512-FX-15R0ELFDKR-ND</v>
      </c>
      <c r="H963" s="4"/>
      <c r="I963" s="4"/>
      <c r="J963" s="4"/>
      <c r="K963" s="4"/>
      <c r="L963" s="4"/>
      <c r="M963" s="4"/>
      <c r="N963" s="9" t="str">
        <f>IFERROR(__xludf.DUMMYFUNCTION("""COMPUTED_VALUE"""),"OEPS080128")</f>
        <v>OEPS080128</v>
      </c>
      <c r="O963" s="4" t="str">
        <f>IFERROR(__xludf.DUMMYFUNCTION("""COMPUTED_VALUE"""),"MC33204DR2G")</f>
        <v>MC33204DR2G</v>
      </c>
      <c r="P963" s="4" t="str">
        <f>IFERROR(__xludf.DUMMYFUNCTION("""COMPUTED_VALUE"""),"136(R) 6(R) ")</f>
        <v>136(R) 6(R) </v>
      </c>
      <c r="Q963" s="4">
        <f>IFERROR(__xludf.DUMMYFUNCTION("""COMPUTED_VALUE"""),142.0)</f>
        <v>142</v>
      </c>
      <c r="R963" s="4">
        <f>IFERROR(__xludf.DUMMYFUNCTION("""COMPUTED_VALUE"""),136.0)</f>
        <v>136</v>
      </c>
      <c r="S963" s="4" t="str">
        <f>IFERROR(__xludf.DUMMYFUNCTION("""COMPUTED_VALUE"""),"Reel")</f>
        <v>Reel</v>
      </c>
      <c r="T963" s="4" t="str">
        <f>IFERROR(__xludf.DUMMYFUNCTION("""COMPUTED_VALUE"""),"0223")</f>
        <v>0223</v>
      </c>
      <c r="U963" s="4">
        <f>IFERROR(__xludf.DUMMYFUNCTION("""COMPUTED_VALUE"""),6.0)</f>
        <v>6</v>
      </c>
      <c r="V963" s="4" t="str">
        <f>IFERROR(__xludf.DUMMYFUNCTION("""COMPUTED_VALUE"""),"Reel")</f>
        <v>Reel</v>
      </c>
      <c r="W963" s="4" t="str">
        <f>IFERROR(__xludf.DUMMYFUNCTION("""COMPUTED_VALUE"""),"0523")</f>
        <v>0523</v>
      </c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</row>
    <row r="964">
      <c r="A964" s="4" t="str">
        <f>IFERROR(__xludf.DUMMYFUNCTION("""COMPUTED_VALUE"""),"RESISTOR:   SMD 2512 20Ω ±1% 2W   [CRM2512-FX-20R0ELF] [SMD]")</f>
        <v>RESISTOR:   SMD 2512 20Ω ±1% 2W   [CRM2512-FX-20R0ELF] [SMD]</v>
      </c>
      <c r="B964" s="4" t="str">
        <f>IFERROR(__xludf.DUMMYFUNCTION("""COMPUTED_VALUE"""),"OEPS020045")</f>
        <v>OEPS020045</v>
      </c>
      <c r="C964" s="4" t="str">
        <f>IFERROR(__xludf.DUMMYFUNCTION("""COMPUTED_VALUE"""),"SMD")</f>
        <v>SMD</v>
      </c>
      <c r="D964" s="4" t="str">
        <f>IFERROR(__xludf.DUMMYFUNCTION("""COMPUTED_VALUE"""),"CRM2512-FX-20R0ELF")</f>
        <v>CRM2512-FX-20R0ELF</v>
      </c>
      <c r="E964" s="4">
        <f>IFERROR(__xludf.DUMMYFUNCTION("""COMPUTED_VALUE"""),5.0)</f>
        <v>5</v>
      </c>
      <c r="F964" s="4" t="str">
        <f>IFERROR(__xludf.DUMMYFUNCTION("""COMPUTED_VALUE"""),"DigiKey")</f>
        <v>DigiKey</v>
      </c>
      <c r="G964" s="4" t="str">
        <f>IFERROR(__xludf.DUMMYFUNCTION("""COMPUTED_VALUE"""),"118-CRM2512-FX-20R0ELFDKR-ND")</f>
        <v>118-CRM2512-FX-20R0ELFDKR-ND</v>
      </c>
      <c r="H964" s="4"/>
      <c r="I964" s="4"/>
      <c r="J964" s="4"/>
      <c r="K964" s="4"/>
      <c r="L964" s="4"/>
      <c r="M964" s="4"/>
      <c r="N964" s="9" t="str">
        <f>IFERROR(__xludf.DUMMYFUNCTION("""COMPUTED_VALUE"""),"OEPS080129")</f>
        <v>OEPS080129</v>
      </c>
      <c r="O964" s="4" t="str">
        <f>IFERROR(__xludf.DUMMYFUNCTION("""COMPUTED_VALUE"""),"TPS79301DBVRG4")</f>
        <v>TPS79301DBVRG4</v>
      </c>
      <c r="P964" s="4" t="str">
        <f>IFERROR(__xludf.DUMMYFUNCTION("""COMPUTED_VALUE"""),"404(Tp) 8(R) 1 4(R) ")</f>
        <v>404(Tp) 8(R) 1 4(R) </v>
      </c>
      <c r="Q964" s="4">
        <f>IFERROR(__xludf.DUMMYFUNCTION("""COMPUTED_VALUE"""),417.0)</f>
        <v>417</v>
      </c>
      <c r="R964" s="4">
        <f>IFERROR(__xludf.DUMMYFUNCTION("""COMPUTED_VALUE"""),404.0)</f>
        <v>404</v>
      </c>
      <c r="S964" s="4" t="str">
        <f>IFERROR(__xludf.DUMMYFUNCTION("""COMPUTED_VALUE"""),"Tape")</f>
        <v>Tape</v>
      </c>
      <c r="T964" s="4" t="str">
        <f>IFERROR(__xludf.DUMMYFUNCTION("""COMPUTED_VALUE"""),"0325")</f>
        <v>0325</v>
      </c>
      <c r="U964" s="4">
        <f>IFERROR(__xludf.DUMMYFUNCTION("""COMPUTED_VALUE"""),8.0)</f>
        <v>8</v>
      </c>
      <c r="V964" s="4" t="str">
        <f>IFERROR(__xludf.DUMMYFUNCTION("""COMPUTED_VALUE"""),"Reel")</f>
        <v>Reel</v>
      </c>
      <c r="W964" s="4" t="str">
        <f>IFERROR(__xludf.DUMMYFUNCTION("""COMPUTED_VALUE"""),"XXXX")</f>
        <v>XXXX</v>
      </c>
      <c r="X964" s="4">
        <f>IFERROR(__xludf.DUMMYFUNCTION("""COMPUTED_VALUE"""),1.0)</f>
        <v>1</v>
      </c>
      <c r="Y964" s="4" t="str">
        <f>IFERROR(__xludf.DUMMYFUNCTION("""COMPUTED_VALUE"""),"Bag")</f>
        <v>Bag</v>
      </c>
      <c r="Z964" s="4" t="str">
        <f>IFERROR(__xludf.DUMMYFUNCTION("""COMPUTED_VALUE"""),"0325")</f>
        <v>0325</v>
      </c>
      <c r="AA964" s="4">
        <f>IFERROR(__xludf.DUMMYFUNCTION("""COMPUTED_VALUE"""),4.0)</f>
        <v>4</v>
      </c>
      <c r="AB964" s="4" t="str">
        <f>IFERROR(__xludf.DUMMYFUNCTION("""COMPUTED_VALUE"""),"Reel")</f>
        <v>Reel</v>
      </c>
      <c r="AC964" s="4" t="str">
        <f>IFERROR(__xludf.DUMMYFUNCTION("""COMPUTED_VALUE"""),"0425")</f>
        <v>0425</v>
      </c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</row>
    <row r="965">
      <c r="A965" s="4" t="str">
        <f>IFERROR(__xludf.DUMMYFUNCTION("""COMPUTED_VALUE"""),"RESISTOR:   TH 100kΩ 1% 0.250W AXIAL   [MF25 100K] [TH]")</f>
        <v>RESISTOR:   TH 100kΩ 1% 0.250W AXIAL   [MF25 100K] [TH]</v>
      </c>
      <c r="B965" s="4" t="str">
        <f>IFERROR(__xludf.DUMMYFUNCTION("""COMPUTED_VALUE"""),"OEPS020053")</f>
        <v>OEPS020053</v>
      </c>
      <c r="C965" s="4" t="str">
        <f>IFERROR(__xludf.DUMMYFUNCTION("""COMPUTED_VALUE"""),"TH")</f>
        <v>TH</v>
      </c>
      <c r="D965" s="4" t="str">
        <f>IFERROR(__xludf.DUMMYFUNCTION("""COMPUTED_VALUE"""),"MF25 100K")</f>
        <v>MF25 100K</v>
      </c>
      <c r="E965" s="4">
        <f>IFERROR(__xludf.DUMMYFUNCTION("""COMPUTED_VALUE"""),1.0)</f>
        <v>1</v>
      </c>
      <c r="F965" s="4" t="str">
        <f>IFERROR(__xludf.DUMMYFUNCTION("""COMPUTED_VALUE"""),"Farnell")</f>
        <v>Farnell</v>
      </c>
      <c r="G965" s="4" t="str">
        <f>IFERROR(__xludf.DUMMYFUNCTION("""COMPUTED_VALUE"""),"9341129")</f>
        <v>9341129</v>
      </c>
      <c r="H965" s="4"/>
      <c r="I965" s="4"/>
      <c r="J965" s="4"/>
      <c r="K965" s="4"/>
      <c r="L965" s="4"/>
      <c r="M965" s="4"/>
      <c r="N965" s="9" t="str">
        <f>IFERROR(__xludf.DUMMYFUNCTION("""COMPUTED_VALUE"""),"OEPS080130")</f>
        <v>OEPS080130</v>
      </c>
      <c r="O965" s="4" t="str">
        <f>IFERROR(__xludf.DUMMYFUNCTION("""COMPUTED_VALUE"""),"TPS72301DBVR")</f>
        <v>TPS72301DBVR</v>
      </c>
      <c r="P965" s="4" t="str">
        <f>IFERROR(__xludf.DUMMYFUNCTION("""COMPUTED_VALUE"""),"1(Tp) 102(Tp) 3(Tp) 5(R) ")</f>
        <v>1(Tp) 102(Tp) 3(Tp) 5(R) </v>
      </c>
      <c r="Q965" s="4">
        <f>IFERROR(__xludf.DUMMYFUNCTION("""COMPUTED_VALUE"""),111.0)</f>
        <v>111</v>
      </c>
      <c r="R965" s="4">
        <f>IFERROR(__xludf.DUMMYFUNCTION("""COMPUTED_VALUE"""),1.0)</f>
        <v>1</v>
      </c>
      <c r="S965" s="4" t="str">
        <f>IFERROR(__xludf.DUMMYFUNCTION("""COMPUTED_VALUE"""),"Tape")</f>
        <v>Tape</v>
      </c>
      <c r="T965" s="4" t="str">
        <f>IFERROR(__xludf.DUMMYFUNCTION("""COMPUTED_VALUE"""),"0325")</f>
        <v>0325</v>
      </c>
      <c r="U965" s="4">
        <f>IFERROR(__xludf.DUMMYFUNCTION("""COMPUTED_VALUE"""),102.0)</f>
        <v>102</v>
      </c>
      <c r="V965" s="4" t="str">
        <f>IFERROR(__xludf.DUMMYFUNCTION("""COMPUTED_VALUE"""),"Tape")</f>
        <v>Tape</v>
      </c>
      <c r="W965" s="4" t="str">
        <f>IFERROR(__xludf.DUMMYFUNCTION("""COMPUTED_VALUE"""),"0325")</f>
        <v>0325</v>
      </c>
      <c r="X965" s="4">
        <f>IFERROR(__xludf.DUMMYFUNCTION("""COMPUTED_VALUE"""),3.0)</f>
        <v>3</v>
      </c>
      <c r="Y965" s="4" t="str">
        <f>IFERROR(__xludf.DUMMYFUNCTION("""COMPUTED_VALUE"""),"Tape")</f>
        <v>Tape</v>
      </c>
      <c r="Z965" s="4" t="str">
        <f>IFERROR(__xludf.DUMMYFUNCTION("""COMPUTED_VALUE"""),"XXXX")</f>
        <v>XXXX</v>
      </c>
      <c r="AA965" s="4">
        <f>IFERROR(__xludf.DUMMYFUNCTION("""COMPUTED_VALUE"""),5.0)</f>
        <v>5</v>
      </c>
      <c r="AB965" s="4" t="str">
        <f>IFERROR(__xludf.DUMMYFUNCTION("""COMPUTED_VALUE"""),"Reel")</f>
        <v>Reel</v>
      </c>
      <c r="AC965" s="4" t="str">
        <f>IFERROR(__xludf.DUMMYFUNCTION("""COMPUTED_VALUE"""),"0425")</f>
        <v>0425</v>
      </c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</row>
    <row r="966">
      <c r="A966" s="4" t="str">
        <f>IFERROR(__xludf.DUMMYFUNCTION("""COMPUTED_VALUE"""),"RESISTOR:   TH 100kΩ 2% 0.200W 4x RESISTOR ARRAY   [4605X-101-104LF] [TH]")</f>
        <v>RESISTOR:   TH 100kΩ 2% 0.200W 4x RESISTOR ARRAY   [4605X-101-104LF] [TH]</v>
      </c>
      <c r="B966" s="4" t="str">
        <f>IFERROR(__xludf.DUMMYFUNCTION("""COMPUTED_VALUE"""),"OEPS020150")</f>
        <v>OEPS020150</v>
      </c>
      <c r="C966" s="4" t="str">
        <f>IFERROR(__xludf.DUMMYFUNCTION("""COMPUTED_VALUE"""),"TH")</f>
        <v>TH</v>
      </c>
      <c r="D966" s="4" t="str">
        <f>IFERROR(__xludf.DUMMYFUNCTION("""COMPUTED_VALUE"""),"4605X-101-104LF")</f>
        <v>4605X-101-104LF</v>
      </c>
      <c r="E966" s="4">
        <f>IFERROR(__xludf.DUMMYFUNCTION("""COMPUTED_VALUE"""),1.0)</f>
        <v>1</v>
      </c>
      <c r="F966" s="4" t="str">
        <f>IFERROR(__xludf.DUMMYFUNCTION("""COMPUTED_VALUE"""),"Digikey")</f>
        <v>Digikey</v>
      </c>
      <c r="G966" s="4" t="str">
        <f>IFERROR(__xludf.DUMMYFUNCTION("""COMPUTED_VALUE"""),"4605X-101-104LF-ND")</f>
        <v>4605X-101-104LF-ND</v>
      </c>
      <c r="H966" s="4"/>
      <c r="I966" s="4"/>
      <c r="J966" s="4"/>
      <c r="K966" s="4"/>
      <c r="L966" s="4"/>
      <c r="M966" s="4"/>
      <c r="N966" s="9" t="str">
        <f>IFERROR(__xludf.DUMMYFUNCTION("""COMPUTED_VALUE"""),"OEPS080131")</f>
        <v>OEPS080131</v>
      </c>
      <c r="O966" s="4" t="str">
        <f>IFERROR(__xludf.DUMMYFUNCTION("""COMPUTED_VALUE"""),"ATSAMD21G18A-MU")</f>
        <v>ATSAMD21G18A-MU</v>
      </c>
      <c r="P966" s="4" t="str">
        <f>IFERROR(__xludf.DUMMYFUNCTION("""COMPUTED_VALUE"""),"131 ")</f>
        <v>131 </v>
      </c>
      <c r="Q966" s="4">
        <f>IFERROR(__xludf.DUMMYFUNCTION("""COMPUTED_VALUE"""),131.0)</f>
        <v>131</v>
      </c>
      <c r="R966" s="4">
        <f>IFERROR(__xludf.DUMMYFUNCTION("""COMPUTED_VALUE"""),131.0)</f>
        <v>131</v>
      </c>
      <c r="S966" s="4" t="str">
        <f>IFERROR(__xludf.DUMMYFUNCTION("""COMPUTED_VALUE"""),"Bag")</f>
        <v>Bag</v>
      </c>
      <c r="T966" s="4" t="str">
        <f>IFERROR(__xludf.DUMMYFUNCTION("""COMPUTED_VALUE"""),"1125")</f>
        <v>1125</v>
      </c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</row>
    <row r="967">
      <c r="A967" s="4" t="str">
        <f>IFERROR(__xludf.DUMMYFUNCTION("""COMPUTED_VALUE"""),"RESISTOR:   TH 10kΩ 2% 0.200W 5x RESISTOR ARRAY   [4606X-101-103LF] [TH]")</f>
        <v>RESISTOR:   TH 10kΩ 2% 0.200W 5x RESISTOR ARRAY   [4606X-101-103LF] [TH]</v>
      </c>
      <c r="B967" s="4" t="str">
        <f>IFERROR(__xludf.DUMMYFUNCTION("""COMPUTED_VALUE"""),"OEPS020228")</f>
        <v>OEPS020228</v>
      </c>
      <c r="C967" s="4" t="str">
        <f>IFERROR(__xludf.DUMMYFUNCTION("""COMPUTED_VALUE"""),"TH")</f>
        <v>TH</v>
      </c>
      <c r="D967" s="4" t="str">
        <f>IFERROR(__xludf.DUMMYFUNCTION("""COMPUTED_VALUE"""),"4606X-101-103LF")</f>
        <v>4606X-101-103LF</v>
      </c>
      <c r="E967" s="4">
        <f>IFERROR(__xludf.DUMMYFUNCTION("""COMPUTED_VALUE"""),1.0)</f>
        <v>1</v>
      </c>
      <c r="F967" s="4" t="str">
        <f>IFERROR(__xludf.DUMMYFUNCTION("""COMPUTED_VALUE"""),"Digikey")</f>
        <v>Digikey</v>
      </c>
      <c r="G967" s="4" t="str">
        <f>IFERROR(__xludf.DUMMYFUNCTION("""COMPUTED_VALUE"""),"4606X-1-103LF-ND")</f>
        <v>4606X-1-103LF-ND</v>
      </c>
      <c r="H967" s="4"/>
      <c r="I967" s="4"/>
      <c r="J967" s="4"/>
      <c r="K967" s="4"/>
      <c r="L967" s="4"/>
      <c r="M967" s="4"/>
      <c r="N967" s="9" t="str">
        <f>IFERROR(__xludf.DUMMYFUNCTION("""COMPUTED_VALUE"""),"OEPS080132")</f>
        <v>OEPS080132</v>
      </c>
      <c r="O967" s="4" t="str">
        <f>IFERROR(__xludf.DUMMYFUNCTION("""COMPUTED_VALUE"""),"OPA4170AIDR")</f>
        <v>OPA4170AIDR</v>
      </c>
      <c r="P967" s="4" t="str">
        <f>IFERROR(__xludf.DUMMYFUNCTION("""COMPUTED_VALUE"""),"2 4 6(Tp) 99(R) 90(R) ")</f>
        <v>2 4 6(Tp) 99(R) 90(R) </v>
      </c>
      <c r="Q967" s="4">
        <f>IFERROR(__xludf.DUMMYFUNCTION("""COMPUTED_VALUE"""),201.0)</f>
        <v>201</v>
      </c>
      <c r="R967" s="4">
        <f>IFERROR(__xludf.DUMMYFUNCTION("""COMPUTED_VALUE"""),2.0)</f>
        <v>2</v>
      </c>
      <c r="S967" s="4" t="str">
        <f>IFERROR(__xludf.DUMMYFUNCTION("""COMPUTED_VALUE"""),"Bag")</f>
        <v>Bag</v>
      </c>
      <c r="T967" s="4" t="str">
        <f>IFERROR(__xludf.DUMMYFUNCTION("""COMPUTED_VALUE"""),"0520")</f>
        <v>0520</v>
      </c>
      <c r="U967" s="4">
        <f>IFERROR(__xludf.DUMMYFUNCTION("""COMPUTED_VALUE"""),4.0)</f>
        <v>4</v>
      </c>
      <c r="V967" s="4" t="str">
        <f>IFERROR(__xludf.DUMMYFUNCTION("""COMPUTED_VALUE"""),"Bag")</f>
        <v>Bag</v>
      </c>
      <c r="W967" s="4" t="str">
        <f>IFERROR(__xludf.DUMMYFUNCTION("""COMPUTED_VALUE"""),"XXXX")</f>
        <v>XXXX</v>
      </c>
      <c r="X967" s="4">
        <f>IFERROR(__xludf.DUMMYFUNCTION("""COMPUTED_VALUE"""),6.0)</f>
        <v>6</v>
      </c>
      <c r="Y967" s="4" t="str">
        <f>IFERROR(__xludf.DUMMYFUNCTION("""COMPUTED_VALUE"""),"Tape")</f>
        <v>Tape</v>
      </c>
      <c r="Z967" s="4" t="str">
        <f>IFERROR(__xludf.DUMMYFUNCTION("""COMPUTED_VALUE"""),"XXXX")</f>
        <v>XXXX</v>
      </c>
      <c r="AA967" s="4">
        <f>IFERROR(__xludf.DUMMYFUNCTION("""COMPUTED_VALUE"""),99.0)</f>
        <v>99</v>
      </c>
      <c r="AB967" s="4" t="str">
        <f>IFERROR(__xludf.DUMMYFUNCTION("""COMPUTED_VALUE"""),"Reel")</f>
        <v>Reel</v>
      </c>
      <c r="AC967" s="4" t="str">
        <f>IFERROR(__xludf.DUMMYFUNCTION("""COMPUTED_VALUE"""),"1121")</f>
        <v>1121</v>
      </c>
      <c r="AD967" s="4">
        <f>IFERROR(__xludf.DUMMYFUNCTION("""COMPUTED_VALUE"""),90.0)</f>
        <v>90</v>
      </c>
      <c r="AE967" s="4" t="str">
        <f>IFERROR(__xludf.DUMMYFUNCTION("""COMPUTED_VALUE"""),"Reel")</f>
        <v>Reel</v>
      </c>
      <c r="AF967" s="4" t="str">
        <f>IFERROR(__xludf.DUMMYFUNCTION("""COMPUTED_VALUE"""),"0921")</f>
        <v>0921</v>
      </c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</row>
    <row r="968">
      <c r="A968" s="4" t="str">
        <f>IFERROR(__xludf.DUMMYFUNCTION("""COMPUTED_VALUE"""),"RESISTOR:   TH 150Ω 2% 0.200W 5x RESISTOR ARRAY   [4606X-101-151LF] [TH]")</f>
        <v>RESISTOR:   TH 150Ω 2% 0.200W 5x RESISTOR ARRAY   [4606X-101-151LF] [TH]</v>
      </c>
      <c r="B968" s="4" t="str">
        <f>IFERROR(__xludf.DUMMYFUNCTION("""COMPUTED_VALUE"""),"OEPS020229")</f>
        <v>OEPS020229</v>
      </c>
      <c r="C968" s="4" t="str">
        <f>IFERROR(__xludf.DUMMYFUNCTION("""COMPUTED_VALUE"""),"TH")</f>
        <v>TH</v>
      </c>
      <c r="D968" s="4" t="str">
        <f>IFERROR(__xludf.DUMMYFUNCTION("""COMPUTED_VALUE"""),"4606X-101-151LF")</f>
        <v>4606X-101-151LF</v>
      </c>
      <c r="E968" s="4">
        <f>IFERROR(__xludf.DUMMYFUNCTION("""COMPUTED_VALUE"""),1.0)</f>
        <v>1</v>
      </c>
      <c r="F968" s="4" t="str">
        <f>IFERROR(__xludf.DUMMYFUNCTION("""COMPUTED_VALUE"""),"Digikey")</f>
        <v>Digikey</v>
      </c>
      <c r="G968" s="4" t="str">
        <f>IFERROR(__xludf.DUMMYFUNCTION("""COMPUTED_VALUE"""),"4606X-1-151LF-ND")</f>
        <v>4606X-1-151LF-ND</v>
      </c>
      <c r="H968" s="4"/>
      <c r="I968" s="4"/>
      <c r="J968" s="4"/>
      <c r="K968" s="4"/>
      <c r="L968" s="4"/>
      <c r="M968" s="4"/>
      <c r="N968" s="9" t="str">
        <f>IFERROR(__xludf.DUMMYFUNCTION("""COMPUTED_VALUE"""),"OEPS080144")</f>
        <v>OEPS080144</v>
      </c>
      <c r="O968" s="4" t="str">
        <f>IFERROR(__xludf.DUMMYFUNCTION("""COMPUTED_VALUE"""),"MCP4541-503E/MS")</f>
        <v>MCP4541-503E/MS</v>
      </c>
      <c r="P968" s="4" t="str">
        <f>IFERROR(__xludf.DUMMYFUNCTION("""COMPUTED_VALUE"""),"1 ")</f>
        <v>1 </v>
      </c>
      <c r="Q968" s="4">
        <f>IFERROR(__xludf.DUMMYFUNCTION("""COMPUTED_VALUE"""),1.0)</f>
        <v>1</v>
      </c>
      <c r="R968" s="4">
        <f>IFERROR(__xludf.DUMMYFUNCTION("""COMPUTED_VALUE"""),1.0)</f>
        <v>1</v>
      </c>
      <c r="S968" s="4" t="str">
        <f>IFERROR(__xludf.DUMMYFUNCTION("""COMPUTED_VALUE"""),"Bag")</f>
        <v>Bag</v>
      </c>
      <c r="T968" s="4" t="str">
        <f>IFERROR(__xludf.DUMMYFUNCTION("""COMPUTED_VALUE"""),"0325")</f>
        <v>0325</v>
      </c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</row>
    <row r="969">
      <c r="A969" s="4" t="str">
        <f>IFERROR(__xludf.DUMMYFUNCTION("""COMPUTED_VALUE"""),"RESISTOR:   TH 1kΩ 1% 0.250W AXIAL   [MF25 1K] [TH]")</f>
        <v>RESISTOR:   TH 1kΩ 1% 0.250W AXIAL   [MF25 1K] [TH]</v>
      </c>
      <c r="B969" s="4" t="str">
        <f>IFERROR(__xludf.DUMMYFUNCTION("""COMPUTED_VALUE"""),"OEPS020056")</f>
        <v>OEPS020056</v>
      </c>
      <c r="C969" s="4" t="str">
        <f>IFERROR(__xludf.DUMMYFUNCTION("""COMPUTED_VALUE"""),"TH")</f>
        <v>TH</v>
      </c>
      <c r="D969" s="4" t="str">
        <f>IFERROR(__xludf.DUMMYFUNCTION("""COMPUTED_VALUE"""),"MF25 1K")</f>
        <v>MF25 1K</v>
      </c>
      <c r="E969" s="4">
        <f>IFERROR(__xludf.DUMMYFUNCTION("""COMPUTED_VALUE"""),1.0)</f>
        <v>1</v>
      </c>
      <c r="F969" s="4" t="str">
        <f>IFERROR(__xludf.DUMMYFUNCTION("""COMPUTED_VALUE"""),"Farnell")</f>
        <v>Farnell</v>
      </c>
      <c r="G969" s="4" t="str">
        <f>IFERROR(__xludf.DUMMYFUNCTION("""COMPUTED_VALUE"""),"9341102")</f>
        <v>9341102</v>
      </c>
      <c r="H969" s="4"/>
      <c r="I969" s="4"/>
      <c r="J969" s="4"/>
      <c r="K969" s="4"/>
      <c r="L969" s="4"/>
      <c r="M969" s="4"/>
      <c r="N969" s="9" t="str">
        <f>IFERROR(__xludf.DUMMYFUNCTION("""COMPUTED_VALUE"""),"OEPS080145")</f>
        <v>OEPS080145</v>
      </c>
      <c r="O969" s="4" t="str">
        <f>IFERROR(__xludf.DUMMYFUNCTION("""COMPUTED_VALUE"""),"NCS2211DR2G")</f>
        <v>NCS2211DR2G</v>
      </c>
      <c r="P969" s="4" t="str">
        <f>IFERROR(__xludf.DUMMYFUNCTION("""COMPUTED_VALUE"""),"1(Tp) ")</f>
        <v>1(Tp) </v>
      </c>
      <c r="Q969" s="4">
        <f>IFERROR(__xludf.DUMMYFUNCTION("""COMPUTED_VALUE"""),1.0)</f>
        <v>1</v>
      </c>
      <c r="R969" s="4">
        <f>IFERROR(__xludf.DUMMYFUNCTION("""COMPUTED_VALUE"""),1.0)</f>
        <v>1</v>
      </c>
      <c r="S969" s="4" t="str">
        <f>IFERROR(__xludf.DUMMYFUNCTION("""COMPUTED_VALUE"""),"Tape")</f>
        <v>Tape</v>
      </c>
      <c r="T969" s="4" t="str">
        <f>IFERROR(__xludf.DUMMYFUNCTION("""COMPUTED_VALUE"""),"XXXX")</f>
        <v>XXXX</v>
      </c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</row>
    <row r="970">
      <c r="A970" s="4" t="str">
        <f>IFERROR(__xludf.DUMMYFUNCTION("""COMPUTED_VALUE"""),"RESISTOR:   TH 1MΩ 1% 0.250W AXIAL   [MF25 1M] [TH]")</f>
        <v>RESISTOR:   TH 1MΩ 1% 0.250W AXIAL   [MF25 1M] [TH]</v>
      </c>
      <c r="B970" s="4" t="str">
        <f>IFERROR(__xludf.DUMMYFUNCTION("""COMPUTED_VALUE"""),"OEPS020052")</f>
        <v>OEPS020052</v>
      </c>
      <c r="C970" s="4" t="str">
        <f>IFERROR(__xludf.DUMMYFUNCTION("""COMPUTED_VALUE"""),"TH")</f>
        <v>TH</v>
      </c>
      <c r="D970" s="4" t="str">
        <f>IFERROR(__xludf.DUMMYFUNCTION("""COMPUTED_VALUE"""),"MF25 1M")</f>
        <v>MF25 1M</v>
      </c>
      <c r="E970" s="4">
        <f>IFERROR(__xludf.DUMMYFUNCTION("""COMPUTED_VALUE"""),1.0)</f>
        <v>1</v>
      </c>
      <c r="F970" s="4" t="str">
        <f>IFERROR(__xludf.DUMMYFUNCTION("""COMPUTED_VALUE"""),"Farnell")</f>
        <v>Farnell</v>
      </c>
      <c r="G970" s="4" t="str">
        <f>IFERROR(__xludf.DUMMYFUNCTION("""COMPUTED_VALUE"""),"9341137")</f>
        <v>9341137</v>
      </c>
      <c r="H970" s="4"/>
      <c r="I970" s="4"/>
      <c r="J970" s="4"/>
      <c r="K970" s="4"/>
      <c r="L970" s="4"/>
      <c r="M970" s="4"/>
      <c r="N970" s="9" t="str">
        <f>IFERROR(__xludf.DUMMYFUNCTION("""COMPUTED_VALUE"""),"OEPS080146")</f>
        <v>OEPS080146</v>
      </c>
      <c r="O970" s="4" t="str">
        <f>IFERROR(__xludf.DUMMYFUNCTION("""COMPUTED_VALUE"""),"LD1117S33TR")</f>
        <v>LD1117S33TR</v>
      </c>
      <c r="P970" s="4" t="str">
        <f>IFERROR(__xludf.DUMMYFUNCTION("""COMPUTED_VALUE"""),"1(Tp) ")</f>
        <v>1(Tp) </v>
      </c>
      <c r="Q970" s="4">
        <f>IFERROR(__xludf.DUMMYFUNCTION("""COMPUTED_VALUE"""),1.0)</f>
        <v>1</v>
      </c>
      <c r="R970" s="4">
        <f>IFERROR(__xludf.DUMMYFUNCTION("""COMPUTED_VALUE"""),1.0)</f>
        <v>1</v>
      </c>
      <c r="S970" s="4" t="str">
        <f>IFERROR(__xludf.DUMMYFUNCTION("""COMPUTED_VALUE"""),"Tape")</f>
        <v>Tape</v>
      </c>
      <c r="T970" s="4" t="str">
        <f>IFERROR(__xludf.DUMMYFUNCTION("""COMPUTED_VALUE"""),"0325")</f>
        <v>0325</v>
      </c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</row>
    <row r="971">
      <c r="A971" s="4" t="str">
        <f>IFERROR(__xludf.DUMMYFUNCTION("""COMPUTED_VALUE"""),"RESISTOR:   TH 2.2kΩ 1% 0.250W AXIAL   [MF25 2K2] [TH]")</f>
        <v>RESISTOR:   TH 2.2kΩ 1% 0.250W AXIAL   [MF25 2K2] [TH]</v>
      </c>
      <c r="B971" s="4" t="str">
        <f>IFERROR(__xludf.DUMMYFUNCTION("""COMPUTED_VALUE"""),"OEPS020055")</f>
        <v>OEPS020055</v>
      </c>
      <c r="C971" s="4" t="str">
        <f>IFERROR(__xludf.DUMMYFUNCTION("""COMPUTED_VALUE"""),"TH")</f>
        <v>TH</v>
      </c>
      <c r="D971" s="4" t="str">
        <f>IFERROR(__xludf.DUMMYFUNCTION("""COMPUTED_VALUE"""),"MF25 2K2")</f>
        <v>MF25 2K2</v>
      </c>
      <c r="E971" s="4">
        <f>IFERROR(__xludf.DUMMYFUNCTION("""COMPUTED_VALUE"""),1.0)</f>
        <v>1</v>
      </c>
      <c r="F971" s="4" t="str">
        <f>IFERROR(__xludf.DUMMYFUNCTION("""COMPUTED_VALUE"""),"Farnell")</f>
        <v>Farnell</v>
      </c>
      <c r="G971" s="4" t="str">
        <f>IFERROR(__xludf.DUMMYFUNCTION("""COMPUTED_VALUE"""),"9341536")</f>
        <v>9341536</v>
      </c>
      <c r="H971" s="4"/>
      <c r="I971" s="4"/>
      <c r="J971" s="4"/>
      <c r="K971" s="4"/>
      <c r="L971" s="4"/>
      <c r="M971" s="4"/>
      <c r="N971" s="9" t="str">
        <f>IFERROR(__xludf.DUMMYFUNCTION("""COMPUTED_VALUE"""),"OEPS080147")</f>
        <v>OEPS080147</v>
      </c>
      <c r="O971" s="4" t="str">
        <f>IFERROR(__xludf.DUMMYFUNCTION("""COMPUTED_VALUE"""),"NJM11100F1-TE2")</f>
        <v>NJM11100F1-TE2</v>
      </c>
      <c r="P971" s="4" t="str">
        <f>IFERROR(__xludf.DUMMYFUNCTION("""COMPUTED_VALUE"""),"1(Tp) 2(Tp) ")</f>
        <v>1(Tp) 2(Tp) </v>
      </c>
      <c r="Q971" s="4">
        <f>IFERROR(__xludf.DUMMYFUNCTION("""COMPUTED_VALUE"""),3.0)</f>
        <v>3</v>
      </c>
      <c r="R971" s="4">
        <f>IFERROR(__xludf.DUMMYFUNCTION("""COMPUTED_VALUE"""),1.0)</f>
        <v>1</v>
      </c>
      <c r="S971" s="4" t="str">
        <f>IFERROR(__xludf.DUMMYFUNCTION("""COMPUTED_VALUE"""),"Tape")</f>
        <v>Tape</v>
      </c>
      <c r="T971" s="4" t="str">
        <f>IFERROR(__xludf.DUMMYFUNCTION("""COMPUTED_VALUE"""),"0325")</f>
        <v>0325</v>
      </c>
      <c r="U971" s="4">
        <f>IFERROR(__xludf.DUMMYFUNCTION("""COMPUTED_VALUE"""),2.0)</f>
        <v>2</v>
      </c>
      <c r="V971" s="4" t="str">
        <f>IFERROR(__xludf.DUMMYFUNCTION("""COMPUTED_VALUE"""),"Tape")</f>
        <v>Tape</v>
      </c>
      <c r="W971" s="4" t="str">
        <f>IFERROR(__xludf.DUMMYFUNCTION("""COMPUTED_VALUE"""),"0325")</f>
        <v>0325</v>
      </c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</row>
    <row r="972">
      <c r="A972" s="4" t="str">
        <f>IFERROR(__xludf.DUMMYFUNCTION("""COMPUTED_VALUE"""),"RESISTOR:   TH 200Ω 1% 0.4W AXIAL   [MBA02040C2000FRP00] [TH]")</f>
        <v>RESISTOR:   TH 200Ω 1% 0.4W AXIAL   [MBA02040C2000FRP00] [TH]</v>
      </c>
      <c r="B972" s="4" t="str">
        <f>IFERROR(__xludf.DUMMYFUNCTION("""COMPUTED_VALUE"""),"OEPS020254")</f>
        <v>OEPS020254</v>
      </c>
      <c r="C972" s="4" t="str">
        <f>IFERROR(__xludf.DUMMYFUNCTION("""COMPUTED_VALUE"""),"TH")</f>
        <v>TH</v>
      </c>
      <c r="D972" s="4" t="str">
        <f>IFERROR(__xludf.DUMMYFUNCTION("""COMPUTED_VALUE"""),"MBA02040C2000FRP00")</f>
        <v>MBA02040C2000FRP00</v>
      </c>
      <c r="E972" s="4">
        <f>IFERROR(__xludf.DUMMYFUNCTION("""COMPUTED_VALUE"""),1.0)</f>
        <v>1</v>
      </c>
      <c r="F972" s="4" t="str">
        <f>IFERROR(__xludf.DUMMYFUNCTION("""COMPUTED_VALUE"""),"DigiKey")</f>
        <v>DigiKey</v>
      </c>
      <c r="G972" s="4" t="str">
        <f>IFERROR(__xludf.DUMMYFUNCTION("""COMPUTED_VALUE"""),"BC200XCT-ND")</f>
        <v>BC200XCT-ND</v>
      </c>
      <c r="H972" s="4"/>
      <c r="I972" s="4"/>
      <c r="J972" s="4"/>
      <c r="K972" s="4"/>
      <c r="L972" s="4"/>
      <c r="M972" s="4"/>
      <c r="N972" s="9" t="str">
        <f>IFERROR(__xludf.DUMMYFUNCTION("""COMPUTED_VALUE"""),"OEPS080148")</f>
        <v>OEPS080148</v>
      </c>
      <c r="O972" s="4" t="str">
        <f>IFERROR(__xludf.DUMMYFUNCTION("""COMPUTED_VALUE"""),"24CW640T-I/CS0668")</f>
        <v>24CW640T-I/CS0668</v>
      </c>
      <c r="P972" s="4" t="str">
        <f>IFERROR(__xludf.DUMMYFUNCTION("""COMPUTED_VALUE"""),"16(Tp) ")</f>
        <v>16(Tp) </v>
      </c>
      <c r="Q972" s="4">
        <f>IFERROR(__xludf.DUMMYFUNCTION("""COMPUTED_VALUE"""),16.0)</f>
        <v>16</v>
      </c>
      <c r="R972" s="4">
        <f>IFERROR(__xludf.DUMMYFUNCTION("""COMPUTED_VALUE"""),16.0)</f>
        <v>16</v>
      </c>
      <c r="S972" s="4" t="str">
        <f>IFERROR(__xludf.DUMMYFUNCTION("""COMPUTED_VALUE"""),"Tape")</f>
        <v>Tape</v>
      </c>
      <c r="T972" s="4" t="str">
        <f>IFERROR(__xludf.DUMMYFUNCTION("""COMPUTED_VALUE"""),"0526")</f>
        <v>0526</v>
      </c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</row>
    <row r="973">
      <c r="A973" s="4" t="str">
        <f>IFERROR(__xludf.DUMMYFUNCTION("""COMPUTED_VALUE"""),"RESISTOR:   TH 220Ω 1% 0.250W AXIAL   [MF25 220R] [TH]")</f>
        <v>RESISTOR:   TH 220Ω 1% 0.250W AXIAL   [MF25 220R] [TH]</v>
      </c>
      <c r="B973" s="4" t="str">
        <f>IFERROR(__xludf.DUMMYFUNCTION("""COMPUTED_VALUE"""),"OEPS020057")</f>
        <v>OEPS020057</v>
      </c>
      <c r="C973" s="4" t="str">
        <f>IFERROR(__xludf.DUMMYFUNCTION("""COMPUTED_VALUE"""),"TH")</f>
        <v>TH</v>
      </c>
      <c r="D973" s="4" t="str">
        <f>IFERROR(__xludf.DUMMYFUNCTION("""COMPUTED_VALUE"""),"MF25 220R")</f>
        <v>MF25 220R</v>
      </c>
      <c r="E973" s="4">
        <f>IFERROR(__xludf.DUMMYFUNCTION("""COMPUTED_VALUE"""),1.0)</f>
        <v>1</v>
      </c>
      <c r="F973" s="4" t="str">
        <f>IFERROR(__xludf.DUMMYFUNCTION("""COMPUTED_VALUE"""),"DigiKey")</f>
        <v>DigiKey</v>
      </c>
      <c r="G973" s="4" t="str">
        <f>IFERROR(__xludf.DUMMYFUNCTION("""COMPUTED_VALUE"""),"9341528")</f>
        <v>9341528</v>
      </c>
      <c r="H973" s="4"/>
      <c r="I973" s="4"/>
      <c r="J973" s="4"/>
      <c r="K973" s="4"/>
      <c r="L973" s="4"/>
      <c r="M973" s="4"/>
      <c r="N973" s="9" t="str">
        <f>IFERROR(__xludf.DUMMYFUNCTION("""COMPUTED_VALUE"""),"OEPS080149")</f>
        <v>OEPS080149</v>
      </c>
      <c r="O973" s="4" t="str">
        <f>IFERROR(__xludf.DUMMYFUNCTION("""COMPUTED_VALUE"""),"OPA365AIDBVR")</f>
        <v>OPA365AIDBVR</v>
      </c>
      <c r="P973" s="4" t="str">
        <f>IFERROR(__xludf.DUMMYFUNCTION("""COMPUTED_VALUE"""),"5(R) ")</f>
        <v>5(R) </v>
      </c>
      <c r="Q973" s="4">
        <f>IFERROR(__xludf.DUMMYFUNCTION("""COMPUTED_VALUE"""),5.0)</f>
        <v>5</v>
      </c>
      <c r="R973" s="4">
        <f>IFERROR(__xludf.DUMMYFUNCTION("""COMPUTED_VALUE"""),5.0)</f>
        <v>5</v>
      </c>
      <c r="S973" s="4" t="str">
        <f>IFERROR(__xludf.DUMMYFUNCTION("""COMPUTED_VALUE"""),"Reel")</f>
        <v>Reel</v>
      </c>
      <c r="T973" s="4" t="str">
        <f>IFERROR(__xludf.DUMMYFUNCTION("""COMPUTED_VALUE"""),"0425")</f>
        <v>0425</v>
      </c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</row>
    <row r="974">
      <c r="A974" s="4" t="str">
        <f>IFERROR(__xludf.DUMMYFUNCTION("""COMPUTED_VALUE"""),"RESISTOR:   TH 220Ω 2% 0.200W 5x RESISTOR ARRAY   [4606X-101-221LF] [TH]")</f>
        <v>RESISTOR:   TH 220Ω 2% 0.200W 5x RESISTOR ARRAY   [4606X-101-221LF] [TH]</v>
      </c>
      <c r="B974" s="4" t="str">
        <f>IFERROR(__xludf.DUMMYFUNCTION("""COMPUTED_VALUE"""),"OEPS020227")</f>
        <v>OEPS020227</v>
      </c>
      <c r="C974" s="4" t="str">
        <f>IFERROR(__xludf.DUMMYFUNCTION("""COMPUTED_VALUE"""),"TH")</f>
        <v>TH</v>
      </c>
      <c r="D974" s="4" t="str">
        <f>IFERROR(__xludf.DUMMYFUNCTION("""COMPUTED_VALUE"""),"4606X-101-221LF")</f>
        <v>4606X-101-221LF</v>
      </c>
      <c r="E974" s="4">
        <f>IFERROR(__xludf.DUMMYFUNCTION("""COMPUTED_VALUE"""),1.0)</f>
        <v>1</v>
      </c>
      <c r="F974" s="4" t="str">
        <f>IFERROR(__xludf.DUMMYFUNCTION("""COMPUTED_VALUE"""),"Digikey")</f>
        <v>Digikey</v>
      </c>
      <c r="G974" s="4" t="str">
        <f>IFERROR(__xludf.DUMMYFUNCTION("""COMPUTED_VALUE"""),"4606X-1-221LF-ND")</f>
        <v>4606X-1-221LF-ND</v>
      </c>
      <c r="H974" s="4"/>
      <c r="I974" s="4"/>
      <c r="J974" s="4"/>
      <c r="K974" s="4"/>
      <c r="L974" s="4"/>
      <c r="M974" s="4"/>
      <c r="N974" s="9" t="str">
        <f>IFERROR(__xludf.DUMMYFUNCTION("""COMPUTED_VALUE"""),"OEPS080150")</f>
        <v>OEPS080150</v>
      </c>
      <c r="O974" s="4" t="str">
        <f>IFERROR(__xludf.DUMMYFUNCTION("""COMPUTED_VALUE"""),"AT24C64D-SSHM-T")</f>
        <v>AT24C64D-SSHM-T</v>
      </c>
      <c r="P974" s="4" t="str">
        <f>IFERROR(__xludf.DUMMYFUNCTION("""COMPUTED_VALUE"""),"82 8 ")</f>
        <v>82 8 </v>
      </c>
      <c r="Q974" s="4">
        <f>IFERROR(__xludf.DUMMYFUNCTION("""COMPUTED_VALUE"""),90.0)</f>
        <v>90</v>
      </c>
      <c r="R974" s="4">
        <f>IFERROR(__xludf.DUMMYFUNCTION("""COMPUTED_VALUE"""),82.0)</f>
        <v>82</v>
      </c>
      <c r="S974" s="4" t="str">
        <f>IFERROR(__xludf.DUMMYFUNCTION("""COMPUTED_VALUE"""),"Bag")</f>
        <v>Bag</v>
      </c>
      <c r="T974" s="4" t="str">
        <f>IFERROR(__xludf.DUMMYFUNCTION("""COMPUTED_VALUE"""),"0425")</f>
        <v>0425</v>
      </c>
      <c r="U974" s="4">
        <f>IFERROR(__xludf.DUMMYFUNCTION("""COMPUTED_VALUE"""),8.0)</f>
        <v>8</v>
      </c>
      <c r="V974" s="4" t="str">
        <f>IFERROR(__xludf.DUMMYFUNCTION("""COMPUTED_VALUE"""),"Bag")</f>
        <v>Bag</v>
      </c>
      <c r="W974" s="4" t="str">
        <f>IFERROR(__xludf.DUMMYFUNCTION("""COMPUTED_VALUE"""),"0425")</f>
        <v>0425</v>
      </c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</row>
    <row r="975">
      <c r="A975" s="4" t="str">
        <f>IFERROR(__xludf.DUMMYFUNCTION("""COMPUTED_VALUE"""),"RESISTOR:   TH 22kΩ 1% 0.250W AXIAL   [MF25 22K] [TH]")</f>
        <v>RESISTOR:   TH 22kΩ 1% 0.250W AXIAL   [MF25 22K] [TH]</v>
      </c>
      <c r="B975" s="4" t="str">
        <f>IFERROR(__xludf.DUMMYFUNCTION("""COMPUTED_VALUE"""),"OEPS020054")</f>
        <v>OEPS020054</v>
      </c>
      <c r="C975" s="4" t="str">
        <f>IFERROR(__xludf.DUMMYFUNCTION("""COMPUTED_VALUE"""),"TH")</f>
        <v>TH</v>
      </c>
      <c r="D975" s="4" t="str">
        <f>IFERROR(__xludf.DUMMYFUNCTION("""COMPUTED_VALUE"""),"MF25 22K")</f>
        <v>MF25 22K</v>
      </c>
      <c r="E975" s="4">
        <f>IFERROR(__xludf.DUMMYFUNCTION("""COMPUTED_VALUE"""),1.0)</f>
        <v>1</v>
      </c>
      <c r="F975" s="4" t="str">
        <f>IFERROR(__xludf.DUMMYFUNCTION("""COMPUTED_VALUE"""),"Farnell")</f>
        <v>Farnell</v>
      </c>
      <c r="G975" s="4" t="str">
        <f>IFERROR(__xludf.DUMMYFUNCTION("""COMPUTED_VALUE"""),"9341544")</f>
        <v>9341544</v>
      </c>
      <c r="H975" s="4"/>
      <c r="I975" s="4"/>
      <c r="J975" s="4"/>
      <c r="K975" s="4"/>
      <c r="L975" s="4"/>
      <c r="M975" s="4"/>
      <c r="N975" s="9" t="str">
        <f>IFERROR(__xludf.DUMMYFUNCTION("""COMPUTED_VALUE"""),"OEPS080151")</f>
        <v>OEPS080151</v>
      </c>
      <c r="O975" s="4" t="str">
        <f>IFERROR(__xludf.DUMMYFUNCTION("""COMPUTED_VALUE"""),"OPA197IDBVT")</f>
        <v>OPA197IDBVT</v>
      </c>
      <c r="P975" s="4" t="str">
        <f>IFERROR(__xludf.DUMMYFUNCTION("""COMPUTED_VALUE"""),"1 5 ")</f>
        <v>1 5 </v>
      </c>
      <c r="Q975" s="4">
        <f>IFERROR(__xludf.DUMMYFUNCTION("""COMPUTED_VALUE"""),6.0)</f>
        <v>6</v>
      </c>
      <c r="R975" s="4">
        <f>IFERROR(__xludf.DUMMYFUNCTION("""COMPUTED_VALUE"""),1.0)</f>
        <v>1</v>
      </c>
      <c r="S975" s="4" t="str">
        <f>IFERROR(__xludf.DUMMYFUNCTION("""COMPUTED_VALUE"""),"Bag")</f>
        <v>Bag</v>
      </c>
      <c r="T975" s="4" t="str">
        <f>IFERROR(__xludf.DUMMYFUNCTION("""COMPUTED_VALUE"""),"1024")</f>
        <v>1024</v>
      </c>
      <c r="U975" s="4">
        <f>IFERROR(__xludf.DUMMYFUNCTION("""COMPUTED_VALUE"""),5.0)</f>
        <v>5</v>
      </c>
      <c r="V975" s="4" t="str">
        <f>IFERROR(__xludf.DUMMYFUNCTION("""COMPUTED_VALUE"""),"Bag")</f>
        <v>Bag</v>
      </c>
      <c r="W975" s="4" t="str">
        <f>IFERROR(__xludf.DUMMYFUNCTION("""COMPUTED_VALUE"""),"0425")</f>
        <v>0425</v>
      </c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</row>
    <row r="976">
      <c r="A976" s="4" t="str">
        <f>IFERROR(__xludf.DUMMYFUNCTION("""COMPUTED_VALUE"""),"RESISTOR:   TH 5x12MM 24Ω ±5% 2W   [MCKNP02SJ0240A10] [TH]")</f>
        <v>RESISTOR:   TH 5x12MM 24Ω ±5% 2W   [MCKNP02SJ0240A10] [TH]</v>
      </c>
      <c r="B976" s="4" t="str">
        <f>IFERROR(__xludf.DUMMYFUNCTION("""COMPUTED_VALUE"""),"OEPS020049")</f>
        <v>OEPS020049</v>
      </c>
      <c r="C976" s="4" t="str">
        <f>IFERROR(__xludf.DUMMYFUNCTION("""COMPUTED_VALUE"""),"TH")</f>
        <v>TH</v>
      </c>
      <c r="D976" s="4" t="str">
        <f>IFERROR(__xludf.DUMMYFUNCTION("""COMPUTED_VALUE"""),"MCKNP02SJ0240A10")</f>
        <v>MCKNP02SJ0240A10</v>
      </c>
      <c r="E976" s="4">
        <f>IFERROR(__xludf.DUMMYFUNCTION("""COMPUTED_VALUE"""),1.0)</f>
        <v>1</v>
      </c>
      <c r="F976" s="4" t="str">
        <f>IFERROR(__xludf.DUMMYFUNCTION("""COMPUTED_VALUE"""),"Farnell")</f>
        <v>Farnell</v>
      </c>
      <c r="G976" s="4" t="str">
        <f>IFERROR(__xludf.DUMMYFUNCTION("""COMPUTED_VALUE"""),"1903781")</f>
        <v>1903781</v>
      </c>
      <c r="H976" s="4"/>
      <c r="I976" s="4"/>
      <c r="J976" s="4"/>
      <c r="K976" s="4"/>
      <c r="L976" s="4"/>
      <c r="M976" s="4"/>
      <c r="N976" s="9" t="str">
        <f>IFERROR(__xludf.DUMMYFUNCTION("""COMPUTED_VALUE"""),"OEPS080152")</f>
        <v>OEPS080152</v>
      </c>
      <c r="O976" s="4" t="str">
        <f>IFERROR(__xludf.DUMMYFUNCTION("""COMPUTED_VALUE"""),"MIC2004-0.5YM5-TR")</f>
        <v>MIC2004-0.5YM5-TR</v>
      </c>
      <c r="P976" s="4" t="str">
        <f>IFERROR(__xludf.DUMMYFUNCTION("""COMPUTED_VALUE"""),"1(Tp) ")</f>
        <v>1(Tp) </v>
      </c>
      <c r="Q976" s="4">
        <f>IFERROR(__xludf.DUMMYFUNCTION("""COMPUTED_VALUE"""),1.0)</f>
        <v>1</v>
      </c>
      <c r="R976" s="4">
        <f>IFERROR(__xludf.DUMMYFUNCTION("""COMPUTED_VALUE"""),1.0)</f>
        <v>1</v>
      </c>
      <c r="S976" s="4" t="str">
        <f>IFERROR(__xludf.DUMMYFUNCTION("""COMPUTED_VALUE"""),"Tape")</f>
        <v>Tape</v>
      </c>
      <c r="T976" s="4" t="str">
        <f>IFERROR(__xludf.DUMMYFUNCTION("""COMPUTED_VALUE"""),"0425")</f>
        <v>0425</v>
      </c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</row>
    <row r="977">
      <c r="A977" s="4" t="str">
        <f>IFERROR(__xludf.DUMMYFUNCTION("""COMPUTED_VALUE"""),"RESISTOR:   TH POT 1kΩ 0.5W PLASTIC LOG   [91A1A-B28-D10L] [TH]")</f>
        <v>RESISTOR:   TH POT 1kΩ 0.5W PLASTIC LOG   [91A1A-B28-D10L] [TH]</v>
      </c>
      <c r="B977" s="4" t="str">
        <f>IFERROR(__xludf.DUMMYFUNCTION("""COMPUTED_VALUE"""),"OEPS020050")</f>
        <v>OEPS020050</v>
      </c>
      <c r="C977" s="4" t="str">
        <f>IFERROR(__xludf.DUMMYFUNCTION("""COMPUTED_VALUE"""),"TH")</f>
        <v>TH</v>
      </c>
      <c r="D977" s="4" t="str">
        <f>IFERROR(__xludf.DUMMYFUNCTION("""COMPUTED_VALUE"""),"91A1A-B28-D10L")</f>
        <v>91A1A-B28-D10L</v>
      </c>
      <c r="E977" s="4">
        <f>IFERROR(__xludf.DUMMYFUNCTION("""COMPUTED_VALUE"""),1.0)</f>
        <v>1</v>
      </c>
      <c r="F977" s="4" t="str">
        <f>IFERROR(__xludf.DUMMYFUNCTION("""COMPUTED_VALUE"""),"DigiKey")</f>
        <v>DigiKey</v>
      </c>
      <c r="G977" s="4" t="str">
        <f>IFERROR(__xludf.DUMMYFUNCTION("""COMPUTED_VALUE"""),"91A1A-B28-D10L-ND")</f>
        <v>91A1A-B28-D10L-ND</v>
      </c>
      <c r="H977" s="4"/>
      <c r="I977" s="4"/>
      <c r="J977" s="4"/>
      <c r="K977" s="4"/>
      <c r="L977" s="4"/>
      <c r="M977" s="4"/>
      <c r="N977" s="9" t="str">
        <f>IFERROR(__xludf.DUMMYFUNCTION("""COMPUTED_VALUE"""),"OEPS080153")</f>
        <v>OEPS080153</v>
      </c>
      <c r="O977" s="4" t="str">
        <f>IFERROR(__xludf.DUMMYFUNCTION("""COMPUTED_VALUE"""),"MCP1700T-3302E/TT")</f>
        <v>MCP1700T-3302E/TT</v>
      </c>
      <c r="P977" s="4" t="str">
        <f>IFERROR(__xludf.DUMMYFUNCTION("""COMPUTED_VALUE"""),"1(Tp) ")</f>
        <v>1(Tp) </v>
      </c>
      <c r="Q977" s="4">
        <f>IFERROR(__xludf.DUMMYFUNCTION("""COMPUTED_VALUE"""),1.0)</f>
        <v>1</v>
      </c>
      <c r="R977" s="4">
        <f>IFERROR(__xludf.DUMMYFUNCTION("""COMPUTED_VALUE"""),1.0)</f>
        <v>1</v>
      </c>
      <c r="S977" s="4" t="str">
        <f>IFERROR(__xludf.DUMMYFUNCTION("""COMPUTED_VALUE"""),"Tape")</f>
        <v>Tape</v>
      </c>
      <c r="T977" s="4" t="str">
        <f>IFERROR(__xludf.DUMMYFUNCTION("""COMPUTED_VALUE"""),"XXXX")</f>
        <v>XXXX</v>
      </c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</row>
    <row r="978">
      <c r="A978" s="4" t="str">
        <f>IFERROR(__xludf.DUMMYFUNCTION("""COMPUTED_VALUE"""),"TRANSISTOR:   BJT NPN 40V 0.2A (OEPS J05 019)   [MMBT3904LP-7B] [3-UFDFN]")</f>
        <v>TRANSISTOR:   BJT NPN 40V 0.2A (OEPS J05 019)   [MMBT3904LP-7B] [3-UFDFN]</v>
      </c>
      <c r="B978" s="4" t="str">
        <f>IFERROR(__xludf.DUMMYFUNCTION("""COMPUTED_VALUE"""),"OEPS060014")</f>
        <v>OEPS060014</v>
      </c>
      <c r="C978" s="4" t="str">
        <f>IFERROR(__xludf.DUMMYFUNCTION("""COMPUTED_VALUE"""),"SMD")</f>
        <v>SMD</v>
      </c>
      <c r="D978" s="4" t="str">
        <f>IFERROR(__xludf.DUMMYFUNCTION("""COMPUTED_VALUE"""),"MMBT3904LP-7B")</f>
        <v>MMBT3904LP-7B</v>
      </c>
      <c r="E978" s="4">
        <f>IFERROR(__xludf.DUMMYFUNCTION("""COMPUTED_VALUE"""),10.0)</f>
        <v>10</v>
      </c>
      <c r="F978" s="4" t="str">
        <f>IFERROR(__xludf.DUMMYFUNCTION("""COMPUTED_VALUE"""),"DigiKey")</f>
        <v>DigiKey</v>
      </c>
      <c r="G978" s="4" t="str">
        <f>IFERROR(__xludf.DUMMYFUNCTION("""COMPUTED_VALUE"""),"MMBT3904LP-7BDIDKR-ND")</f>
        <v>MMBT3904LP-7BDIDKR-ND</v>
      </c>
      <c r="H978" s="4"/>
      <c r="I978" s="4"/>
      <c r="J978" s="4"/>
      <c r="K978" s="4"/>
      <c r="L978" s="4"/>
      <c r="M978" s="4"/>
      <c r="N978" s="9" t="str">
        <f>IFERROR(__xludf.DUMMYFUNCTION("""COMPUTED_VALUE"""),"OEPS080154")</f>
        <v>OEPS080154</v>
      </c>
      <c r="O978" s="4" t="str">
        <f>IFERROR(__xludf.DUMMYFUNCTION("""COMPUTED_VALUE"""),"AD5683RARMZ")</f>
        <v>AD5683RARMZ</v>
      </c>
      <c r="P978" s="4" t="str">
        <f>IFERROR(__xludf.DUMMYFUNCTION("""COMPUTED_VALUE"""),"1 ")</f>
        <v>1 </v>
      </c>
      <c r="Q978" s="4">
        <f>IFERROR(__xludf.DUMMYFUNCTION("""COMPUTED_VALUE"""),1.0)</f>
        <v>1</v>
      </c>
      <c r="R978" s="4">
        <f>IFERROR(__xludf.DUMMYFUNCTION("""COMPUTED_VALUE"""),1.0)</f>
        <v>1</v>
      </c>
      <c r="S978" s="4" t="str">
        <f>IFERROR(__xludf.DUMMYFUNCTION("""COMPUTED_VALUE"""),"Bag")</f>
        <v>Bag</v>
      </c>
      <c r="T978" s="4" t="str">
        <f>IFERROR(__xludf.DUMMYFUNCTION("""COMPUTED_VALUE"""),"0425")</f>
        <v>0425</v>
      </c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</row>
    <row r="979">
      <c r="A979" s="4" t="str">
        <f>IFERROR(__xludf.DUMMYFUNCTION("""COMPUTED_VALUE"""),"TRANSISTOR:   BJT NPN 40V 0.2A (OEPS J30 044)   [MMBT3904-TP] [SOT-23-3]")</f>
        <v>TRANSISTOR:   BJT NPN 40V 0.2A (OEPS J30 044)   [MMBT3904-TP] [SOT-23-3]</v>
      </c>
      <c r="B979" s="4" t="str">
        <f>IFERROR(__xludf.DUMMYFUNCTION("""COMPUTED_VALUE"""),"OEPS060016")</f>
        <v>OEPS060016</v>
      </c>
      <c r="C979" s="4" t="str">
        <f>IFERROR(__xludf.DUMMYFUNCTION("""COMPUTED_VALUE"""),"SMD")</f>
        <v>SMD</v>
      </c>
      <c r="D979" s="4" t="str">
        <f>IFERROR(__xludf.DUMMYFUNCTION("""COMPUTED_VALUE"""),"MMBT3904-TP")</f>
        <v>MMBT3904-TP</v>
      </c>
      <c r="E979" s="4">
        <f>IFERROR(__xludf.DUMMYFUNCTION("""COMPUTED_VALUE"""),5.0)</f>
        <v>5</v>
      </c>
      <c r="F979" s="4" t="str">
        <f>IFERROR(__xludf.DUMMYFUNCTION("""COMPUTED_VALUE"""),"Digikey")</f>
        <v>Digikey</v>
      </c>
      <c r="G979" s="4" t="str">
        <f>IFERROR(__xludf.DUMMYFUNCTION("""COMPUTED_VALUE"""),"MMBT3904TPMSDKR-ND")</f>
        <v>MMBT3904TPMSDKR-ND</v>
      </c>
      <c r="H979" s="4"/>
      <c r="I979" s="4"/>
      <c r="J979" s="4"/>
      <c r="K979" s="4"/>
      <c r="L979" s="4"/>
      <c r="M979" s="4"/>
      <c r="N979" s="9" t="str">
        <f>IFERROR(__xludf.DUMMYFUNCTION("""COMPUTED_VALUE"""),"OEPS080155")</f>
        <v>OEPS080155</v>
      </c>
      <c r="O979" s="4" t="str">
        <f>IFERROR(__xludf.DUMMYFUNCTION("""COMPUTED_VALUE"""),"AP2112K-3.3TRG1")</f>
        <v>AP2112K-3.3TRG1</v>
      </c>
      <c r="P979" s="4" t="str">
        <f>IFERROR(__xludf.DUMMYFUNCTION("""COMPUTED_VALUE"""),"1 ")</f>
        <v>1 </v>
      </c>
      <c r="Q979" s="4">
        <f>IFERROR(__xludf.DUMMYFUNCTION("""COMPUTED_VALUE"""),1.0)</f>
        <v>1</v>
      </c>
      <c r="R979" s="4">
        <f>IFERROR(__xludf.DUMMYFUNCTION("""COMPUTED_VALUE"""),1.0)</f>
        <v>1</v>
      </c>
      <c r="S979" s="4" t="str">
        <f>IFERROR(__xludf.DUMMYFUNCTION("""COMPUTED_VALUE"""),"Bag")</f>
        <v>Bag</v>
      </c>
      <c r="T979" s="4" t="str">
        <f>IFERROR(__xludf.DUMMYFUNCTION("""COMPUTED_VALUE"""),"0425")</f>
        <v>0425</v>
      </c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</row>
    <row r="980">
      <c r="A980" s="4" t="str">
        <f>IFERROR(__xludf.DUMMYFUNCTION("""COMPUTED_VALUE"""),"TRANSISTOR:   BJT NPN 45V 0.1A   [BC850C,215] [SOT-23-3]")</f>
        <v>TRANSISTOR:   BJT NPN 45V 0.1A   [BC850C,215] [SOT-23-3]</v>
      </c>
      <c r="B980" s="4" t="str">
        <f>IFERROR(__xludf.DUMMYFUNCTION("""COMPUTED_VALUE"""),"OEPS060006")</f>
        <v>OEPS060006</v>
      </c>
      <c r="C980" s="4" t="str">
        <f>IFERROR(__xludf.DUMMYFUNCTION("""COMPUTED_VALUE"""),"SMD")</f>
        <v>SMD</v>
      </c>
      <c r="D980" s="4" t="str">
        <f>IFERROR(__xludf.DUMMYFUNCTION("""COMPUTED_VALUE"""),"BC850C,215")</f>
        <v>BC850C,215</v>
      </c>
      <c r="E980" s="4">
        <f>IFERROR(__xludf.DUMMYFUNCTION("""COMPUTED_VALUE"""),5.0)</f>
        <v>5</v>
      </c>
      <c r="F980" s="4" t="str">
        <f>IFERROR(__xludf.DUMMYFUNCTION("""COMPUTED_VALUE"""),"DigiKey")</f>
        <v>DigiKey</v>
      </c>
      <c r="G980" s="4" t="str">
        <f>IFERROR(__xludf.DUMMYFUNCTION("""COMPUTED_VALUE"""),"1727-4862-6-ND")</f>
        <v>1727-4862-6-ND</v>
      </c>
      <c r="H980" s="4"/>
      <c r="I980" s="4"/>
      <c r="J980" s="4"/>
      <c r="K980" s="4"/>
      <c r="L980" s="4"/>
      <c r="M980" s="4"/>
      <c r="N980" s="9" t="str">
        <f>IFERROR(__xludf.DUMMYFUNCTION("""COMPUTED_VALUE"""),"OEPS080156")</f>
        <v>OEPS080156</v>
      </c>
      <c r="O980" s="4" t="str">
        <f>IFERROR(__xludf.DUMMYFUNCTION("""COMPUTED_VALUE"""),"BQ29700DSER")</f>
        <v>BQ29700DSER</v>
      </c>
      <c r="P980" s="4" t="str">
        <f>IFERROR(__xludf.DUMMYFUNCTION("""COMPUTED_VALUE"""),"1 ")</f>
        <v>1 </v>
      </c>
      <c r="Q980" s="4">
        <f>IFERROR(__xludf.DUMMYFUNCTION("""COMPUTED_VALUE"""),1.0)</f>
        <v>1</v>
      </c>
      <c r="R980" s="4">
        <f>IFERROR(__xludf.DUMMYFUNCTION("""COMPUTED_VALUE"""),1.0)</f>
        <v>1</v>
      </c>
      <c r="S980" s="4" t="str">
        <f>IFERROR(__xludf.DUMMYFUNCTION("""COMPUTED_VALUE"""),"Bag")</f>
        <v>Bag</v>
      </c>
      <c r="T980" s="4" t="str">
        <f>IFERROR(__xludf.DUMMYFUNCTION("""COMPUTED_VALUE"""),"0425")</f>
        <v>0425</v>
      </c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</row>
    <row r="981">
      <c r="A981" s="4" t="str">
        <f>IFERROR(__xludf.DUMMYFUNCTION("""COMPUTED_VALUE"""),"TRANSISTOR:   BJT NPN 45V 0.5A   [BC817-40W,115] [SOT-323]")</f>
        <v>TRANSISTOR:   BJT NPN 45V 0.5A   [BC817-40W,115] [SOT-323]</v>
      </c>
      <c r="B981" s="4" t="str">
        <f>IFERROR(__xludf.DUMMYFUNCTION("""COMPUTED_VALUE"""),"OEPS060022")</f>
        <v>OEPS060022</v>
      </c>
      <c r="C981" s="4" t="str">
        <f>IFERROR(__xludf.DUMMYFUNCTION("""COMPUTED_VALUE"""),"SMD")</f>
        <v>SMD</v>
      </c>
      <c r="D981" s="4" t="str">
        <f>IFERROR(__xludf.DUMMYFUNCTION("""COMPUTED_VALUE"""),"BC817-40W,115")</f>
        <v>BC817-40W,115</v>
      </c>
      <c r="E981" s="4">
        <f>IFERROR(__xludf.DUMMYFUNCTION("""COMPUTED_VALUE"""),5.0)</f>
        <v>5</v>
      </c>
      <c r="F981" s="4" t="str">
        <f>IFERROR(__xludf.DUMMYFUNCTION("""COMPUTED_VALUE"""),"DigiKey")</f>
        <v>DigiKey</v>
      </c>
      <c r="G981" s="4" t="str">
        <f>IFERROR(__xludf.DUMMYFUNCTION("""COMPUTED_VALUE"""),"1727-4842-6-ND")</f>
        <v>1727-4842-6-ND</v>
      </c>
      <c r="H981" s="4"/>
      <c r="I981" s="4"/>
      <c r="J981" s="4"/>
      <c r="K981" s="4"/>
      <c r="L981" s="4"/>
      <c r="M981" s="4"/>
      <c r="N981" s="9" t="str">
        <f>IFERROR(__xludf.DUMMYFUNCTION("""COMPUTED_VALUE"""),"OEPS080157")</f>
        <v>OEPS080157</v>
      </c>
      <c r="O981" s="4" t="str">
        <f>IFERROR(__xludf.DUMMYFUNCTION("""COMPUTED_VALUE"""),"MCP73831T-2ACI/OT")</f>
        <v>MCP73831T-2ACI/OT</v>
      </c>
      <c r="P981" s="4" t="str">
        <f>IFERROR(__xludf.DUMMYFUNCTION("""COMPUTED_VALUE"""),"2(Tp) 2(Tp) ")</f>
        <v>2(Tp) 2(Tp) </v>
      </c>
      <c r="Q981" s="4">
        <f>IFERROR(__xludf.DUMMYFUNCTION("""COMPUTED_VALUE"""),4.0)</f>
        <v>4</v>
      </c>
      <c r="R981" s="4">
        <f>IFERROR(__xludf.DUMMYFUNCTION("""COMPUTED_VALUE"""),2.0)</f>
        <v>2</v>
      </c>
      <c r="S981" s="4" t="str">
        <f>IFERROR(__xludf.DUMMYFUNCTION("""COMPUTED_VALUE"""),"Tape")</f>
        <v>Tape</v>
      </c>
      <c r="T981" s="4" t="str">
        <f>IFERROR(__xludf.DUMMYFUNCTION("""COMPUTED_VALUE"""),"0725")</f>
        <v>0725</v>
      </c>
      <c r="U981" s="4">
        <f>IFERROR(__xludf.DUMMYFUNCTION("""COMPUTED_VALUE"""),2.0)</f>
        <v>2</v>
      </c>
      <c r="V981" s="4" t="str">
        <f>IFERROR(__xludf.DUMMYFUNCTION("""COMPUTED_VALUE"""),"Tape")</f>
        <v>Tape</v>
      </c>
      <c r="W981" s="4" t="str">
        <f>IFERROR(__xludf.DUMMYFUNCTION("""COMPUTED_VALUE"""),"0425")</f>
        <v>0425</v>
      </c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</row>
    <row r="982">
      <c r="A982" s="4" t="str">
        <f>IFERROR(__xludf.DUMMYFUNCTION("""COMPUTED_VALUE"""),"TRANSISTOR:   BJT NPN 45V 0.5A   [BC817-40W,135] [SOT-323]")</f>
        <v>TRANSISTOR:   BJT NPN 45V 0.5A   [BC817-40W,135] [SOT-323]</v>
      </c>
      <c r="B982" s="4" t="str">
        <f>IFERROR(__xludf.DUMMYFUNCTION("""COMPUTED_VALUE"""),"OEPS060007")</f>
        <v>OEPS060007</v>
      </c>
      <c r="C982" s="4" t="str">
        <f>IFERROR(__xludf.DUMMYFUNCTION("""COMPUTED_VALUE"""),"SMD")</f>
        <v>SMD</v>
      </c>
      <c r="D982" s="4" t="str">
        <f>IFERROR(__xludf.DUMMYFUNCTION("""COMPUTED_VALUE"""),"BC817-40W,135")</f>
        <v>BC817-40W,135</v>
      </c>
      <c r="E982" s="4">
        <f>IFERROR(__xludf.DUMMYFUNCTION("""COMPUTED_VALUE"""),5.0)</f>
        <v>5</v>
      </c>
      <c r="F982" s="4" t="str">
        <f>IFERROR(__xludf.DUMMYFUNCTION("""COMPUTED_VALUE"""),"DigiKey")</f>
        <v>DigiKey</v>
      </c>
      <c r="G982" s="4" t="str">
        <f>IFERROR(__xludf.DUMMYFUNCTION("""COMPUTED_VALUE"""),"1727-6185-6-ND")</f>
        <v>1727-6185-6-ND</v>
      </c>
      <c r="H982" s="4"/>
      <c r="I982" s="4"/>
      <c r="J982" s="4"/>
      <c r="K982" s="4"/>
      <c r="L982" s="4"/>
      <c r="M982" s="4"/>
      <c r="N982" s="9" t="str">
        <f>IFERROR(__xludf.DUMMYFUNCTION("""COMPUTED_VALUE"""),"OEPS080158")</f>
        <v>OEPS080158</v>
      </c>
      <c r="O982" s="4" t="str">
        <f>IFERROR(__xludf.DUMMYFUNCTION("""COMPUTED_VALUE"""),"SC0914(13)")</f>
        <v>SC0914(13)</v>
      </c>
      <c r="P982" s="4" t="str">
        <f>IFERROR(__xludf.DUMMYFUNCTION("""COMPUTED_VALUE"""),"7(Tp) 1(Tp) ")</f>
        <v>7(Tp) 1(Tp) </v>
      </c>
      <c r="Q982" s="4">
        <f>IFERROR(__xludf.DUMMYFUNCTION("""COMPUTED_VALUE"""),8.0)</f>
        <v>8</v>
      </c>
      <c r="R982" s="4">
        <f>IFERROR(__xludf.DUMMYFUNCTION("""COMPUTED_VALUE"""),7.0)</f>
        <v>7</v>
      </c>
      <c r="S982" s="4" t="str">
        <f>IFERROR(__xludf.DUMMYFUNCTION("""COMPUTED_VALUE"""),"Tape")</f>
        <v>Tape</v>
      </c>
      <c r="T982" s="4" t="str">
        <f>IFERROR(__xludf.DUMMYFUNCTION("""COMPUTED_VALUE"""),"0425")</f>
        <v>0425</v>
      </c>
      <c r="U982" s="4">
        <f>IFERROR(__xludf.DUMMYFUNCTION("""COMPUTED_VALUE"""),1.0)</f>
        <v>1</v>
      </c>
      <c r="V982" s="4" t="str">
        <f>IFERROR(__xludf.DUMMYFUNCTION("""COMPUTED_VALUE"""),"Tape")</f>
        <v>Tape</v>
      </c>
      <c r="W982" s="4" t="str">
        <f>IFERROR(__xludf.DUMMYFUNCTION("""COMPUTED_VALUE"""),"0425")</f>
        <v>0425</v>
      </c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</row>
    <row r="983">
      <c r="A983" s="4" t="str">
        <f>IFERROR(__xludf.DUMMYFUNCTION("""COMPUTED_VALUE"""),"TRANSISTOR:   BJT NPN 45V 0.5A   [BC817-40W-7] [SOT-323]")</f>
        <v>TRANSISTOR:   BJT NPN 45V 0.5A   [BC817-40W-7] [SOT-323]</v>
      </c>
      <c r="B983" s="4" t="str">
        <f>IFERROR(__xludf.DUMMYFUNCTION("""COMPUTED_VALUE"""),"OEPS060005")</f>
        <v>OEPS060005</v>
      </c>
      <c r="C983" s="4" t="str">
        <f>IFERROR(__xludf.DUMMYFUNCTION("""COMPUTED_VALUE"""),"SMD")</f>
        <v>SMD</v>
      </c>
      <c r="D983" s="4" t="str">
        <f>IFERROR(__xludf.DUMMYFUNCTION("""COMPUTED_VALUE"""),"BC817-40W-7")</f>
        <v>BC817-40W-7</v>
      </c>
      <c r="E983" s="4">
        <f>IFERROR(__xludf.DUMMYFUNCTION("""COMPUTED_VALUE"""),5.0)</f>
        <v>5</v>
      </c>
      <c r="F983" s="4" t="str">
        <f>IFERROR(__xludf.DUMMYFUNCTION("""COMPUTED_VALUE"""),"DigiKey")</f>
        <v>DigiKey</v>
      </c>
      <c r="G983" s="4" t="str">
        <f>IFERROR(__xludf.DUMMYFUNCTION("""COMPUTED_VALUE"""),"BC817-40WDIDKR-ND")</f>
        <v>BC817-40WDIDKR-ND</v>
      </c>
      <c r="H983" s="4"/>
      <c r="I983" s="4"/>
      <c r="J983" s="4"/>
      <c r="K983" s="4"/>
      <c r="L983" s="4"/>
      <c r="M983" s="4"/>
      <c r="N983" s="9" t="str">
        <f>IFERROR(__xludf.DUMMYFUNCTION("""COMPUTED_VALUE"""),"OEPS080159")</f>
        <v>OEPS080159</v>
      </c>
      <c r="O983" s="4" t="str">
        <f>IFERROR(__xludf.DUMMYFUNCTION("""COMPUTED_VALUE"""),"SN74HCS595PWR")</f>
        <v>SN74HCS595PWR</v>
      </c>
      <c r="P983" s="4" t="str">
        <f>IFERROR(__xludf.DUMMYFUNCTION("""COMPUTED_VALUE"""),"4(Tp) ")</f>
        <v>4(Tp) </v>
      </c>
      <c r="Q983" s="4">
        <f>IFERROR(__xludf.DUMMYFUNCTION("""COMPUTED_VALUE"""),4.0)</f>
        <v>4</v>
      </c>
      <c r="R983" s="4">
        <f>IFERROR(__xludf.DUMMYFUNCTION("""COMPUTED_VALUE"""),4.0)</f>
        <v>4</v>
      </c>
      <c r="S983" s="4" t="str">
        <f>IFERROR(__xludf.DUMMYFUNCTION("""COMPUTED_VALUE"""),"Tape")</f>
        <v>Tape</v>
      </c>
      <c r="T983" s="4" t="str">
        <f>IFERROR(__xludf.DUMMYFUNCTION("""COMPUTED_VALUE"""),"0425")</f>
        <v>0425</v>
      </c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</row>
    <row r="984">
      <c r="A984" s="4" t="str">
        <f>IFERROR(__xludf.DUMMYFUNCTION("""COMPUTED_VALUE"""),"TRANSISTOR:   BJT NPN 45V 0.5A   [SBC817-40LT1G] [SOT-23-3]")</f>
        <v>TRANSISTOR:   BJT NPN 45V 0.5A   [SBC817-40LT1G] [SOT-23-3]</v>
      </c>
      <c r="B984" s="4" t="str">
        <f>IFERROR(__xludf.DUMMYFUNCTION("""COMPUTED_VALUE"""),"OEPS060008")</f>
        <v>OEPS060008</v>
      </c>
      <c r="C984" s="4" t="str">
        <f>IFERROR(__xludf.DUMMYFUNCTION("""COMPUTED_VALUE"""),"SMD")</f>
        <v>SMD</v>
      </c>
      <c r="D984" s="4" t="str">
        <f>IFERROR(__xludf.DUMMYFUNCTION("""COMPUTED_VALUE"""),"SBC817-40LT1G")</f>
        <v>SBC817-40LT1G</v>
      </c>
      <c r="E984" s="4">
        <f>IFERROR(__xludf.DUMMYFUNCTION("""COMPUTED_VALUE"""),5.0)</f>
        <v>5</v>
      </c>
      <c r="F984" s="4" t="str">
        <f>IFERROR(__xludf.DUMMYFUNCTION("""COMPUTED_VALUE"""),"DigiKey")</f>
        <v>DigiKey</v>
      </c>
      <c r="G984" s="4" t="str">
        <f>IFERROR(__xludf.DUMMYFUNCTION("""COMPUTED_VALUE"""),"SBC817-40LT1GOSDKR-ND")</f>
        <v>SBC817-40LT1GOSDKR-ND</v>
      </c>
      <c r="H984" s="4"/>
      <c r="I984" s="4"/>
      <c r="J984" s="4"/>
      <c r="K984" s="4"/>
      <c r="L984" s="4"/>
      <c r="M984" s="4"/>
      <c r="N984" s="9" t="str">
        <f>IFERROR(__xludf.DUMMYFUNCTION("""COMPUTED_VALUE"""),"OEPS080161")</f>
        <v>OEPS080161</v>
      </c>
      <c r="O984" s="4" t="str">
        <f>IFERROR(__xludf.DUMMYFUNCTION("""COMPUTED_VALUE"""),"SN74LVC1G3157DCKR")</f>
        <v>SN74LVC1G3157DCKR</v>
      </c>
      <c r="P984" s="4" t="str">
        <f>IFERROR(__xludf.DUMMYFUNCTION("""COMPUTED_VALUE"""),"4(Tp) ")</f>
        <v>4(Tp) </v>
      </c>
      <c r="Q984" s="4">
        <f>IFERROR(__xludf.DUMMYFUNCTION("""COMPUTED_VALUE"""),4.0)</f>
        <v>4</v>
      </c>
      <c r="R984" s="4">
        <f>IFERROR(__xludf.DUMMYFUNCTION("""COMPUTED_VALUE"""),4.0)</f>
        <v>4</v>
      </c>
      <c r="S984" s="4" t="str">
        <f>IFERROR(__xludf.DUMMYFUNCTION("""COMPUTED_VALUE"""),"Tape")</f>
        <v>Tape</v>
      </c>
      <c r="T984" s="4" t="str">
        <f>IFERROR(__xludf.DUMMYFUNCTION("""COMPUTED_VALUE"""),"0425")</f>
        <v>0425</v>
      </c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</row>
    <row r="985">
      <c r="A985" s="4" t="str">
        <f>IFERROR(__xludf.DUMMYFUNCTION("""COMPUTED_VALUE"""),"TRANSISTOR:   MOSFET N-CH 20V 1A   [DMG1012UW-7] [SOT-323]")</f>
        <v>TRANSISTOR:   MOSFET N-CH 20V 1A   [DMG1012UW-7] [SOT-323]</v>
      </c>
      <c r="B985" s="4" t="str">
        <f>IFERROR(__xludf.DUMMYFUNCTION("""COMPUTED_VALUE"""),"OEPS060010")</f>
        <v>OEPS060010</v>
      </c>
      <c r="C985" s="4" t="str">
        <f>IFERROR(__xludf.DUMMYFUNCTION("""COMPUTED_VALUE"""),"SMD")</f>
        <v>SMD</v>
      </c>
      <c r="D985" s="4" t="str">
        <f>IFERROR(__xludf.DUMMYFUNCTION("""COMPUTED_VALUE"""),"DMG1012UW-7")</f>
        <v>DMG1012UW-7</v>
      </c>
      <c r="E985" s="4">
        <f>IFERROR(__xludf.DUMMYFUNCTION("""COMPUTED_VALUE"""),5.0)</f>
        <v>5</v>
      </c>
      <c r="F985" s="4" t="str">
        <f>IFERROR(__xludf.DUMMYFUNCTION("""COMPUTED_VALUE"""),"DigiKey")</f>
        <v>DigiKey</v>
      </c>
      <c r="G985" s="4" t="str">
        <f>IFERROR(__xludf.DUMMYFUNCTION("""COMPUTED_VALUE"""),"DMG1012UW-7DIDKR-ND")</f>
        <v>DMG1012UW-7DIDKR-ND</v>
      </c>
      <c r="H985" s="4"/>
      <c r="I985" s="4"/>
      <c r="J985" s="4"/>
      <c r="K985" s="4"/>
      <c r="L985" s="4"/>
      <c r="M985" s="4"/>
      <c r="N985" s="9" t="str">
        <f>IFERROR(__xludf.DUMMYFUNCTION("""COMPUTED_VALUE"""),"OEPS080164")</f>
        <v>OEPS080164</v>
      </c>
      <c r="O985" s="4" t="str">
        <f>IFERROR(__xludf.DUMMYFUNCTION("""COMPUTED_VALUE"""),"XT1511RGBW-BW")</f>
        <v>XT1511RGBW-BW</v>
      </c>
      <c r="P985" s="4" t="str">
        <f>IFERROR(__xludf.DUMMYFUNCTION("""COMPUTED_VALUE"""),"339(R) 500(R) 1000(R) 1000(R) 1000(R) 1000(R) 1000R 1000R ")</f>
        <v>339(R) 500(R) 1000(R) 1000(R) 1000(R) 1000(R) 1000R 1000R </v>
      </c>
      <c r="Q985" s="4">
        <f>IFERROR(__xludf.DUMMYFUNCTION("""COMPUTED_VALUE"""),6839.0)</f>
        <v>6839</v>
      </c>
      <c r="R985" s="4">
        <f>IFERROR(__xludf.DUMMYFUNCTION("""COMPUTED_VALUE"""),339.0)</f>
        <v>339</v>
      </c>
      <c r="S985" s="4" t="str">
        <f>IFERROR(__xludf.DUMMYFUNCTION("""COMPUTED_VALUE"""),"Reel")</f>
        <v>Reel</v>
      </c>
      <c r="T985" s="4" t="str">
        <f>IFERROR(__xludf.DUMMYFUNCTION("""COMPUTED_VALUE"""),"0722")</f>
        <v>0722</v>
      </c>
      <c r="U985" s="4">
        <f>IFERROR(__xludf.DUMMYFUNCTION("""COMPUTED_VALUE"""),500.0)</f>
        <v>500</v>
      </c>
      <c r="V985" s="4" t="str">
        <f>IFERROR(__xludf.DUMMYFUNCTION("""COMPUTED_VALUE"""),"Reel")</f>
        <v>Reel</v>
      </c>
      <c r="W985" s="4" t="str">
        <f>IFERROR(__xludf.DUMMYFUNCTION("""COMPUTED_VALUE"""),"0426")</f>
        <v>0426</v>
      </c>
      <c r="X985" s="4">
        <f>IFERROR(__xludf.DUMMYFUNCTION("""COMPUTED_VALUE"""),1000.0)</f>
        <v>1000</v>
      </c>
      <c r="Y985" s="4" t="str">
        <f>IFERROR(__xludf.DUMMYFUNCTION("""COMPUTED_VALUE"""),"Reel")</f>
        <v>Reel</v>
      </c>
      <c r="Z985" s="4" t="str">
        <f>IFERROR(__xludf.DUMMYFUNCTION("""COMPUTED_VALUE"""),"0426")</f>
        <v>0426</v>
      </c>
      <c r="AA985" s="4">
        <f>IFERROR(__xludf.DUMMYFUNCTION("""COMPUTED_VALUE"""),1000.0)</f>
        <v>1000</v>
      </c>
      <c r="AB985" s="4" t="str">
        <f>IFERROR(__xludf.DUMMYFUNCTION("""COMPUTED_VALUE"""),"Reel")</f>
        <v>Reel</v>
      </c>
      <c r="AC985" s="4" t="str">
        <f>IFERROR(__xludf.DUMMYFUNCTION("""COMPUTED_VALUE"""),"0426")</f>
        <v>0426</v>
      </c>
      <c r="AD985" s="4">
        <f>IFERROR(__xludf.DUMMYFUNCTION("""COMPUTED_VALUE"""),1000.0)</f>
        <v>1000</v>
      </c>
      <c r="AE985" s="4" t="str">
        <f>IFERROR(__xludf.DUMMYFUNCTION("""COMPUTED_VALUE"""),"Reel")</f>
        <v>Reel</v>
      </c>
      <c r="AF985" s="4" t="str">
        <f>IFERROR(__xludf.DUMMYFUNCTION("""COMPUTED_VALUE"""),"0426")</f>
        <v>0426</v>
      </c>
      <c r="AG985" s="4">
        <f>IFERROR(__xludf.DUMMYFUNCTION("""COMPUTED_VALUE"""),1000.0)</f>
        <v>1000</v>
      </c>
      <c r="AH985" s="4" t="str">
        <f>IFERROR(__xludf.DUMMYFUNCTION("""COMPUTED_VALUE"""),"Reel")</f>
        <v>Reel</v>
      </c>
      <c r="AI985" s="4" t="str">
        <f>IFERROR(__xludf.DUMMYFUNCTION("""COMPUTED_VALUE"""),"0426")</f>
        <v>0426</v>
      </c>
      <c r="AJ985" s="4">
        <f>IFERROR(__xludf.DUMMYFUNCTION("""COMPUTED_VALUE"""),1000.0)</f>
        <v>1000</v>
      </c>
      <c r="AK985" s="4" t="str">
        <f>IFERROR(__xludf.DUMMYFUNCTION("""COMPUTED_VALUE"""),"Reel")</f>
        <v>Reel</v>
      </c>
      <c r="AL985" s="4" t="str">
        <f>IFERROR(__xludf.DUMMYFUNCTION("""COMPUTED_VALUE"""),"0426")</f>
        <v>0426</v>
      </c>
      <c r="AM985" s="4">
        <f>IFERROR(__xludf.DUMMYFUNCTION("""COMPUTED_VALUE"""),1000.0)</f>
        <v>1000</v>
      </c>
      <c r="AN985" s="4"/>
      <c r="AO985" s="4"/>
      <c r="AP985" s="4"/>
      <c r="AQ985" s="4"/>
      <c r="AR985" s="4"/>
      <c r="AS985" s="4"/>
      <c r="AT985" s="4"/>
      <c r="AU985" s="4"/>
      <c r="AV985" s="4"/>
      <c r="AW985" s="4"/>
    </row>
    <row r="986">
      <c r="A986" s="4" t="str">
        <f>IFERROR(__xludf.DUMMYFUNCTION("""COMPUTED_VALUE"""),"TRANSISTOR:   MOSFET N-CH 20V 2.8A   [DMG2302UK-7] [SOT-23-3]")</f>
        <v>TRANSISTOR:   MOSFET N-CH 20V 2.8A   [DMG2302UK-7] [SOT-23-3]</v>
      </c>
      <c r="B986" s="4" t="str">
        <f>IFERROR(__xludf.DUMMYFUNCTION("""COMPUTED_VALUE"""),"OEPS060018")</f>
        <v>OEPS060018</v>
      </c>
      <c r="C986" s="4" t="str">
        <f>IFERROR(__xludf.DUMMYFUNCTION("""COMPUTED_VALUE"""),"SMD")</f>
        <v>SMD</v>
      </c>
      <c r="D986" s="4" t="str">
        <f>IFERROR(__xludf.DUMMYFUNCTION("""COMPUTED_VALUE"""),"DMG2302UK-7")</f>
        <v>DMG2302UK-7</v>
      </c>
      <c r="E986" s="4">
        <f>IFERROR(__xludf.DUMMYFUNCTION("""COMPUTED_VALUE"""),5.0)</f>
        <v>5</v>
      </c>
      <c r="F986" s="4" t="str">
        <f>IFERROR(__xludf.DUMMYFUNCTION("""COMPUTED_VALUE"""),"DigiKey")</f>
        <v>DigiKey</v>
      </c>
      <c r="G986" s="4" t="str">
        <f>IFERROR(__xludf.DUMMYFUNCTION("""COMPUTED_VALUE"""),"DMG2302UK-7DIDKR-ND")</f>
        <v>DMG2302UK-7DIDKR-ND</v>
      </c>
      <c r="H986" s="4"/>
      <c r="I986" s="4"/>
      <c r="J986" s="4"/>
      <c r="K986" s="4"/>
      <c r="L986" s="4"/>
      <c r="M986" s="4"/>
      <c r="N986" s="9" t="str">
        <f>IFERROR(__xludf.DUMMYFUNCTION("""COMPUTED_VALUE"""),"OEPS080166")</f>
        <v>OEPS080166</v>
      </c>
      <c r="O986" s="4" t="str">
        <f>IFERROR(__xludf.DUMMYFUNCTION("""COMPUTED_VALUE"""),"TB6612FNG,C,8,EL")</f>
        <v>TB6612FNG,C,8,EL</v>
      </c>
      <c r="P986" s="4" t="str">
        <f>IFERROR(__xludf.DUMMYFUNCTION("""COMPUTED_VALUE"""),"37(Tp) 2 1 8(Tp) 1 ")</f>
        <v>37(Tp) 2 1 8(Tp) 1 </v>
      </c>
      <c r="Q986" s="4">
        <f>IFERROR(__xludf.DUMMYFUNCTION("""COMPUTED_VALUE"""),49.0)</f>
        <v>49</v>
      </c>
      <c r="R986" s="4">
        <f>IFERROR(__xludf.DUMMYFUNCTION("""COMPUTED_VALUE"""),37.0)</f>
        <v>37</v>
      </c>
      <c r="S986" s="4" t="str">
        <f>IFERROR(__xludf.DUMMYFUNCTION("""COMPUTED_VALUE"""),"Tape")</f>
        <v>Tape</v>
      </c>
      <c r="T986" s="4" t="str">
        <f>IFERROR(__xludf.DUMMYFUNCTION("""COMPUTED_VALUE"""),"XXXX")</f>
        <v>XXXX</v>
      </c>
      <c r="U986" s="4">
        <f>IFERROR(__xludf.DUMMYFUNCTION("""COMPUTED_VALUE"""),2.0)</f>
        <v>2</v>
      </c>
      <c r="V986" s="4" t="str">
        <f>IFERROR(__xludf.DUMMYFUNCTION("""COMPUTED_VALUE"""),"Bag")</f>
        <v>Bag</v>
      </c>
      <c r="W986" s="4" t="str">
        <f>IFERROR(__xludf.DUMMYFUNCTION("""COMPUTED_VALUE"""),"0425")</f>
        <v>0425</v>
      </c>
      <c r="X986" s="4">
        <f>IFERROR(__xludf.DUMMYFUNCTION("""COMPUTED_VALUE"""),1.0)</f>
        <v>1</v>
      </c>
      <c r="Y986" s="4" t="str">
        <f>IFERROR(__xludf.DUMMYFUNCTION("""COMPUTED_VALUE"""),"Bag")</f>
        <v>Bag</v>
      </c>
      <c r="Z986" s="4" t="str">
        <f>IFERROR(__xludf.DUMMYFUNCTION("""COMPUTED_VALUE"""),"0216")</f>
        <v>0216</v>
      </c>
      <c r="AA986" s="4">
        <f>IFERROR(__xludf.DUMMYFUNCTION("""COMPUTED_VALUE"""),8.0)</f>
        <v>8</v>
      </c>
      <c r="AB986" s="4" t="str">
        <f>IFERROR(__xludf.DUMMYFUNCTION("""COMPUTED_VALUE"""),"Tape")</f>
        <v>Tape</v>
      </c>
      <c r="AC986" s="4" t="str">
        <f>IFERROR(__xludf.DUMMYFUNCTION("""COMPUTED_VALUE"""),"0722")</f>
        <v>0722</v>
      </c>
      <c r="AD986" s="4">
        <f>IFERROR(__xludf.DUMMYFUNCTION("""COMPUTED_VALUE"""),1.0)</f>
        <v>1</v>
      </c>
      <c r="AE986" s="4" t="str">
        <f>IFERROR(__xludf.DUMMYFUNCTION("""COMPUTED_VALUE"""),"Bag")</f>
        <v>Bag</v>
      </c>
      <c r="AF986" s="4" t="str">
        <f>IFERROR(__xludf.DUMMYFUNCTION("""COMPUTED_VALUE"""),"0725")</f>
        <v>0725</v>
      </c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</row>
    <row r="987">
      <c r="A987" s="4" t="str">
        <f>IFERROR(__xludf.DUMMYFUNCTION("""COMPUTED_VALUE"""),"TRANSISTOR:   MOSFET N-CH 20V 500mA   [SI1012R-T1-GE3] [SC-75A]")</f>
        <v>TRANSISTOR:   MOSFET N-CH 20V 500mA   [SI1012R-T1-GE3] [SC-75A]</v>
      </c>
      <c r="B987" s="4" t="str">
        <f>IFERROR(__xludf.DUMMYFUNCTION("""COMPUTED_VALUE"""),"OEPS060001")</f>
        <v>OEPS060001</v>
      </c>
      <c r="C987" s="4" t="str">
        <f>IFERROR(__xludf.DUMMYFUNCTION("""COMPUTED_VALUE"""),"SMD")</f>
        <v>SMD</v>
      </c>
      <c r="D987" s="4" t="str">
        <f>IFERROR(__xludf.DUMMYFUNCTION("""COMPUTED_VALUE"""),"SI1012R-T1-GE3")</f>
        <v>SI1012R-T1-GE3</v>
      </c>
      <c r="E987" s="4">
        <f>IFERROR(__xludf.DUMMYFUNCTION("""COMPUTED_VALUE"""),10.0)</f>
        <v>10</v>
      </c>
      <c r="F987" s="4" t="str">
        <f>IFERROR(__xludf.DUMMYFUNCTION("""COMPUTED_VALUE"""),"DigiKey")</f>
        <v>DigiKey</v>
      </c>
      <c r="G987" s="4" t="str">
        <f>IFERROR(__xludf.DUMMYFUNCTION("""COMPUTED_VALUE"""),"SI1012R-T1-GE3DKR-ND")</f>
        <v>SI1012R-T1-GE3DKR-ND</v>
      </c>
      <c r="H987" s="4"/>
      <c r="I987" s="4"/>
      <c r="J987" s="4"/>
      <c r="K987" s="4"/>
      <c r="L987" s="4"/>
      <c r="M987" s="4"/>
      <c r="N987" s="9" t="str">
        <f>IFERROR(__xludf.DUMMYFUNCTION("""COMPUTED_VALUE"""),"OEPS080167")</f>
        <v>OEPS080167</v>
      </c>
      <c r="O987" s="4" t="str">
        <f>IFERROR(__xludf.DUMMYFUNCTION("""COMPUTED_VALUE"""),"PCF8523T/1,118")</f>
        <v>PCF8523T/1,118</v>
      </c>
      <c r="P987" s="4" t="str">
        <f>IFERROR(__xludf.DUMMYFUNCTION("""COMPUTED_VALUE"""),"3(Tp) 1 4(Tp) 13(Tp) 5(Tp) 14(Tp) ")</f>
        <v>3(Tp) 1 4(Tp) 13(Tp) 5(Tp) 14(Tp) </v>
      </c>
      <c r="Q987" s="4">
        <f>IFERROR(__xludf.DUMMYFUNCTION("""COMPUTED_VALUE"""),40.0)</f>
        <v>40</v>
      </c>
      <c r="R987" s="4">
        <f>IFERROR(__xludf.DUMMYFUNCTION("""COMPUTED_VALUE"""),3.0)</f>
        <v>3</v>
      </c>
      <c r="S987" s="4" t="str">
        <f>IFERROR(__xludf.DUMMYFUNCTION("""COMPUTED_VALUE"""),"Tape")</f>
        <v>Tape</v>
      </c>
      <c r="T987" s="4" t="str">
        <f>IFERROR(__xludf.DUMMYFUNCTION("""COMPUTED_VALUE"""),"0725")</f>
        <v>0725</v>
      </c>
      <c r="U987" s="4">
        <f>IFERROR(__xludf.DUMMYFUNCTION("""COMPUTED_VALUE"""),1.0)</f>
        <v>1</v>
      </c>
      <c r="V987" s="4" t="str">
        <f>IFERROR(__xludf.DUMMYFUNCTION("""COMPUTED_VALUE"""),"Bag")</f>
        <v>Bag</v>
      </c>
      <c r="W987" s="4" t="str">
        <f>IFERROR(__xludf.DUMMYFUNCTION("""COMPUTED_VALUE"""),"0226")</f>
        <v>0226</v>
      </c>
      <c r="X987" s="4">
        <f>IFERROR(__xludf.DUMMYFUNCTION("""COMPUTED_VALUE"""),4.0)</f>
        <v>4</v>
      </c>
      <c r="Y987" s="4" t="str">
        <f>IFERROR(__xludf.DUMMYFUNCTION("""COMPUTED_VALUE"""),"Tape")</f>
        <v>Tape</v>
      </c>
      <c r="Z987" s="4" t="str">
        <f>IFERROR(__xludf.DUMMYFUNCTION("""COMPUTED_VALUE"""),"0425")</f>
        <v>0425</v>
      </c>
      <c r="AA987" s="4">
        <f>IFERROR(__xludf.DUMMYFUNCTION("""COMPUTED_VALUE"""),13.0)</f>
        <v>13</v>
      </c>
      <c r="AB987" s="4" t="str">
        <f>IFERROR(__xludf.DUMMYFUNCTION("""COMPUTED_VALUE"""),"Tape")</f>
        <v>Tape</v>
      </c>
      <c r="AC987" s="4" t="str">
        <f>IFERROR(__xludf.DUMMYFUNCTION("""COMPUTED_VALUE"""),"XXXX")</f>
        <v>XXXX</v>
      </c>
      <c r="AD987" s="4">
        <f>IFERROR(__xludf.DUMMYFUNCTION("""COMPUTED_VALUE"""),5.0)</f>
        <v>5</v>
      </c>
      <c r="AE987" s="4" t="str">
        <f>IFERROR(__xludf.DUMMYFUNCTION("""COMPUTED_VALUE"""),"Tape")</f>
        <v>Tape</v>
      </c>
      <c r="AF987" s="4" t="str">
        <f>IFERROR(__xludf.DUMMYFUNCTION("""COMPUTED_VALUE"""),"XXXX")</f>
        <v>XXXX</v>
      </c>
      <c r="AG987" s="4">
        <f>IFERROR(__xludf.DUMMYFUNCTION("""COMPUTED_VALUE"""),14.0)</f>
        <v>14</v>
      </c>
      <c r="AH987" s="4" t="str">
        <f>IFERROR(__xludf.DUMMYFUNCTION("""COMPUTED_VALUE"""),"Tape")</f>
        <v>Tape</v>
      </c>
      <c r="AI987" s="4" t="str">
        <f>IFERROR(__xludf.DUMMYFUNCTION("""COMPUTED_VALUE"""),"XXXX")</f>
        <v>XXXX</v>
      </c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</row>
    <row r="988">
      <c r="A988" s="4" t="str">
        <f>IFERROR(__xludf.DUMMYFUNCTION("""COMPUTED_VALUE"""),"TRANSISTOR:   MOSFET N-CH 20V 750mA   [NTK3134NT1G] [SOT-723]")</f>
        <v>TRANSISTOR:   MOSFET N-CH 20V 750mA   [NTK3134NT1G] [SOT-723]</v>
      </c>
      <c r="B988" s="4" t="str">
        <f>IFERROR(__xludf.DUMMYFUNCTION("""COMPUTED_VALUE"""),"OEPS060015")</f>
        <v>OEPS060015</v>
      </c>
      <c r="C988" s="4" t="str">
        <f>IFERROR(__xludf.DUMMYFUNCTION("""COMPUTED_VALUE"""),"SMD")</f>
        <v>SMD</v>
      </c>
      <c r="D988" s="4" t="str">
        <f>IFERROR(__xludf.DUMMYFUNCTION("""COMPUTED_VALUE"""),"NTK3134NT1G")</f>
        <v>NTK3134NT1G</v>
      </c>
      <c r="E988" s="4">
        <f>IFERROR(__xludf.DUMMYFUNCTION("""COMPUTED_VALUE"""),10.0)</f>
        <v>10</v>
      </c>
      <c r="F988" s="4" t="str">
        <f>IFERROR(__xludf.DUMMYFUNCTION("""COMPUTED_VALUE"""),"DigiKey")</f>
        <v>DigiKey</v>
      </c>
      <c r="G988" s="4" t="str">
        <f>IFERROR(__xludf.DUMMYFUNCTION("""COMPUTED_VALUE"""),"NTK3134NT1GOSDKR-ND")</f>
        <v>NTK3134NT1GOSDKR-ND</v>
      </c>
      <c r="H988" s="4"/>
      <c r="I988" s="4"/>
      <c r="J988" s="4"/>
      <c r="K988" s="4"/>
      <c r="L988" s="4"/>
      <c r="M988" s="4"/>
      <c r="N988" s="9" t="str">
        <f>IFERROR(__xludf.DUMMYFUNCTION("""COMPUTED_VALUE"""),"OEPS080168")</f>
        <v>OEPS080168</v>
      </c>
      <c r="O988" s="4" t="str">
        <f>IFERROR(__xludf.DUMMYFUNCTION("""COMPUTED_VALUE"""),"APX803L05-35SA-7")</f>
        <v>APX803L05-35SA-7</v>
      </c>
      <c r="P988" s="4" t="str">
        <f>IFERROR(__xludf.DUMMYFUNCTION("""COMPUTED_VALUE"""),"1 ")</f>
        <v>1 </v>
      </c>
      <c r="Q988" s="4">
        <f>IFERROR(__xludf.DUMMYFUNCTION("""COMPUTED_VALUE"""),1.0)</f>
        <v>1</v>
      </c>
      <c r="R988" s="4">
        <f>IFERROR(__xludf.DUMMYFUNCTION("""COMPUTED_VALUE"""),1.0)</f>
        <v>1</v>
      </c>
      <c r="S988" s="4" t="str">
        <f>IFERROR(__xludf.DUMMYFUNCTION("""COMPUTED_VALUE"""),"Bag")</f>
        <v>Bag</v>
      </c>
      <c r="T988" s="4" t="str">
        <f>IFERROR(__xludf.DUMMYFUNCTION("""COMPUTED_VALUE"""),"0425")</f>
        <v>0425</v>
      </c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</row>
    <row r="989">
      <c r="A989" s="4" t="str">
        <f>IFERROR(__xludf.DUMMYFUNCTION("""COMPUTED_VALUE"""),"TRANSISTOR:   MOSFET N-CH 25V 5.8A   [IRFML8244TRPBF] [SOT23]")</f>
        <v>TRANSISTOR:   MOSFET N-CH 25V 5.8A   [IRFML8244TRPBF] [SOT23]</v>
      </c>
      <c r="B989" s="4" t="str">
        <f>IFERROR(__xludf.DUMMYFUNCTION("""COMPUTED_VALUE"""),"OEPS060003")</f>
        <v>OEPS060003</v>
      </c>
      <c r="C989" s="4" t="str">
        <f>IFERROR(__xludf.DUMMYFUNCTION("""COMPUTED_VALUE"""),"SMD")</f>
        <v>SMD</v>
      </c>
      <c r="D989" s="4" t="str">
        <f>IFERROR(__xludf.DUMMYFUNCTION("""COMPUTED_VALUE"""),"IRFML8244TRPBF")</f>
        <v>IRFML8244TRPBF</v>
      </c>
      <c r="E989" s="4">
        <f>IFERROR(__xludf.DUMMYFUNCTION("""COMPUTED_VALUE"""),5.0)</f>
        <v>5</v>
      </c>
      <c r="F989" s="4" t="str">
        <f>IFERROR(__xludf.DUMMYFUNCTION("""COMPUTED_VALUE"""),"DigiKey")</f>
        <v>DigiKey</v>
      </c>
      <c r="G989" s="4" t="str">
        <f>IFERROR(__xludf.DUMMYFUNCTION("""COMPUTED_VALUE"""),"IRFML8244TRPBFDKR-ND")</f>
        <v>IRFML8244TRPBFDKR-ND</v>
      </c>
      <c r="H989" s="4"/>
      <c r="I989" s="4"/>
      <c r="J989" s="4"/>
      <c r="K989" s="4"/>
      <c r="L989" s="4"/>
      <c r="M989" s="4"/>
      <c r="N989" s="9" t="str">
        <f>IFERROR(__xludf.DUMMYFUNCTION("""COMPUTED_VALUE"""),"OEPS080169")</f>
        <v>OEPS080169</v>
      </c>
      <c r="O989" s="4" t="str">
        <f>IFERROR(__xludf.DUMMYFUNCTION("""COMPUTED_VALUE"""),"MC74VHC1GT125DBVT1G")</f>
        <v>MC74VHC1GT125DBVT1G</v>
      </c>
      <c r="P989" s="4" t="str">
        <f>IFERROR(__xludf.DUMMYFUNCTION("""COMPUTED_VALUE"""),"1 1 ")</f>
        <v>1 1 </v>
      </c>
      <c r="Q989" s="4">
        <f>IFERROR(__xludf.DUMMYFUNCTION("""COMPUTED_VALUE"""),2.0)</f>
        <v>2</v>
      </c>
      <c r="R989" s="4">
        <f>IFERROR(__xludf.DUMMYFUNCTION("""COMPUTED_VALUE"""),1.0)</f>
        <v>1</v>
      </c>
      <c r="S989" s="4" t="str">
        <f>IFERROR(__xludf.DUMMYFUNCTION("""COMPUTED_VALUE"""),"Bag")</f>
        <v>Bag</v>
      </c>
      <c r="T989" s="4" t="str">
        <f>IFERROR(__xludf.DUMMYFUNCTION("""COMPUTED_VALUE"""),"0825")</f>
        <v>0825</v>
      </c>
      <c r="U989" s="4">
        <f>IFERROR(__xludf.DUMMYFUNCTION("""COMPUTED_VALUE"""),1.0)</f>
        <v>1</v>
      </c>
      <c r="V989" s="4" t="str">
        <f>IFERROR(__xludf.DUMMYFUNCTION("""COMPUTED_VALUE"""),"Bag")</f>
        <v>Bag</v>
      </c>
      <c r="W989" s="4" t="str">
        <f>IFERROR(__xludf.DUMMYFUNCTION("""COMPUTED_VALUE"""),"0425")</f>
        <v>0425</v>
      </c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</row>
    <row r="990">
      <c r="A990" s="4" t="str">
        <f>IFERROR(__xludf.DUMMYFUNCTION("""COMPUTED_VALUE"""),"TRANSISTOR:   MOSFET N-CH 30 V 4A   [DMG3418L-7] [SOT-23-3]")</f>
        <v>TRANSISTOR:   MOSFET N-CH 30 V 4A   [DMG3418L-7] [SOT-23-3]</v>
      </c>
      <c r="B990" s="4" t="str">
        <f>IFERROR(__xludf.DUMMYFUNCTION("""COMPUTED_VALUE"""),"OEPS060019")</f>
        <v>OEPS060019</v>
      </c>
      <c r="C990" s="4" t="str">
        <f>IFERROR(__xludf.DUMMYFUNCTION("""COMPUTED_VALUE"""),"SMD")</f>
        <v>SMD</v>
      </c>
      <c r="D990" s="4" t="str">
        <f>IFERROR(__xludf.DUMMYFUNCTION("""COMPUTED_VALUE"""),"DMG3418L-7")</f>
        <v>DMG3418L-7</v>
      </c>
      <c r="E990" s="4">
        <f>IFERROR(__xludf.DUMMYFUNCTION("""COMPUTED_VALUE"""),10.0)</f>
        <v>10</v>
      </c>
      <c r="F990" s="4" t="str">
        <f>IFERROR(__xludf.DUMMYFUNCTION("""COMPUTED_VALUE"""),"Digikey")</f>
        <v>Digikey</v>
      </c>
      <c r="G990" s="4" t="str">
        <f>IFERROR(__xludf.DUMMYFUNCTION("""COMPUTED_VALUE"""),"DMG3418L-7DIDKR-ND")</f>
        <v>DMG3418L-7DIDKR-ND</v>
      </c>
      <c r="H990" s="4"/>
      <c r="I990" s="4"/>
      <c r="J990" s="4"/>
      <c r="K990" s="4"/>
      <c r="L990" s="4"/>
      <c r="M990" s="4"/>
      <c r="N990" s="9" t="str">
        <f>IFERROR(__xludf.DUMMYFUNCTION("""COMPUTED_VALUE"""),"OEPS080170")</f>
        <v>OEPS080170</v>
      </c>
      <c r="O990" s="4" t="str">
        <f>IFERROR(__xludf.DUMMYFUNCTION("""COMPUTED_VALUE"""),"74LVC1G157GV,125")</f>
        <v>74LVC1G157GV,125</v>
      </c>
      <c r="P990" s="4" t="str">
        <f>IFERROR(__xludf.DUMMYFUNCTION("""COMPUTED_VALUE"""),"7(Tp) ")</f>
        <v>7(Tp) </v>
      </c>
      <c r="Q990" s="4">
        <f>IFERROR(__xludf.DUMMYFUNCTION("""COMPUTED_VALUE"""),7.0)</f>
        <v>7</v>
      </c>
      <c r="R990" s="4">
        <f>IFERROR(__xludf.DUMMYFUNCTION("""COMPUTED_VALUE"""),7.0)</f>
        <v>7</v>
      </c>
      <c r="S990" s="4" t="str">
        <f>IFERROR(__xludf.DUMMYFUNCTION("""COMPUTED_VALUE"""),"Tape")</f>
        <v>Tape</v>
      </c>
      <c r="T990" s="4" t="str">
        <f>IFERROR(__xludf.DUMMYFUNCTION("""COMPUTED_VALUE"""),"0725")</f>
        <v>0725</v>
      </c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</row>
    <row r="991">
      <c r="A991" s="4" t="str">
        <f>IFERROR(__xludf.DUMMYFUNCTION("""COMPUTED_VALUE"""),"TRANSISTOR:   MOSFET N-CH 30V 1.2A   [IRLML2803TRPBF] [SOT-23-3]")</f>
        <v>TRANSISTOR:   MOSFET N-CH 30V 1.2A   [IRLML2803TRPBF] [SOT-23-3]</v>
      </c>
      <c r="B991" s="4" t="str">
        <f>IFERROR(__xludf.DUMMYFUNCTION("""COMPUTED_VALUE"""),"OEPS060017")</f>
        <v>OEPS060017</v>
      </c>
      <c r="C991" s="4" t="str">
        <f>IFERROR(__xludf.DUMMYFUNCTION("""COMPUTED_VALUE"""),"SMD")</f>
        <v>SMD</v>
      </c>
      <c r="D991" s="4" t="str">
        <f>IFERROR(__xludf.DUMMYFUNCTION("""COMPUTED_VALUE"""),"IRLML2803TRPBF")</f>
        <v>IRLML2803TRPBF</v>
      </c>
      <c r="E991" s="4">
        <f>IFERROR(__xludf.DUMMYFUNCTION("""COMPUTED_VALUE"""),5.0)</f>
        <v>5</v>
      </c>
      <c r="F991" s="4" t="str">
        <f>IFERROR(__xludf.DUMMYFUNCTION("""COMPUTED_VALUE"""),"DigiKey")</f>
        <v>DigiKey</v>
      </c>
      <c r="G991" s="4" t="str">
        <f>IFERROR(__xludf.DUMMYFUNCTION("""COMPUTED_VALUE"""),"IRLML2803PBFDKR-ND")</f>
        <v>IRLML2803PBFDKR-ND</v>
      </c>
      <c r="H991" s="4"/>
      <c r="I991" s="4"/>
      <c r="J991" s="4"/>
      <c r="K991" s="4"/>
      <c r="L991" s="4"/>
      <c r="M991" s="4"/>
      <c r="N991" s="9" t="str">
        <f>IFERROR(__xludf.DUMMYFUNCTION("""COMPUTED_VALUE"""),"OEPS080171")</f>
        <v>OEPS080171</v>
      </c>
      <c r="O991" s="4" t="str">
        <f>IFERROR(__xludf.DUMMYFUNCTION("""COMPUTED_VALUE"""),"THVD1450D")</f>
        <v>THVD1450D</v>
      </c>
      <c r="P991" s="4" t="str">
        <f>IFERROR(__xludf.DUMMYFUNCTION("""COMPUTED_VALUE"""),"7 ")</f>
        <v>7 </v>
      </c>
      <c r="Q991" s="4">
        <f>IFERROR(__xludf.DUMMYFUNCTION("""COMPUTED_VALUE"""),7.0)</f>
        <v>7</v>
      </c>
      <c r="R991" s="4">
        <f>IFERROR(__xludf.DUMMYFUNCTION("""COMPUTED_VALUE"""),7.0)</f>
        <v>7</v>
      </c>
      <c r="S991" s="4" t="str">
        <f>IFERROR(__xludf.DUMMYFUNCTION("""COMPUTED_VALUE"""),"Bag")</f>
        <v>Bag</v>
      </c>
      <c r="T991" s="4" t="str">
        <f>IFERROR(__xludf.DUMMYFUNCTION("""COMPUTED_VALUE"""),"0725")</f>
        <v>0725</v>
      </c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</row>
    <row r="992">
      <c r="A992" s="4" t="str">
        <f>IFERROR(__xludf.DUMMYFUNCTION("""COMPUTED_VALUE"""),"TRANSISTOR:   MOSFET N-CH 30V 3.9A   [SI1416EDH-T1-GE3] [SOT-363]")</f>
        <v>TRANSISTOR:   MOSFET N-CH 30V 3.9A   [SI1416EDH-T1-GE3] [SOT-363]</v>
      </c>
      <c r="B992" s="4" t="str">
        <f>IFERROR(__xludf.DUMMYFUNCTION("""COMPUTED_VALUE"""),"OEPS060002")</f>
        <v>OEPS060002</v>
      </c>
      <c r="C992" s="4" t="str">
        <f>IFERROR(__xludf.DUMMYFUNCTION("""COMPUTED_VALUE"""),"SMD")</f>
        <v>SMD</v>
      </c>
      <c r="D992" s="4" t="str">
        <f>IFERROR(__xludf.DUMMYFUNCTION("""COMPUTED_VALUE"""),"SI1416EDH-T1-GE3")</f>
        <v>SI1416EDH-T1-GE3</v>
      </c>
      <c r="E992" s="4">
        <f>IFERROR(__xludf.DUMMYFUNCTION("""COMPUTED_VALUE"""),5.0)</f>
        <v>5</v>
      </c>
      <c r="F992" s="4" t="str">
        <f>IFERROR(__xludf.DUMMYFUNCTION("""COMPUTED_VALUE"""),"DigiKey")</f>
        <v>DigiKey</v>
      </c>
      <c r="G992" s="4" t="str">
        <f>IFERROR(__xludf.DUMMYFUNCTION("""COMPUTED_VALUE"""),"SI1416EDH-T1-GE3CT-ND")</f>
        <v>SI1416EDH-T1-GE3CT-ND</v>
      </c>
      <c r="H992" s="4"/>
      <c r="I992" s="4"/>
      <c r="J992" s="4"/>
      <c r="K992" s="4"/>
      <c r="L992" s="4"/>
      <c r="M992" s="4"/>
      <c r="N992" s="9" t="str">
        <f>IFERROR(__xludf.DUMMYFUNCTION("""COMPUTED_VALUE"""),"OEPS080172")</f>
        <v>OEPS080172</v>
      </c>
      <c r="O992" s="4" t="str">
        <f>IFERROR(__xludf.DUMMYFUNCTION("""COMPUTED_VALUE"""),"ADUM1201BRZ")</f>
        <v>ADUM1201BRZ</v>
      </c>
      <c r="P992" s="4" t="str">
        <f>IFERROR(__xludf.DUMMYFUNCTION("""COMPUTED_VALUE"""),"7 ")</f>
        <v>7 </v>
      </c>
      <c r="Q992" s="4">
        <f>IFERROR(__xludf.DUMMYFUNCTION("""COMPUTED_VALUE"""),7.0)</f>
        <v>7</v>
      </c>
      <c r="R992" s="4">
        <f>IFERROR(__xludf.DUMMYFUNCTION("""COMPUTED_VALUE"""),7.0)</f>
        <v>7</v>
      </c>
      <c r="S992" s="4" t="str">
        <f>IFERROR(__xludf.DUMMYFUNCTION("""COMPUTED_VALUE"""),"Bag")</f>
        <v>Bag</v>
      </c>
      <c r="T992" s="4" t="str">
        <f>IFERROR(__xludf.DUMMYFUNCTION("""COMPUTED_VALUE"""),"0725")</f>
        <v>0725</v>
      </c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</row>
    <row r="993">
      <c r="A993" s="4" t="str">
        <f>IFERROR(__xludf.DUMMYFUNCTION("""COMPUTED_VALUE"""),"TRANSISTOR:   MOSFET N-CH 30V 350mA   [DMN63D8L-7] [SOT23]")</f>
        <v>TRANSISTOR:   MOSFET N-CH 30V 350mA   [DMN63D8L-7] [SOT23]</v>
      </c>
      <c r="B993" s="4" t="str">
        <f>IFERROR(__xludf.DUMMYFUNCTION("""COMPUTED_VALUE"""),"OEPS060013")</f>
        <v>OEPS060013</v>
      </c>
      <c r="C993" s="4" t="str">
        <f>IFERROR(__xludf.DUMMYFUNCTION("""COMPUTED_VALUE"""),"SMD")</f>
        <v>SMD</v>
      </c>
      <c r="D993" s="4" t="str">
        <f>IFERROR(__xludf.DUMMYFUNCTION("""COMPUTED_VALUE"""),"DMN63D8L-7")</f>
        <v>DMN63D8L-7</v>
      </c>
      <c r="E993" s="4">
        <f>IFERROR(__xludf.DUMMYFUNCTION("""COMPUTED_VALUE"""),5.0)</f>
        <v>5</v>
      </c>
      <c r="F993" s="4" t="str">
        <f>IFERROR(__xludf.DUMMYFUNCTION("""COMPUTED_VALUE"""),"DigiKey")</f>
        <v>DigiKey</v>
      </c>
      <c r="G993" s="4" t="str">
        <f>IFERROR(__xludf.DUMMYFUNCTION("""COMPUTED_VALUE"""),"DMN63D8L-7DIDKR-ND")</f>
        <v>DMN63D8L-7DIDKR-ND</v>
      </c>
      <c r="H993" s="4"/>
      <c r="I993" s="4"/>
      <c r="J993" s="4"/>
      <c r="K993" s="4"/>
      <c r="L993" s="4"/>
      <c r="M993" s="4"/>
      <c r="N993" s="9" t="str">
        <f>IFERROR(__xludf.DUMMYFUNCTION("""COMPUTED_VALUE"""),"OEPS080174")</f>
        <v>OEPS080174</v>
      </c>
      <c r="O993" s="4" t="str">
        <f>IFERROR(__xludf.DUMMYFUNCTION("""COMPUTED_VALUE"""),"MC7805BDTRKG")</f>
        <v>MC7805BDTRKG</v>
      </c>
      <c r="P993" s="4" t="str">
        <f>IFERROR(__xludf.DUMMYFUNCTION("""COMPUTED_VALUE"""),"3(Tp) ")</f>
        <v>3(Tp) </v>
      </c>
      <c r="Q993" s="4">
        <f>IFERROR(__xludf.DUMMYFUNCTION("""COMPUTED_VALUE"""),3.0)</f>
        <v>3</v>
      </c>
      <c r="R993" s="4">
        <f>IFERROR(__xludf.DUMMYFUNCTION("""COMPUTED_VALUE"""),3.0)</f>
        <v>3</v>
      </c>
      <c r="S993" s="4" t="str">
        <f>IFERROR(__xludf.DUMMYFUNCTION("""COMPUTED_VALUE"""),"Tape")</f>
        <v>Tape</v>
      </c>
      <c r="T993" s="4" t="str">
        <f>IFERROR(__xludf.DUMMYFUNCTION("""COMPUTED_VALUE"""),"0825")</f>
        <v>0825</v>
      </c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</row>
    <row r="994">
      <c r="A994" s="4" t="str">
        <f>IFERROR(__xludf.DUMMYFUNCTION("""COMPUTED_VALUE"""),"TRANSISTOR:   MOSFET P-CH 20V 1A   [PMF170XP,115] [SOT-323]")</f>
        <v>TRANSISTOR:   MOSFET P-CH 20V 1A   [PMF170XP,115] [SOT-323]</v>
      </c>
      <c r="B994" s="4" t="str">
        <f>IFERROR(__xludf.DUMMYFUNCTION("""COMPUTED_VALUE"""),"OEPS060012")</f>
        <v>OEPS060012</v>
      </c>
      <c r="C994" s="4" t="str">
        <f>IFERROR(__xludf.DUMMYFUNCTION("""COMPUTED_VALUE"""),"SMD")</f>
        <v>SMD</v>
      </c>
      <c r="D994" s="4" t="str">
        <f>IFERROR(__xludf.DUMMYFUNCTION("""COMPUTED_VALUE"""),"PMF170XP,115")</f>
        <v>PMF170XP,115</v>
      </c>
      <c r="E994" s="4">
        <f>IFERROR(__xludf.DUMMYFUNCTION("""COMPUTED_VALUE"""),5.0)</f>
        <v>5</v>
      </c>
      <c r="F994" s="4" t="str">
        <f>IFERROR(__xludf.DUMMYFUNCTION("""COMPUTED_VALUE"""),"DigiKey")</f>
        <v>DigiKey</v>
      </c>
      <c r="G994" s="4" t="str">
        <f>IFERROR(__xludf.DUMMYFUNCTION("""COMPUTED_VALUE"""),"1727-1229-6-ND")</f>
        <v>1727-1229-6-ND</v>
      </c>
      <c r="H994" s="4"/>
      <c r="I994" s="4"/>
      <c r="J994" s="4"/>
      <c r="K994" s="4"/>
      <c r="L994" s="4"/>
      <c r="M994" s="4"/>
      <c r="N994" s="9" t="str">
        <f>IFERROR(__xludf.DUMMYFUNCTION("""COMPUTED_VALUE"""),"OEPS080175")</f>
        <v>OEPS080175</v>
      </c>
      <c r="O994" s="4" t="str">
        <f>IFERROR(__xludf.DUMMYFUNCTION("""COMPUTED_VALUE"""),"MCP23017-E/SO")</f>
        <v>MCP23017-E/SO</v>
      </c>
      <c r="P994" s="4" t="str">
        <f>IFERROR(__xludf.DUMMYFUNCTION("""COMPUTED_VALUE"""),"2 ")</f>
        <v>2 </v>
      </c>
      <c r="Q994" s="4">
        <f>IFERROR(__xludf.DUMMYFUNCTION("""COMPUTED_VALUE"""),2.0)</f>
        <v>2</v>
      </c>
      <c r="R994" s="4">
        <f>IFERROR(__xludf.DUMMYFUNCTION("""COMPUTED_VALUE"""),2.0)</f>
        <v>2</v>
      </c>
      <c r="S994" s="4" t="str">
        <f>IFERROR(__xludf.DUMMYFUNCTION("""COMPUTED_VALUE"""),"Bag")</f>
        <v>Bag</v>
      </c>
      <c r="T994" s="4" t="str">
        <f>IFERROR(__xludf.DUMMYFUNCTION("""COMPUTED_VALUE"""),"0825")</f>
        <v>0825</v>
      </c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</row>
    <row r="995">
      <c r="A995" s="4" t="str">
        <f>IFERROR(__xludf.DUMMYFUNCTION("""COMPUTED_VALUE"""),"TRANSISTOR:   MOSFET P-CH 20V 250mA   [RTU002P02T106] [SOT-323]")</f>
        <v>TRANSISTOR:   MOSFET P-CH 20V 250mA   [RTU002P02T106] [SOT-323]</v>
      </c>
      <c r="B995" s="4" t="str">
        <f>IFERROR(__xludf.DUMMYFUNCTION("""COMPUTED_VALUE"""),"OEPS060009")</f>
        <v>OEPS060009</v>
      </c>
      <c r="C995" s="4" t="str">
        <f>IFERROR(__xludf.DUMMYFUNCTION("""COMPUTED_VALUE"""),"SMD")</f>
        <v>SMD</v>
      </c>
      <c r="D995" s="4" t="str">
        <f>IFERROR(__xludf.DUMMYFUNCTION("""COMPUTED_VALUE"""),"RTU002P02T106")</f>
        <v>RTU002P02T106</v>
      </c>
      <c r="E995" s="4">
        <f>IFERROR(__xludf.DUMMYFUNCTION("""COMPUTED_VALUE"""),5.0)</f>
        <v>5</v>
      </c>
      <c r="F995" s="4" t="str">
        <f>IFERROR(__xludf.DUMMYFUNCTION("""COMPUTED_VALUE"""),"Mouser")</f>
        <v>Mouser</v>
      </c>
      <c r="G995" s="4" t="str">
        <f>IFERROR(__xludf.DUMMYFUNCTION("""COMPUTED_VALUE"""),"755-RTU002P02T106")</f>
        <v>755-RTU002P02T106</v>
      </c>
      <c r="H995" s="4"/>
      <c r="I995" s="4"/>
      <c r="J995" s="4"/>
      <c r="K995" s="4"/>
      <c r="L995" s="4"/>
      <c r="M995" s="4"/>
      <c r="N995" s="9" t="str">
        <f>IFERROR(__xludf.DUMMYFUNCTION("""COMPUTED_VALUE"""),"OEPS080177")</f>
        <v>OEPS080177</v>
      </c>
      <c r="O995" s="4" t="str">
        <f>IFERROR(__xludf.DUMMYFUNCTION("""COMPUTED_VALUE"""),"MCP73834-CNI/MF")</f>
        <v>MCP73834-CNI/MF</v>
      </c>
      <c r="P995" s="4" t="str">
        <f>IFERROR(__xludf.DUMMYFUNCTION("""COMPUTED_VALUE"""),"1 2 ")</f>
        <v>1 2 </v>
      </c>
      <c r="Q995" s="4">
        <f>IFERROR(__xludf.DUMMYFUNCTION("""COMPUTED_VALUE"""),3.0)</f>
        <v>3</v>
      </c>
      <c r="R995" s="4">
        <f>IFERROR(__xludf.DUMMYFUNCTION("""COMPUTED_VALUE"""),1.0)</f>
        <v>1</v>
      </c>
      <c r="S995" s="4" t="str">
        <f>IFERROR(__xludf.DUMMYFUNCTION("""COMPUTED_VALUE"""),"Bag")</f>
        <v>Bag</v>
      </c>
      <c r="T995" s="4" t="str">
        <f>IFERROR(__xludf.DUMMYFUNCTION("""COMPUTED_VALUE"""),"0226")</f>
        <v>0226</v>
      </c>
      <c r="U995" s="4">
        <f>IFERROR(__xludf.DUMMYFUNCTION("""COMPUTED_VALUE"""),2.0)</f>
        <v>2</v>
      </c>
      <c r="V995" s="4" t="str">
        <f>IFERROR(__xludf.DUMMYFUNCTION("""COMPUTED_VALUE"""),"Bag")</f>
        <v>Bag</v>
      </c>
      <c r="W995" s="4" t="str">
        <f>IFERROR(__xludf.DUMMYFUNCTION("""COMPUTED_VALUE"""),"0825")</f>
        <v>0825</v>
      </c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</row>
    <row r="996">
      <c r="A996" s="4" t="str">
        <f>IFERROR(__xludf.DUMMYFUNCTION("""COMPUTED_VALUE"""),"TRANSISTOR:   MOSFET P-CH 20V 3.6A   [DMP2035U-7] [SOT-23-3]")</f>
        <v>TRANSISTOR:   MOSFET P-CH 20V 3.6A   [DMP2035U-7] [SOT-23-3]</v>
      </c>
      <c r="B996" s="4" t="str">
        <f>IFERROR(__xludf.DUMMYFUNCTION("""COMPUTED_VALUE"""),"OEPS060011")</f>
        <v>OEPS060011</v>
      </c>
      <c r="C996" s="4" t="str">
        <f>IFERROR(__xludf.DUMMYFUNCTION("""COMPUTED_VALUE"""),"SMD")</f>
        <v>SMD</v>
      </c>
      <c r="D996" s="4" t="str">
        <f>IFERROR(__xludf.DUMMYFUNCTION("""COMPUTED_VALUE"""),"DMP2035U-7")</f>
        <v>DMP2035U-7</v>
      </c>
      <c r="E996" s="4">
        <f>IFERROR(__xludf.DUMMYFUNCTION("""COMPUTED_VALUE"""),5.0)</f>
        <v>5</v>
      </c>
      <c r="F996" s="4" t="str">
        <f>IFERROR(__xludf.DUMMYFUNCTION("""COMPUTED_VALUE"""),"DigiKey")</f>
        <v>DigiKey</v>
      </c>
      <c r="G996" s="4" t="str">
        <f>IFERROR(__xludf.DUMMYFUNCTION("""COMPUTED_VALUE"""),"DMP2035U-7DIDKR-ND")</f>
        <v>DMP2035U-7DIDKR-ND</v>
      </c>
      <c r="H996" s="4"/>
      <c r="I996" s="4"/>
      <c r="J996" s="4"/>
      <c r="K996" s="4"/>
      <c r="L996" s="4"/>
      <c r="M996" s="4"/>
      <c r="N996" s="9" t="str">
        <f>IFERROR(__xludf.DUMMYFUNCTION("""COMPUTED_VALUE"""),"OEPS080178")</f>
        <v>OEPS080178</v>
      </c>
      <c r="O996" s="4" t="str">
        <f>IFERROR(__xludf.DUMMYFUNCTION("""COMPUTED_VALUE"""),"STM32F405RGT6")</f>
        <v>STM32F405RGT6</v>
      </c>
      <c r="P996" s="4" t="str">
        <f>IFERROR(__xludf.DUMMYFUNCTION("""COMPUTED_VALUE"""),"1 ")</f>
        <v>1 </v>
      </c>
      <c r="Q996" s="4">
        <f>IFERROR(__xludf.DUMMYFUNCTION("""COMPUTED_VALUE"""),1.0)</f>
        <v>1</v>
      </c>
      <c r="R996" s="4">
        <f>IFERROR(__xludf.DUMMYFUNCTION("""COMPUTED_VALUE"""),1.0)</f>
        <v>1</v>
      </c>
      <c r="S996" s="4" t="str">
        <f>IFERROR(__xludf.DUMMYFUNCTION("""COMPUTED_VALUE"""),"Bag")</f>
        <v>Bag</v>
      </c>
      <c r="T996" s="4" t="str">
        <f>IFERROR(__xludf.DUMMYFUNCTION("""COMPUTED_VALUE"""),"0925")</f>
        <v>0925</v>
      </c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</row>
    <row r="997">
      <c r="A997" s="4" t="str">
        <f>IFERROR(__xludf.DUMMYFUNCTION("""COMPUTED_VALUE"""),"TRANSISTOR:   MOSFET P-CH 30V 3.8A   [DMP3099L-7] [SOT-23-3]")</f>
        <v>TRANSISTOR:   MOSFET P-CH 30V 3.8A   [DMP3099L-7] [SOT-23-3]</v>
      </c>
      <c r="B997" s="4" t="str">
        <f>IFERROR(__xludf.DUMMYFUNCTION("""COMPUTED_VALUE"""),"OEPS060020")</f>
        <v>OEPS060020</v>
      </c>
      <c r="C997" s="4" t="str">
        <f>IFERROR(__xludf.DUMMYFUNCTION("""COMPUTED_VALUE"""),"SMD")</f>
        <v>SMD</v>
      </c>
      <c r="D997" s="4" t="str">
        <f>IFERROR(__xludf.DUMMYFUNCTION("""COMPUTED_VALUE"""),"DMP3099L-7")</f>
        <v>DMP3099L-7</v>
      </c>
      <c r="E997" s="4">
        <f>IFERROR(__xludf.DUMMYFUNCTION("""COMPUTED_VALUE"""),10.0)</f>
        <v>10</v>
      </c>
      <c r="F997" s="4" t="str">
        <f>IFERROR(__xludf.DUMMYFUNCTION("""COMPUTED_VALUE"""),"Digikey")</f>
        <v>Digikey</v>
      </c>
      <c r="G997" s="4" t="str">
        <f>IFERROR(__xludf.DUMMYFUNCTION("""COMPUTED_VALUE"""),"DMP3099L-7DIDKR-ND")</f>
        <v>DMP3099L-7DIDKR-ND</v>
      </c>
      <c r="H997" s="4"/>
      <c r="I997" s="4"/>
      <c r="J997" s="4"/>
      <c r="K997" s="4"/>
      <c r="L997" s="4"/>
      <c r="M997" s="4"/>
      <c r="N997" s="9" t="str">
        <f>IFERROR(__xludf.DUMMYFUNCTION("""COMPUTED_VALUE"""),"OEPS080180")</f>
        <v>OEPS080180</v>
      </c>
      <c r="O997" s="4" t="str">
        <f>IFERROR(__xludf.DUMMYFUNCTION("""COMPUTED_VALUE"""),"4816P-T02-221LF")</f>
        <v>4816P-T02-221LF</v>
      </c>
      <c r="P997" s="4" t="str">
        <f>IFERROR(__xludf.DUMMYFUNCTION("""COMPUTED_VALUE"""),"28 ")</f>
        <v>28 </v>
      </c>
      <c r="Q997" s="4">
        <f>IFERROR(__xludf.DUMMYFUNCTION("""COMPUTED_VALUE"""),28.0)</f>
        <v>28</v>
      </c>
      <c r="R997" s="4">
        <f>IFERROR(__xludf.DUMMYFUNCTION("""COMPUTED_VALUE"""),28.0)</f>
        <v>28</v>
      </c>
      <c r="S997" s="4" t="str">
        <f>IFERROR(__xludf.DUMMYFUNCTION("""COMPUTED_VALUE"""),"Bag")</f>
        <v>Bag</v>
      </c>
      <c r="T997" s="4" t="str">
        <f>IFERROR(__xludf.DUMMYFUNCTION("""COMPUTED_VALUE"""),"XXXX")</f>
        <v>XXXX</v>
      </c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</row>
    <row r="998">
      <c r="A998" s="4" t="str">
        <f>IFERROR(__xludf.DUMMYFUNCTION("""COMPUTED_VALUE"""),"TRANSISTOR:   MOSFET P-CH 30V 4.1A   [AO3401A] [SOT-23]")</f>
        <v>TRANSISTOR:   MOSFET P-CH 30V 4.1A   [AO3401A] [SOT-23]</v>
      </c>
      <c r="B998" s="4" t="str">
        <f>IFERROR(__xludf.DUMMYFUNCTION("""COMPUTED_VALUE"""),"OEPS060021")</f>
        <v>OEPS060021</v>
      </c>
      <c r="C998" s="4" t="str">
        <f>IFERROR(__xludf.DUMMYFUNCTION("""COMPUTED_VALUE"""),"SMD")</f>
        <v>SMD</v>
      </c>
      <c r="D998" s="4" t="str">
        <f>IFERROR(__xludf.DUMMYFUNCTION("""COMPUTED_VALUE"""),"AO3401A")</f>
        <v>AO3401A</v>
      </c>
      <c r="E998" s="4">
        <f>IFERROR(__xludf.DUMMYFUNCTION("""COMPUTED_VALUE"""),10.0)</f>
        <v>10</v>
      </c>
      <c r="F998" s="4" t="str">
        <f>IFERROR(__xludf.DUMMYFUNCTION("""COMPUTED_VALUE"""),"Digikey")</f>
        <v>Digikey</v>
      </c>
      <c r="G998" s="4" t="str">
        <f>IFERROR(__xludf.DUMMYFUNCTION("""COMPUTED_VALUE"""),"4518-AO3401ADKR-ND")</f>
        <v>4518-AO3401ADKR-ND</v>
      </c>
      <c r="H998" s="4"/>
      <c r="I998" s="4"/>
      <c r="J998" s="4"/>
      <c r="K998" s="4"/>
      <c r="L998" s="4"/>
      <c r="M998" s="4"/>
      <c r="N998" s="9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</row>
    <row r="999">
      <c r="A999" s="4" t="str">
        <f>IFERROR(__xludf.DUMMYFUNCTION("""COMPUTED_VALUE"""),"TRANSISTOR:   MOSFET P-CH 60V 1.7A   [NTF2955T1G] [SOT-223]")</f>
        <v>TRANSISTOR:   MOSFET P-CH 60V 1.7A   [NTF2955T1G] [SOT-223]</v>
      </c>
      <c r="B999" s="4" t="str">
        <f>IFERROR(__xludf.DUMMYFUNCTION("""COMPUTED_VALUE"""),"OEPS060004")</f>
        <v>OEPS060004</v>
      </c>
      <c r="C999" s="4" t="str">
        <f>IFERROR(__xludf.DUMMYFUNCTION("""COMPUTED_VALUE"""),"SMD")</f>
        <v>SMD</v>
      </c>
      <c r="D999" s="4" t="str">
        <f>IFERROR(__xludf.DUMMYFUNCTION("""COMPUTED_VALUE"""),"NTF2955T1G")</f>
        <v>NTF2955T1G</v>
      </c>
      <c r="E999" s="4">
        <f>IFERROR(__xludf.DUMMYFUNCTION("""COMPUTED_VALUE"""),3.0)</f>
        <v>3</v>
      </c>
      <c r="F999" s="4" t="str">
        <f>IFERROR(__xludf.DUMMYFUNCTION("""COMPUTED_VALUE"""),"DigiKey")</f>
        <v>DigiKey</v>
      </c>
      <c r="G999" s="4" t="str">
        <f>IFERROR(__xludf.DUMMYFUNCTION("""COMPUTED_VALUE"""),"NTF2955T1GOSDKR-ND")</f>
        <v>NTF2955T1GOSDKR-ND</v>
      </c>
      <c r="H999" s="4"/>
      <c r="I999" s="4"/>
      <c r="J999" s="4"/>
      <c r="K999" s="4"/>
      <c r="L999" s="4"/>
      <c r="M999" s="4"/>
      <c r="N999" s="9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</row>
    <row r="1000">
      <c r="A1000" s="4" t="str">
        <f>IFERROR(__xludf.DUMMYFUNCTION("""COMPUTED_VALUE"""),"TRANSISTOR:   Phototransistor 0.2A   [PT480FE0000F] [TH]")</f>
        <v>TRANSISTOR:   Phototransistor 0.2A   [PT480FE0000F] [TH]</v>
      </c>
      <c r="B1000" s="4" t="str">
        <f>IFERROR(__xludf.DUMMYFUNCTION("""COMPUTED_VALUE"""),"OEPS060023")</f>
        <v>OEPS060023</v>
      </c>
      <c r="C1000" s="4" t="str">
        <f>IFERROR(__xludf.DUMMYFUNCTION("""COMPUTED_VALUE"""),"TH")</f>
        <v>TH</v>
      </c>
      <c r="D1000" s="4" t="str">
        <f>IFERROR(__xludf.DUMMYFUNCTION("""COMPUTED_VALUE"""),"PT480FE0000F")</f>
        <v>PT480FE0000F</v>
      </c>
      <c r="E1000" s="4">
        <f>IFERROR(__xludf.DUMMYFUNCTION("""COMPUTED_VALUE"""),1.0)</f>
        <v>1</v>
      </c>
      <c r="F1000" s="4" t="str">
        <f>IFERROR(__xludf.DUMMYFUNCTION("""COMPUTED_VALUE"""),"RS")</f>
        <v>RS</v>
      </c>
      <c r="G1000" s="4" t="str">
        <f>IFERROR(__xludf.DUMMYFUNCTION("""COMPUTED_VALUE"""),"170-2390")</f>
        <v>170-2390</v>
      </c>
      <c r="H1000" s="4"/>
      <c r="I1000" s="4"/>
      <c r="J1000" s="4"/>
      <c r="K1000" s="4"/>
      <c r="L1000" s="4"/>
      <c r="M1000" s="4"/>
      <c r="N1000" s="9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</row>
  </sheetData>
  <hyperlinks>
    <hyperlink r:id="rId1" ref="D230"/>
    <hyperlink r:id="rId2" ref="D700"/>
    <hyperlink r:id="rId3" ref="D717"/>
  </hyperlinks>
  <drawing r:id="rId4"/>
</worksheet>
</file>